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DAE8F0AD-0325-40D4-8287-0C00AEA9FB32}" xr6:coauthVersionLast="47" xr6:coauthVersionMax="47" xr10:uidLastSave="{00000000-0000-0000-0000-000000000000}"/>
  <bookViews>
    <workbookView xWindow="-98" yWindow="-98" windowWidth="28996" windowHeight="15675" tabRatio="993" xr2:uid="{00000000-000D-0000-FFFF-FFFF00000000}"/>
  </bookViews>
  <sheets>
    <sheet name="Title" sheetId="43" r:id="rId1"/>
    <sheet name="Info" sheetId="18" r:id="rId2"/>
    <sheet name="Definitions" sheetId="38" r:id="rId3"/>
    <sheet name="DetailedTables" sheetId="2" r:id="rId4"/>
    <sheet name="Sites_info" sheetId="40" r:id="rId5"/>
    <sheet name="Costs" sheetId="30" r:id="rId6"/>
    <sheet name="Emissions" sheetId="32" r:id="rId7"/>
    <sheet name="Outputs" sheetId="31" r:id="rId8"/>
    <sheet name="Energy" sheetId="34" r:id="rId9"/>
    <sheet name="Infrastructure" sheetId="35" r:id="rId10"/>
  </sheets>
  <externalReferences>
    <externalReference r:id="rId11"/>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9</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5" hidden="1">'Costs'!$A$1:$AK$2</definedName>
    <definedName name="_xlnm._FilterDatabase" localSheetId="6" hidden="1">Emissions!$A$1:$AJ$2</definedName>
    <definedName name="_xlnm._FilterDatabase" localSheetId="8" hidden="1">Energy!$A$1:$AJ$2</definedName>
    <definedName name="_xlnm._FilterDatabase" localSheetId="7" hidden="1">Outputs!$A$1:$AN$2</definedName>
    <definedName name="Alt_Chk_1_Hdg" hidden="1">[1]BS_Hist_TA!$B$1</definedName>
    <definedName name="Alt_Chk_14_Hdg" hidden="1">[1]BS_Fcast_TO!$B$1</definedName>
    <definedName name="Alt_Chk_15_Hdg" hidden="1">[1]Fcast_OP_TO!$C$117</definedName>
    <definedName name="Alt_Chk_2_Hdg" hidden="1">[1]BS_Hist_TO!$B$1</definedName>
    <definedName name="base_scenario" localSheetId="5">DetailedTables!#REF!</definedName>
    <definedName name="base_scenario" localSheetId="6">DetailedTables!#REF!</definedName>
    <definedName name="base_scenario" localSheetId="8">DetailedTables!#REF!</definedName>
    <definedName name="base_scenario" localSheetId="9">DetailedTables!#REF!</definedName>
    <definedName name="base_scenario" localSheetId="7">DetailedTables!#REF!</definedName>
    <definedName name="base_scenario">DetailedTables!#REF!</definedName>
    <definedName name="BMGHIndex" hidden="1">"O"</definedName>
    <definedName name="DME_LocalFile" hidden="1">"True"</definedName>
    <definedName name="Err_Chk_1_Hdg" hidden="1">[1]Fcast_OP_TO!$C$27</definedName>
    <definedName name="Err_Chk_11_Hdg" hidden="1">[1]IS_Fcast_TO!$B$1</definedName>
    <definedName name="Err_Chk_13_Hdg" hidden="1">[1]BS_Fcast_TO!$B$1</definedName>
    <definedName name="Err_Chk_14_Hdg" hidden="1">[1]CFS_Fcast_TO!$B$1</definedName>
    <definedName name="Err_Chk_15_Hdg" hidden="1">[1]Fcast_OP_TO!$C$117</definedName>
    <definedName name="Err_Chk_2_Hdg" hidden="1">[1]Fcast_OP_TO!$C$44</definedName>
    <definedName name="Err_Chk_3_Hdg" hidden="1">[1]Fcast_OP_TO!$C$64</definedName>
    <definedName name="Err_Chk_4_Hdg" hidden="1">[1]Fcast_OP_TO!$C$76</definedName>
    <definedName name="HL_Alt_Chk_1" hidden="1">[1]BS_Hist_TA!$H$73</definedName>
    <definedName name="HL_Alt_Chk_14" hidden="1">[1]BS_Fcast_TO!$I$72</definedName>
    <definedName name="HL_Alt_Chk_15" hidden="1">[1]Fcast_OP_TO!$I$138</definedName>
    <definedName name="HL_Alt_Chk_2" hidden="1">[1]BS_Hist_TO!$H$74</definedName>
    <definedName name="HL_Err_Chk_1" hidden="1">[1]Fcast_OP_TO!$I$42</definedName>
    <definedName name="HL_Err_Chk_11" hidden="1">[1]IS_Fcast_TO!$I$41</definedName>
    <definedName name="HL_Err_Chk_13" hidden="1">[1]BS_Fcast_TO!$I$70</definedName>
    <definedName name="HL_Err_Chk_14" hidden="1">[1]CFS_Fcast_TO!$I$114</definedName>
    <definedName name="HL_Err_Chk_15" hidden="1">[1]Fcast_OP_TO!$I$136</definedName>
    <definedName name="HL_Err_Chk_2" hidden="1">[1]Fcast_OP_TO!$I$59</definedName>
    <definedName name="HL_Err_Chk_3" hidden="1">[1]Fcast_OP_TO!$I$74</definedName>
    <definedName name="HL_Err_Chk_4" hidden="1">[1]Fcast_OP_TO!$I$86</definedName>
    <definedName name="Pal_Workbook_GUID" hidden="1">"1LMS2U6TLKFBVGQISFA5FIYM"</definedName>
    <definedName name="PJ2GW">DetailedTables!$B$12</definedName>
    <definedName name="PJ2MW">DetailedTables!$B$12</definedName>
    <definedName name="PJ2TWh">DetailedTables!$B$11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20000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59" i="2" l="1"/>
  <c r="AG138" i="2"/>
  <c r="AG139" i="2"/>
  <c r="AG140" i="2"/>
  <c r="AG141" i="2"/>
  <c r="AG142" i="2"/>
  <c r="AG143" i="2"/>
  <c r="AG144" i="2"/>
  <c r="AG148" i="2"/>
  <c r="AG149" i="2"/>
  <c r="AG150" i="2"/>
  <c r="AG151" i="2"/>
  <c r="AG152" i="2"/>
  <c r="AG153" i="2"/>
  <c r="AG154" i="2"/>
  <c r="AG158" i="2"/>
  <c r="AG159" i="2"/>
  <c r="AG160" i="2"/>
  <c r="AG161" i="2"/>
  <c r="AG162" i="2"/>
  <c r="AG163" i="2"/>
  <c r="AG164" i="2"/>
  <c r="AG168" i="2"/>
  <c r="AG169" i="2"/>
  <c r="AG170" i="2"/>
  <c r="AG171" i="2"/>
  <c r="AG172" i="2"/>
  <c r="AG173" i="2"/>
  <c r="AG174" i="2"/>
  <c r="AG178" i="2"/>
  <c r="AG179" i="2"/>
  <c r="AG180" i="2"/>
  <c r="AG181" i="2"/>
  <c r="AG182" i="2"/>
  <c r="AG183" i="2"/>
  <c r="AG184" i="2"/>
  <c r="AG188" i="2"/>
  <c r="AG189" i="2"/>
  <c r="AG190" i="2"/>
  <c r="AG191" i="2"/>
  <c r="AG192" i="2"/>
  <c r="AG193" i="2"/>
  <c r="AG194" i="2"/>
  <c r="AG198" i="2"/>
  <c r="AG199" i="2"/>
  <c r="AG200" i="2"/>
  <c r="AG201" i="2"/>
  <c r="AG202" i="2"/>
  <c r="AG203" i="2"/>
  <c r="AG204" i="2"/>
  <c r="AG208" i="2"/>
  <c r="AG209" i="2"/>
  <c r="AG210" i="2"/>
  <c r="AG211" i="2"/>
  <c r="AG212" i="2"/>
  <c r="AG213" i="2"/>
  <c r="AG214" i="2"/>
  <c r="AG218" i="2"/>
  <c r="AG219" i="2"/>
  <c r="AG220" i="2"/>
  <c r="AG221" i="2"/>
  <c r="AG222" i="2"/>
  <c r="AG223" i="2"/>
  <c r="AG224" i="2"/>
  <c r="AG228" i="2"/>
  <c r="AG229" i="2"/>
  <c r="AG230" i="2"/>
  <c r="AG231" i="2"/>
  <c r="AG232" i="2"/>
  <c r="AG233" i="2"/>
  <c r="AG234" i="2"/>
  <c r="AG238" i="2"/>
  <c r="AG239" i="2"/>
  <c r="AG240" i="2"/>
  <c r="AG241" i="2"/>
  <c r="AG242" i="2"/>
  <c r="AG243" i="2"/>
  <c r="AG244" i="2"/>
  <c r="AG248" i="2"/>
  <c r="AG249" i="2"/>
  <c r="AG250" i="2"/>
  <c r="AG251" i="2"/>
  <c r="AG252" i="2"/>
  <c r="AG253" i="2"/>
  <c r="AG254" i="2"/>
  <c r="AG258" i="2"/>
  <c r="AG259" i="2"/>
  <c r="AG260" i="2"/>
  <c r="AG261" i="2"/>
  <c r="AG262" i="2"/>
  <c r="AG263" i="2"/>
  <c r="AG264" i="2"/>
  <c r="AG268" i="2"/>
  <c r="AG269" i="2"/>
  <c r="AG270" i="2"/>
  <c r="AG271" i="2"/>
  <c r="AG272" i="2"/>
  <c r="AG273" i="2"/>
  <c r="AG274" i="2"/>
  <c r="AG278" i="2"/>
  <c r="AG279" i="2"/>
  <c r="AG280" i="2"/>
  <c r="AG281" i="2"/>
  <c r="AG282" i="2"/>
  <c r="AG283" i="2"/>
  <c r="AG284" i="2"/>
  <c r="AG288" i="2"/>
  <c r="AG289" i="2"/>
  <c r="AG290" i="2"/>
  <c r="AG291" i="2"/>
  <c r="AG292" i="2"/>
  <c r="AG293" i="2"/>
  <c r="AG294" i="2"/>
  <c r="AG300" i="2"/>
  <c r="AG301" i="2"/>
  <c r="AG302" i="2"/>
  <c r="AG303" i="2"/>
  <c r="AG304" i="2"/>
  <c r="AG305" i="2"/>
  <c r="AG306" i="2"/>
  <c r="D100" i="2"/>
  <c r="E100" i="2"/>
  <c r="F100" i="2"/>
  <c r="G100" i="2"/>
  <c r="H100" i="2"/>
  <c r="I100" i="2"/>
  <c r="J100" i="2"/>
  <c r="K100" i="2"/>
  <c r="L100" i="2"/>
  <c r="M100" i="2"/>
  <c r="N100" i="2"/>
  <c r="O100" i="2"/>
  <c r="P100" i="2"/>
  <c r="Q100" i="2"/>
  <c r="R100" i="2"/>
  <c r="S100" i="2"/>
  <c r="T100" i="2"/>
  <c r="U100" i="2"/>
  <c r="V100" i="2"/>
  <c r="W100" i="2"/>
  <c r="X100" i="2"/>
  <c r="Y100" i="2"/>
  <c r="Z100" i="2"/>
  <c r="AA100" i="2"/>
  <c r="AB100" i="2"/>
  <c r="AC100" i="2"/>
  <c r="AD100" i="2"/>
  <c r="AE100" i="2"/>
  <c r="AF100" i="2"/>
  <c r="AG100" i="2"/>
  <c r="C100" i="2"/>
  <c r="C103" i="2"/>
  <c r="D103" i="2"/>
  <c r="E103" i="2"/>
  <c r="F103" i="2"/>
  <c r="G103" i="2"/>
  <c r="H103" i="2"/>
  <c r="I103" i="2"/>
  <c r="J103" i="2"/>
  <c r="K103" i="2"/>
  <c r="L103" i="2"/>
  <c r="M103" i="2"/>
  <c r="N103" i="2"/>
  <c r="O103" i="2"/>
  <c r="P103" i="2"/>
  <c r="Q103" i="2"/>
  <c r="R103" i="2"/>
  <c r="S103" i="2"/>
  <c r="T103" i="2"/>
  <c r="U103" i="2"/>
  <c r="V103" i="2"/>
  <c r="W103" i="2"/>
  <c r="X103" i="2"/>
  <c r="Y103" i="2"/>
  <c r="Z103" i="2"/>
  <c r="AA103" i="2"/>
  <c r="AB103" i="2"/>
  <c r="AC103" i="2"/>
  <c r="AD103" i="2"/>
  <c r="AE103" i="2"/>
  <c r="AF103" i="2"/>
  <c r="AG103" i="2"/>
  <c r="C104" i="2"/>
  <c r="D104" i="2"/>
  <c r="E104" i="2"/>
  <c r="F104" i="2"/>
  <c r="G104" i="2"/>
  <c r="H104" i="2"/>
  <c r="I104" i="2"/>
  <c r="J104" i="2"/>
  <c r="K104" i="2"/>
  <c r="L104" i="2"/>
  <c r="M104" i="2"/>
  <c r="N104" i="2"/>
  <c r="O104" i="2"/>
  <c r="P104" i="2"/>
  <c r="Q104" i="2"/>
  <c r="R104" i="2"/>
  <c r="S104" i="2"/>
  <c r="T104" i="2"/>
  <c r="U104" i="2"/>
  <c r="V104" i="2"/>
  <c r="W104" i="2"/>
  <c r="X104" i="2"/>
  <c r="Y104" i="2"/>
  <c r="Z104" i="2"/>
  <c r="AA104" i="2"/>
  <c r="AB104" i="2"/>
  <c r="AC104" i="2"/>
  <c r="AD104" i="2"/>
  <c r="AE104" i="2"/>
  <c r="AF104" i="2"/>
  <c r="AG104" i="2"/>
  <c r="D158" i="2"/>
  <c r="E158" i="2"/>
  <c r="F158" i="2"/>
  <c r="G158" i="2"/>
  <c r="H158" i="2"/>
  <c r="I158" i="2"/>
  <c r="J158" i="2"/>
  <c r="K158" i="2"/>
  <c r="L158" i="2"/>
  <c r="M158" i="2"/>
  <c r="N158" i="2"/>
  <c r="O158" i="2"/>
  <c r="P158" i="2"/>
  <c r="Q158" i="2"/>
  <c r="R158" i="2"/>
  <c r="S158" i="2"/>
  <c r="T158" i="2"/>
  <c r="U158" i="2"/>
  <c r="V158" i="2"/>
  <c r="W158" i="2"/>
  <c r="X158" i="2"/>
  <c r="Y158" i="2"/>
  <c r="Z158" i="2"/>
  <c r="AA158" i="2"/>
  <c r="AB158" i="2"/>
  <c r="AC158" i="2"/>
  <c r="AD158" i="2"/>
  <c r="AE158" i="2"/>
  <c r="AF158" i="2"/>
  <c r="D159" i="2"/>
  <c r="E159" i="2"/>
  <c r="F159" i="2"/>
  <c r="G159" i="2"/>
  <c r="H159" i="2"/>
  <c r="I159" i="2"/>
  <c r="J159" i="2"/>
  <c r="K159" i="2"/>
  <c r="L159" i="2"/>
  <c r="M159" i="2"/>
  <c r="N159" i="2"/>
  <c r="O159" i="2"/>
  <c r="P159" i="2"/>
  <c r="Q159" i="2"/>
  <c r="R159" i="2"/>
  <c r="S159" i="2"/>
  <c r="T159" i="2"/>
  <c r="U159" i="2"/>
  <c r="V159" i="2"/>
  <c r="W159" i="2"/>
  <c r="X159" i="2"/>
  <c r="Y159" i="2"/>
  <c r="Z159" i="2"/>
  <c r="AA159" i="2"/>
  <c r="AB159" i="2"/>
  <c r="AC159" i="2"/>
  <c r="AD159" i="2"/>
  <c r="AE159" i="2"/>
  <c r="AF159" i="2"/>
  <c r="D160" i="2"/>
  <c r="E160" i="2"/>
  <c r="F160" i="2"/>
  <c r="G160" i="2"/>
  <c r="H160" i="2"/>
  <c r="I160" i="2"/>
  <c r="J160" i="2"/>
  <c r="K160" i="2"/>
  <c r="L160" i="2"/>
  <c r="M160" i="2"/>
  <c r="N160" i="2"/>
  <c r="O160" i="2"/>
  <c r="P160" i="2"/>
  <c r="Q160" i="2"/>
  <c r="R160" i="2"/>
  <c r="S160" i="2"/>
  <c r="T160" i="2"/>
  <c r="U160" i="2"/>
  <c r="V160" i="2"/>
  <c r="W160" i="2"/>
  <c r="X160" i="2"/>
  <c r="Y160" i="2"/>
  <c r="Z160" i="2"/>
  <c r="AA160" i="2"/>
  <c r="AB160" i="2"/>
  <c r="AC160" i="2"/>
  <c r="AD160" i="2"/>
  <c r="AE160" i="2"/>
  <c r="AF160" i="2"/>
  <c r="D161" i="2"/>
  <c r="E161" i="2"/>
  <c r="F161" i="2"/>
  <c r="G161" i="2"/>
  <c r="H161" i="2"/>
  <c r="I161" i="2"/>
  <c r="J161" i="2"/>
  <c r="K161" i="2"/>
  <c r="L161" i="2"/>
  <c r="M161" i="2"/>
  <c r="N161" i="2"/>
  <c r="O161" i="2"/>
  <c r="P161" i="2"/>
  <c r="Q161" i="2"/>
  <c r="R161" i="2"/>
  <c r="S161" i="2"/>
  <c r="T161" i="2"/>
  <c r="U161" i="2"/>
  <c r="V161" i="2"/>
  <c r="W161" i="2"/>
  <c r="X161" i="2"/>
  <c r="Y161" i="2"/>
  <c r="Z161" i="2"/>
  <c r="AA161" i="2"/>
  <c r="AB161" i="2"/>
  <c r="AC161" i="2"/>
  <c r="AD161" i="2"/>
  <c r="AE161" i="2"/>
  <c r="AF161" i="2"/>
  <c r="D162" i="2"/>
  <c r="E162" i="2"/>
  <c r="F162" i="2"/>
  <c r="G162" i="2"/>
  <c r="H162" i="2"/>
  <c r="I162" i="2"/>
  <c r="J162" i="2"/>
  <c r="K162" i="2"/>
  <c r="L162" i="2"/>
  <c r="M162" i="2"/>
  <c r="N162" i="2"/>
  <c r="O162" i="2"/>
  <c r="P162" i="2"/>
  <c r="Q162" i="2"/>
  <c r="R162" i="2"/>
  <c r="S162" i="2"/>
  <c r="T162" i="2"/>
  <c r="U162" i="2"/>
  <c r="V162" i="2"/>
  <c r="W162" i="2"/>
  <c r="X162" i="2"/>
  <c r="Y162" i="2"/>
  <c r="Z162" i="2"/>
  <c r="AA162" i="2"/>
  <c r="AB162" i="2"/>
  <c r="AC162" i="2"/>
  <c r="AD162" i="2"/>
  <c r="AE162" i="2"/>
  <c r="AF162" i="2"/>
  <c r="D163" i="2"/>
  <c r="E163" i="2"/>
  <c r="F163" i="2"/>
  <c r="G163" i="2"/>
  <c r="H163" i="2"/>
  <c r="I163" i="2"/>
  <c r="J163" i="2"/>
  <c r="K163" i="2"/>
  <c r="L163" i="2"/>
  <c r="M163" i="2"/>
  <c r="N163" i="2"/>
  <c r="O163" i="2"/>
  <c r="P163" i="2"/>
  <c r="Q163" i="2"/>
  <c r="R163" i="2"/>
  <c r="S163" i="2"/>
  <c r="T163" i="2"/>
  <c r="U163" i="2"/>
  <c r="V163" i="2"/>
  <c r="W163" i="2"/>
  <c r="X163" i="2"/>
  <c r="Y163" i="2"/>
  <c r="Z163" i="2"/>
  <c r="AA163" i="2"/>
  <c r="AB163" i="2"/>
  <c r="AC163" i="2"/>
  <c r="AD163" i="2"/>
  <c r="AE163" i="2"/>
  <c r="AF163" i="2"/>
  <c r="D164" i="2"/>
  <c r="E164" i="2"/>
  <c r="F164" i="2"/>
  <c r="G164" i="2"/>
  <c r="H164" i="2"/>
  <c r="I164" i="2"/>
  <c r="J164" i="2"/>
  <c r="K164" i="2"/>
  <c r="L164" i="2"/>
  <c r="M164" i="2"/>
  <c r="N164" i="2"/>
  <c r="O164" i="2"/>
  <c r="P164" i="2"/>
  <c r="Q164" i="2"/>
  <c r="R164" i="2"/>
  <c r="S164" i="2"/>
  <c r="T164" i="2"/>
  <c r="U164" i="2"/>
  <c r="V164" i="2"/>
  <c r="W164" i="2"/>
  <c r="X164" i="2"/>
  <c r="Y164" i="2"/>
  <c r="Z164" i="2"/>
  <c r="AA164" i="2"/>
  <c r="AB164" i="2"/>
  <c r="AC164" i="2"/>
  <c r="AD164" i="2"/>
  <c r="AE164" i="2"/>
  <c r="AF164" i="2"/>
  <c r="C159" i="2"/>
  <c r="C160" i="2"/>
  <c r="C161" i="2"/>
  <c r="C162" i="2"/>
  <c r="C163" i="2"/>
  <c r="C164" i="2"/>
  <c r="C158" i="2"/>
  <c r="D458" i="2"/>
  <c r="E458" i="2"/>
  <c r="F458" i="2"/>
  <c r="G458" i="2"/>
  <c r="H458" i="2"/>
  <c r="I458" i="2"/>
  <c r="J458" i="2"/>
  <c r="K458" i="2"/>
  <c r="L458" i="2"/>
  <c r="M458" i="2"/>
  <c r="N458" i="2"/>
  <c r="O458" i="2"/>
  <c r="P458" i="2"/>
  <c r="Q458" i="2"/>
  <c r="R458" i="2"/>
  <c r="S458" i="2"/>
  <c r="T458" i="2"/>
  <c r="U458" i="2"/>
  <c r="V458" i="2"/>
  <c r="W458" i="2"/>
  <c r="X458" i="2"/>
  <c r="Y458" i="2"/>
  <c r="Z458" i="2"/>
  <c r="AA458" i="2"/>
  <c r="AB458" i="2"/>
  <c r="AC458" i="2"/>
  <c r="AD458" i="2"/>
  <c r="AE458" i="2"/>
  <c r="AF458" i="2"/>
  <c r="AG458" i="2"/>
  <c r="E459" i="2"/>
  <c r="F459" i="2"/>
  <c r="G459" i="2"/>
  <c r="H459" i="2"/>
  <c r="I459" i="2"/>
  <c r="J459" i="2"/>
  <c r="K459" i="2"/>
  <c r="L459" i="2"/>
  <c r="M459" i="2"/>
  <c r="N459" i="2"/>
  <c r="O459" i="2"/>
  <c r="P459" i="2"/>
  <c r="Q459" i="2"/>
  <c r="R459" i="2"/>
  <c r="S459" i="2"/>
  <c r="T459" i="2"/>
  <c r="U459" i="2"/>
  <c r="V459" i="2"/>
  <c r="W459" i="2"/>
  <c r="X459" i="2"/>
  <c r="Y459" i="2"/>
  <c r="Z459" i="2"/>
  <c r="AA459" i="2"/>
  <c r="AB459" i="2"/>
  <c r="AC459" i="2"/>
  <c r="AD459" i="2"/>
  <c r="AE459" i="2"/>
  <c r="AF459" i="2"/>
  <c r="AG459" i="2"/>
  <c r="D460" i="2"/>
  <c r="E460" i="2"/>
  <c r="F460" i="2"/>
  <c r="G460" i="2"/>
  <c r="H460" i="2"/>
  <c r="I460" i="2"/>
  <c r="J460" i="2"/>
  <c r="K460" i="2"/>
  <c r="L460" i="2"/>
  <c r="M460" i="2"/>
  <c r="N460" i="2"/>
  <c r="O460" i="2"/>
  <c r="P460" i="2"/>
  <c r="Q460" i="2"/>
  <c r="R460" i="2"/>
  <c r="S460" i="2"/>
  <c r="T460" i="2"/>
  <c r="U460" i="2"/>
  <c r="V460" i="2"/>
  <c r="W460" i="2"/>
  <c r="X460" i="2"/>
  <c r="Y460" i="2"/>
  <c r="Z460" i="2"/>
  <c r="AA460" i="2"/>
  <c r="AB460" i="2"/>
  <c r="AC460" i="2"/>
  <c r="AD460" i="2"/>
  <c r="AE460" i="2"/>
  <c r="AF460" i="2"/>
  <c r="AG460" i="2"/>
  <c r="D461" i="2"/>
  <c r="E461" i="2"/>
  <c r="F461" i="2"/>
  <c r="G461" i="2"/>
  <c r="H461" i="2"/>
  <c r="I461" i="2"/>
  <c r="J461" i="2"/>
  <c r="K461" i="2"/>
  <c r="L461" i="2"/>
  <c r="M461" i="2"/>
  <c r="N461" i="2"/>
  <c r="O461" i="2"/>
  <c r="P461" i="2"/>
  <c r="Q461" i="2"/>
  <c r="R461" i="2"/>
  <c r="S461" i="2"/>
  <c r="T461" i="2"/>
  <c r="U461" i="2"/>
  <c r="V461" i="2"/>
  <c r="W461" i="2"/>
  <c r="X461" i="2"/>
  <c r="Y461" i="2"/>
  <c r="Z461" i="2"/>
  <c r="AA461" i="2"/>
  <c r="AB461" i="2"/>
  <c r="AC461" i="2"/>
  <c r="AD461" i="2"/>
  <c r="AE461" i="2"/>
  <c r="AF461" i="2"/>
  <c r="AG461" i="2"/>
  <c r="D462" i="2"/>
  <c r="E462" i="2"/>
  <c r="F462" i="2"/>
  <c r="G462" i="2"/>
  <c r="H462" i="2"/>
  <c r="I462" i="2"/>
  <c r="J462" i="2"/>
  <c r="K462" i="2"/>
  <c r="L462" i="2"/>
  <c r="M462" i="2"/>
  <c r="N462" i="2"/>
  <c r="O462" i="2"/>
  <c r="P462" i="2"/>
  <c r="Q462" i="2"/>
  <c r="R462" i="2"/>
  <c r="S462" i="2"/>
  <c r="T462" i="2"/>
  <c r="U462" i="2"/>
  <c r="V462" i="2"/>
  <c r="W462" i="2"/>
  <c r="X462" i="2"/>
  <c r="Y462" i="2"/>
  <c r="Z462" i="2"/>
  <c r="AA462" i="2"/>
  <c r="AB462" i="2"/>
  <c r="AC462" i="2"/>
  <c r="AD462" i="2"/>
  <c r="AE462" i="2"/>
  <c r="AF462" i="2"/>
  <c r="AG462" i="2"/>
  <c r="D463" i="2"/>
  <c r="E463" i="2"/>
  <c r="F463" i="2"/>
  <c r="G463" i="2"/>
  <c r="H463" i="2"/>
  <c r="I463" i="2"/>
  <c r="J463" i="2"/>
  <c r="K463" i="2"/>
  <c r="L463" i="2"/>
  <c r="M463" i="2"/>
  <c r="N463" i="2"/>
  <c r="O463" i="2"/>
  <c r="P463" i="2"/>
  <c r="Q463" i="2"/>
  <c r="R463" i="2"/>
  <c r="S463" i="2"/>
  <c r="T463" i="2"/>
  <c r="U463" i="2"/>
  <c r="V463" i="2"/>
  <c r="W463" i="2"/>
  <c r="X463" i="2"/>
  <c r="Y463" i="2"/>
  <c r="Z463" i="2"/>
  <c r="AA463" i="2"/>
  <c r="AB463" i="2"/>
  <c r="AC463" i="2"/>
  <c r="AD463" i="2"/>
  <c r="AE463" i="2"/>
  <c r="AF463" i="2"/>
  <c r="AG463" i="2"/>
  <c r="D464" i="2"/>
  <c r="E464" i="2"/>
  <c r="F464" i="2"/>
  <c r="G464" i="2"/>
  <c r="H464" i="2"/>
  <c r="I464" i="2"/>
  <c r="J464" i="2"/>
  <c r="K464" i="2"/>
  <c r="L464" i="2"/>
  <c r="M464" i="2"/>
  <c r="N464" i="2"/>
  <c r="O464" i="2"/>
  <c r="P464" i="2"/>
  <c r="Q464" i="2"/>
  <c r="R464" i="2"/>
  <c r="S464" i="2"/>
  <c r="T464" i="2"/>
  <c r="U464" i="2"/>
  <c r="V464" i="2"/>
  <c r="W464" i="2"/>
  <c r="X464" i="2"/>
  <c r="Y464" i="2"/>
  <c r="Z464" i="2"/>
  <c r="AA464" i="2"/>
  <c r="AB464" i="2"/>
  <c r="AC464" i="2"/>
  <c r="AD464" i="2"/>
  <c r="AE464" i="2"/>
  <c r="AF464" i="2"/>
  <c r="AG464" i="2"/>
  <c r="D465" i="2"/>
  <c r="E465" i="2"/>
  <c r="F465" i="2"/>
  <c r="G465" i="2"/>
  <c r="H465" i="2"/>
  <c r="I465" i="2"/>
  <c r="J465" i="2"/>
  <c r="K465" i="2"/>
  <c r="L465" i="2"/>
  <c r="M465" i="2"/>
  <c r="N465" i="2"/>
  <c r="O465" i="2"/>
  <c r="P465" i="2"/>
  <c r="Q465" i="2"/>
  <c r="R465" i="2"/>
  <c r="S465" i="2"/>
  <c r="T465" i="2"/>
  <c r="U465" i="2"/>
  <c r="V465" i="2"/>
  <c r="W465" i="2"/>
  <c r="X465" i="2"/>
  <c r="Y465" i="2"/>
  <c r="Z465" i="2"/>
  <c r="AA465" i="2"/>
  <c r="AB465" i="2"/>
  <c r="AC465" i="2"/>
  <c r="AD465" i="2"/>
  <c r="AE465" i="2"/>
  <c r="AF465" i="2"/>
  <c r="AG465" i="2"/>
  <c r="D466" i="2"/>
  <c r="E466" i="2"/>
  <c r="F466" i="2"/>
  <c r="G466" i="2"/>
  <c r="H466" i="2"/>
  <c r="I466" i="2"/>
  <c r="J466" i="2"/>
  <c r="K466" i="2"/>
  <c r="L466" i="2"/>
  <c r="M466" i="2"/>
  <c r="N466" i="2"/>
  <c r="O466" i="2"/>
  <c r="P466" i="2"/>
  <c r="Q466" i="2"/>
  <c r="R466" i="2"/>
  <c r="S466" i="2"/>
  <c r="T466" i="2"/>
  <c r="U466" i="2"/>
  <c r="V466" i="2"/>
  <c r="W466" i="2"/>
  <c r="X466" i="2"/>
  <c r="Y466" i="2"/>
  <c r="Z466" i="2"/>
  <c r="AA466" i="2"/>
  <c r="AB466" i="2"/>
  <c r="AC466" i="2"/>
  <c r="AD466" i="2"/>
  <c r="AE466" i="2"/>
  <c r="AF466" i="2"/>
  <c r="AG466" i="2"/>
  <c r="D467" i="2"/>
  <c r="E467" i="2"/>
  <c r="F467" i="2"/>
  <c r="G467" i="2"/>
  <c r="H467" i="2"/>
  <c r="I467" i="2"/>
  <c r="J467" i="2"/>
  <c r="K467" i="2"/>
  <c r="L467" i="2"/>
  <c r="M467" i="2"/>
  <c r="N467" i="2"/>
  <c r="O467" i="2"/>
  <c r="P467" i="2"/>
  <c r="Q467" i="2"/>
  <c r="R467" i="2"/>
  <c r="S467" i="2"/>
  <c r="T467" i="2"/>
  <c r="U467" i="2"/>
  <c r="V467" i="2"/>
  <c r="W467" i="2"/>
  <c r="X467" i="2"/>
  <c r="Y467" i="2"/>
  <c r="Z467" i="2"/>
  <c r="AA467" i="2"/>
  <c r="AB467" i="2"/>
  <c r="AC467" i="2"/>
  <c r="AD467" i="2"/>
  <c r="AE467" i="2"/>
  <c r="AF467" i="2"/>
  <c r="AG467" i="2"/>
  <c r="D468" i="2"/>
  <c r="E468" i="2"/>
  <c r="F468" i="2"/>
  <c r="G468" i="2"/>
  <c r="H468" i="2"/>
  <c r="I468" i="2"/>
  <c r="J468" i="2"/>
  <c r="K468" i="2"/>
  <c r="L468" i="2"/>
  <c r="M468" i="2"/>
  <c r="N468" i="2"/>
  <c r="O468" i="2"/>
  <c r="P468" i="2"/>
  <c r="Q468" i="2"/>
  <c r="R468" i="2"/>
  <c r="S468" i="2"/>
  <c r="T468" i="2"/>
  <c r="U468" i="2"/>
  <c r="V468" i="2"/>
  <c r="W468" i="2"/>
  <c r="X468" i="2"/>
  <c r="Y468" i="2"/>
  <c r="Z468" i="2"/>
  <c r="AA468" i="2"/>
  <c r="AB468" i="2"/>
  <c r="AC468" i="2"/>
  <c r="AD468" i="2"/>
  <c r="AE468" i="2"/>
  <c r="AF468" i="2"/>
  <c r="AG468" i="2"/>
  <c r="D470" i="2"/>
  <c r="E470" i="2"/>
  <c r="F470" i="2"/>
  <c r="G470" i="2"/>
  <c r="H470" i="2"/>
  <c r="I470" i="2"/>
  <c r="J470" i="2"/>
  <c r="K470" i="2"/>
  <c r="L470" i="2"/>
  <c r="M470" i="2"/>
  <c r="N470" i="2"/>
  <c r="O470" i="2"/>
  <c r="P470" i="2"/>
  <c r="Q470" i="2"/>
  <c r="R470" i="2"/>
  <c r="S470" i="2"/>
  <c r="T470" i="2"/>
  <c r="U470" i="2"/>
  <c r="V470" i="2"/>
  <c r="W470" i="2"/>
  <c r="X470" i="2"/>
  <c r="Y470" i="2"/>
  <c r="Z470" i="2"/>
  <c r="AA470" i="2"/>
  <c r="AB470" i="2"/>
  <c r="AC470" i="2"/>
  <c r="AD470" i="2"/>
  <c r="AE470" i="2"/>
  <c r="AF470" i="2"/>
  <c r="AG470" i="2"/>
  <c r="D471" i="2"/>
  <c r="E471" i="2"/>
  <c r="F471" i="2"/>
  <c r="G471" i="2"/>
  <c r="H471" i="2"/>
  <c r="I471" i="2"/>
  <c r="J471" i="2"/>
  <c r="K471" i="2"/>
  <c r="L471" i="2"/>
  <c r="M471" i="2"/>
  <c r="N471" i="2"/>
  <c r="O471" i="2"/>
  <c r="P471" i="2"/>
  <c r="Q471" i="2"/>
  <c r="R471" i="2"/>
  <c r="S471" i="2"/>
  <c r="T471" i="2"/>
  <c r="U471" i="2"/>
  <c r="V471" i="2"/>
  <c r="W471" i="2"/>
  <c r="X471" i="2"/>
  <c r="Y471" i="2"/>
  <c r="Z471" i="2"/>
  <c r="AA471" i="2"/>
  <c r="AB471" i="2"/>
  <c r="AC471" i="2"/>
  <c r="AD471" i="2"/>
  <c r="AE471" i="2"/>
  <c r="AF471" i="2"/>
  <c r="AG471" i="2"/>
  <c r="D472" i="2"/>
  <c r="E472" i="2"/>
  <c r="F472" i="2"/>
  <c r="G472" i="2"/>
  <c r="H472" i="2"/>
  <c r="I472" i="2"/>
  <c r="J472" i="2"/>
  <c r="K472" i="2"/>
  <c r="L472" i="2"/>
  <c r="M472" i="2"/>
  <c r="N472" i="2"/>
  <c r="O472" i="2"/>
  <c r="P472" i="2"/>
  <c r="Q472" i="2"/>
  <c r="R472" i="2"/>
  <c r="S472" i="2"/>
  <c r="T472" i="2"/>
  <c r="U472" i="2"/>
  <c r="V472" i="2"/>
  <c r="W472" i="2"/>
  <c r="X472" i="2"/>
  <c r="Y472" i="2"/>
  <c r="Z472" i="2"/>
  <c r="AA472" i="2"/>
  <c r="AB472" i="2"/>
  <c r="AC472" i="2"/>
  <c r="AD472" i="2"/>
  <c r="AE472" i="2"/>
  <c r="AF472" i="2"/>
  <c r="AG472" i="2"/>
  <c r="D473" i="2"/>
  <c r="E473" i="2"/>
  <c r="F473" i="2"/>
  <c r="G473" i="2"/>
  <c r="H473" i="2"/>
  <c r="I473" i="2"/>
  <c r="J473" i="2"/>
  <c r="K473" i="2"/>
  <c r="L473" i="2"/>
  <c r="M473" i="2"/>
  <c r="N473" i="2"/>
  <c r="O473" i="2"/>
  <c r="P473" i="2"/>
  <c r="Q473" i="2"/>
  <c r="R473" i="2"/>
  <c r="S473" i="2"/>
  <c r="T473" i="2"/>
  <c r="U473" i="2"/>
  <c r="V473" i="2"/>
  <c r="W473" i="2"/>
  <c r="X473" i="2"/>
  <c r="Y473" i="2"/>
  <c r="Z473" i="2"/>
  <c r="AA473" i="2"/>
  <c r="AB473" i="2"/>
  <c r="AC473" i="2"/>
  <c r="AD473" i="2"/>
  <c r="AE473" i="2"/>
  <c r="AF473" i="2"/>
  <c r="AG473" i="2"/>
  <c r="D474" i="2"/>
  <c r="E474" i="2"/>
  <c r="F474" i="2"/>
  <c r="G474" i="2"/>
  <c r="H474" i="2"/>
  <c r="I474" i="2"/>
  <c r="J474" i="2"/>
  <c r="K474" i="2"/>
  <c r="L474" i="2"/>
  <c r="M474" i="2"/>
  <c r="N474" i="2"/>
  <c r="O474" i="2"/>
  <c r="P474" i="2"/>
  <c r="Q474" i="2"/>
  <c r="R474" i="2"/>
  <c r="S474" i="2"/>
  <c r="T474" i="2"/>
  <c r="U474" i="2"/>
  <c r="V474" i="2"/>
  <c r="W474" i="2"/>
  <c r="X474" i="2"/>
  <c r="Y474" i="2"/>
  <c r="Z474" i="2"/>
  <c r="AA474" i="2"/>
  <c r="AB474" i="2"/>
  <c r="AC474" i="2"/>
  <c r="AD474" i="2"/>
  <c r="AE474" i="2"/>
  <c r="AF474" i="2"/>
  <c r="AG474" i="2"/>
  <c r="D475" i="2"/>
  <c r="E475" i="2"/>
  <c r="F475" i="2"/>
  <c r="G475" i="2"/>
  <c r="H475" i="2"/>
  <c r="I475" i="2"/>
  <c r="J475" i="2"/>
  <c r="K475" i="2"/>
  <c r="L475" i="2"/>
  <c r="M475" i="2"/>
  <c r="N475" i="2"/>
  <c r="O475" i="2"/>
  <c r="P475" i="2"/>
  <c r="Q475" i="2"/>
  <c r="R475" i="2"/>
  <c r="S475" i="2"/>
  <c r="T475" i="2"/>
  <c r="U475" i="2"/>
  <c r="V475" i="2"/>
  <c r="W475" i="2"/>
  <c r="X475" i="2"/>
  <c r="Y475" i="2"/>
  <c r="Z475" i="2"/>
  <c r="AA475" i="2"/>
  <c r="AB475" i="2"/>
  <c r="AC475" i="2"/>
  <c r="AD475" i="2"/>
  <c r="AE475" i="2"/>
  <c r="AF475" i="2"/>
  <c r="AG475" i="2"/>
  <c r="D476" i="2"/>
  <c r="E476" i="2"/>
  <c r="F476" i="2"/>
  <c r="G476" i="2"/>
  <c r="H476" i="2"/>
  <c r="I476" i="2"/>
  <c r="J476" i="2"/>
  <c r="K476" i="2"/>
  <c r="L476" i="2"/>
  <c r="M476" i="2"/>
  <c r="N476" i="2"/>
  <c r="O476" i="2"/>
  <c r="P476" i="2"/>
  <c r="Q476" i="2"/>
  <c r="R476" i="2"/>
  <c r="S476" i="2"/>
  <c r="T476" i="2"/>
  <c r="U476" i="2"/>
  <c r="V476" i="2"/>
  <c r="W476" i="2"/>
  <c r="X476" i="2"/>
  <c r="Y476" i="2"/>
  <c r="Z476" i="2"/>
  <c r="AA476" i="2"/>
  <c r="AB476" i="2"/>
  <c r="AC476" i="2"/>
  <c r="AD476" i="2"/>
  <c r="AE476" i="2"/>
  <c r="AF476" i="2"/>
  <c r="AG476" i="2"/>
  <c r="D477" i="2"/>
  <c r="E477" i="2"/>
  <c r="F477" i="2"/>
  <c r="G477" i="2"/>
  <c r="H477" i="2"/>
  <c r="I477" i="2"/>
  <c r="J477" i="2"/>
  <c r="K477" i="2"/>
  <c r="L477" i="2"/>
  <c r="M477" i="2"/>
  <c r="N477" i="2"/>
  <c r="O477" i="2"/>
  <c r="P477" i="2"/>
  <c r="Q477" i="2"/>
  <c r="R477" i="2"/>
  <c r="S477" i="2"/>
  <c r="T477" i="2"/>
  <c r="U477" i="2"/>
  <c r="V477" i="2"/>
  <c r="W477" i="2"/>
  <c r="X477" i="2"/>
  <c r="Y477" i="2"/>
  <c r="Z477" i="2"/>
  <c r="AA477" i="2"/>
  <c r="AB477" i="2"/>
  <c r="AC477" i="2"/>
  <c r="AD477" i="2"/>
  <c r="AE477" i="2"/>
  <c r="AF477" i="2"/>
  <c r="AG477" i="2"/>
  <c r="D478" i="2"/>
  <c r="E478" i="2"/>
  <c r="F478" i="2"/>
  <c r="G478" i="2"/>
  <c r="H478" i="2"/>
  <c r="I478" i="2"/>
  <c r="J478" i="2"/>
  <c r="K478" i="2"/>
  <c r="L478" i="2"/>
  <c r="M478" i="2"/>
  <c r="N478" i="2"/>
  <c r="O478" i="2"/>
  <c r="P478" i="2"/>
  <c r="Q478" i="2"/>
  <c r="R478" i="2"/>
  <c r="S478" i="2"/>
  <c r="T478" i="2"/>
  <c r="U478" i="2"/>
  <c r="V478" i="2"/>
  <c r="W478" i="2"/>
  <c r="X478" i="2"/>
  <c r="Y478" i="2"/>
  <c r="Z478" i="2"/>
  <c r="AA478" i="2"/>
  <c r="AB478" i="2"/>
  <c r="AC478" i="2"/>
  <c r="AD478" i="2"/>
  <c r="AE478" i="2"/>
  <c r="AF478" i="2"/>
  <c r="AG478" i="2"/>
  <c r="D479" i="2"/>
  <c r="E479" i="2"/>
  <c r="F479" i="2"/>
  <c r="G479" i="2"/>
  <c r="H479" i="2"/>
  <c r="I479" i="2"/>
  <c r="J479" i="2"/>
  <c r="K479" i="2"/>
  <c r="L479" i="2"/>
  <c r="M479" i="2"/>
  <c r="N479" i="2"/>
  <c r="O479" i="2"/>
  <c r="P479" i="2"/>
  <c r="Q479" i="2"/>
  <c r="R479" i="2"/>
  <c r="S479" i="2"/>
  <c r="T479" i="2"/>
  <c r="U479" i="2"/>
  <c r="V479" i="2"/>
  <c r="W479" i="2"/>
  <c r="X479" i="2"/>
  <c r="Y479" i="2"/>
  <c r="Z479" i="2"/>
  <c r="AA479" i="2"/>
  <c r="AB479" i="2"/>
  <c r="AC479" i="2"/>
  <c r="AD479" i="2"/>
  <c r="AE479" i="2"/>
  <c r="AF479" i="2"/>
  <c r="AG479" i="2"/>
  <c r="D481" i="2"/>
  <c r="E481" i="2"/>
  <c r="F481" i="2"/>
  <c r="G481" i="2"/>
  <c r="H481" i="2"/>
  <c r="I481" i="2"/>
  <c r="J481" i="2"/>
  <c r="K481" i="2"/>
  <c r="L481" i="2"/>
  <c r="M481" i="2"/>
  <c r="N481" i="2"/>
  <c r="O481" i="2"/>
  <c r="P481" i="2"/>
  <c r="Q481" i="2"/>
  <c r="R481" i="2"/>
  <c r="S481" i="2"/>
  <c r="T481" i="2"/>
  <c r="U481" i="2"/>
  <c r="V481" i="2"/>
  <c r="W481" i="2"/>
  <c r="X481" i="2"/>
  <c r="Y481" i="2"/>
  <c r="Z481" i="2"/>
  <c r="AA481" i="2"/>
  <c r="AB481" i="2"/>
  <c r="AC481" i="2"/>
  <c r="AD481" i="2"/>
  <c r="AE481" i="2"/>
  <c r="AF481" i="2"/>
  <c r="AG481" i="2"/>
  <c r="D482" i="2"/>
  <c r="E482" i="2"/>
  <c r="F482" i="2"/>
  <c r="G482" i="2"/>
  <c r="H482" i="2"/>
  <c r="I482" i="2"/>
  <c r="J482" i="2"/>
  <c r="K482" i="2"/>
  <c r="L482" i="2"/>
  <c r="M482" i="2"/>
  <c r="N482" i="2"/>
  <c r="O482" i="2"/>
  <c r="P482" i="2"/>
  <c r="Q482" i="2"/>
  <c r="R482" i="2"/>
  <c r="S482" i="2"/>
  <c r="T482" i="2"/>
  <c r="U482" i="2"/>
  <c r="V482" i="2"/>
  <c r="W482" i="2"/>
  <c r="X482" i="2"/>
  <c r="Y482" i="2"/>
  <c r="Z482" i="2"/>
  <c r="AA482" i="2"/>
  <c r="AB482" i="2"/>
  <c r="AC482" i="2"/>
  <c r="AD482" i="2"/>
  <c r="AE482" i="2"/>
  <c r="AF482" i="2"/>
  <c r="AG482" i="2"/>
  <c r="D483" i="2"/>
  <c r="E483" i="2"/>
  <c r="F483" i="2"/>
  <c r="G483" i="2"/>
  <c r="H483" i="2"/>
  <c r="I483" i="2"/>
  <c r="J483" i="2"/>
  <c r="K483" i="2"/>
  <c r="L483" i="2"/>
  <c r="M483" i="2"/>
  <c r="N483" i="2"/>
  <c r="O483" i="2"/>
  <c r="P483" i="2"/>
  <c r="Q483" i="2"/>
  <c r="R483" i="2"/>
  <c r="S483" i="2"/>
  <c r="T483" i="2"/>
  <c r="U483" i="2"/>
  <c r="V483" i="2"/>
  <c r="W483" i="2"/>
  <c r="X483" i="2"/>
  <c r="Y483" i="2"/>
  <c r="Z483" i="2"/>
  <c r="AA483" i="2"/>
  <c r="AB483" i="2"/>
  <c r="AC483" i="2"/>
  <c r="AD483" i="2"/>
  <c r="AE483" i="2"/>
  <c r="AF483" i="2"/>
  <c r="AG483" i="2"/>
  <c r="D484" i="2"/>
  <c r="E484" i="2"/>
  <c r="F484" i="2"/>
  <c r="G484" i="2"/>
  <c r="H484" i="2"/>
  <c r="I484" i="2"/>
  <c r="J484" i="2"/>
  <c r="K484" i="2"/>
  <c r="L484" i="2"/>
  <c r="M484" i="2"/>
  <c r="N484" i="2"/>
  <c r="O484" i="2"/>
  <c r="P484" i="2"/>
  <c r="Q484" i="2"/>
  <c r="R484" i="2"/>
  <c r="S484" i="2"/>
  <c r="T484" i="2"/>
  <c r="U484" i="2"/>
  <c r="V484" i="2"/>
  <c r="W484" i="2"/>
  <c r="X484" i="2"/>
  <c r="Y484" i="2"/>
  <c r="Z484" i="2"/>
  <c r="AA484" i="2"/>
  <c r="AB484" i="2"/>
  <c r="AC484" i="2"/>
  <c r="AD484" i="2"/>
  <c r="AE484" i="2"/>
  <c r="AF484" i="2"/>
  <c r="AG484" i="2"/>
  <c r="D485" i="2"/>
  <c r="E485" i="2"/>
  <c r="F485" i="2"/>
  <c r="G485" i="2"/>
  <c r="H485" i="2"/>
  <c r="I485" i="2"/>
  <c r="J485" i="2"/>
  <c r="K485" i="2"/>
  <c r="L485" i="2"/>
  <c r="M485" i="2"/>
  <c r="N485" i="2"/>
  <c r="O485" i="2"/>
  <c r="P485" i="2"/>
  <c r="Q485" i="2"/>
  <c r="R485" i="2"/>
  <c r="S485" i="2"/>
  <c r="T485" i="2"/>
  <c r="U485" i="2"/>
  <c r="V485" i="2"/>
  <c r="W485" i="2"/>
  <c r="X485" i="2"/>
  <c r="Y485" i="2"/>
  <c r="Z485" i="2"/>
  <c r="AA485" i="2"/>
  <c r="AB485" i="2"/>
  <c r="AC485" i="2"/>
  <c r="AD485" i="2"/>
  <c r="AE485" i="2"/>
  <c r="AF485" i="2"/>
  <c r="AG485" i="2"/>
  <c r="D486" i="2"/>
  <c r="E486" i="2"/>
  <c r="F486" i="2"/>
  <c r="G486" i="2"/>
  <c r="H486" i="2"/>
  <c r="I486" i="2"/>
  <c r="J486" i="2"/>
  <c r="K486" i="2"/>
  <c r="L486" i="2"/>
  <c r="M486" i="2"/>
  <c r="N486" i="2"/>
  <c r="O486" i="2"/>
  <c r="P486" i="2"/>
  <c r="Q486" i="2"/>
  <c r="R486" i="2"/>
  <c r="S486" i="2"/>
  <c r="T486" i="2"/>
  <c r="U486" i="2"/>
  <c r="V486" i="2"/>
  <c r="W486" i="2"/>
  <c r="X486" i="2"/>
  <c r="Y486" i="2"/>
  <c r="Z486" i="2"/>
  <c r="AA486" i="2"/>
  <c r="AB486" i="2"/>
  <c r="AC486" i="2"/>
  <c r="AD486" i="2"/>
  <c r="AE486" i="2"/>
  <c r="AF486" i="2"/>
  <c r="AG486" i="2"/>
  <c r="D487" i="2"/>
  <c r="E487" i="2"/>
  <c r="F487" i="2"/>
  <c r="G487" i="2"/>
  <c r="H487" i="2"/>
  <c r="I487" i="2"/>
  <c r="J487" i="2"/>
  <c r="K487" i="2"/>
  <c r="L487" i="2"/>
  <c r="M487" i="2"/>
  <c r="N487" i="2"/>
  <c r="O487" i="2"/>
  <c r="P487" i="2"/>
  <c r="Q487" i="2"/>
  <c r="R487" i="2"/>
  <c r="S487" i="2"/>
  <c r="T487" i="2"/>
  <c r="U487" i="2"/>
  <c r="V487" i="2"/>
  <c r="W487" i="2"/>
  <c r="X487" i="2"/>
  <c r="Y487" i="2"/>
  <c r="Z487" i="2"/>
  <c r="AA487" i="2"/>
  <c r="AB487" i="2"/>
  <c r="AC487" i="2"/>
  <c r="AD487" i="2"/>
  <c r="AE487" i="2"/>
  <c r="AF487" i="2"/>
  <c r="AG487" i="2"/>
  <c r="D488" i="2"/>
  <c r="E488" i="2"/>
  <c r="F488" i="2"/>
  <c r="G488" i="2"/>
  <c r="H488" i="2"/>
  <c r="I488" i="2"/>
  <c r="J488" i="2"/>
  <c r="K488" i="2"/>
  <c r="L488" i="2"/>
  <c r="M488" i="2"/>
  <c r="N488" i="2"/>
  <c r="O488" i="2"/>
  <c r="P488" i="2"/>
  <c r="Q488" i="2"/>
  <c r="R488" i="2"/>
  <c r="S488" i="2"/>
  <c r="T488" i="2"/>
  <c r="U488" i="2"/>
  <c r="V488" i="2"/>
  <c r="W488" i="2"/>
  <c r="X488" i="2"/>
  <c r="Y488" i="2"/>
  <c r="Z488" i="2"/>
  <c r="AA488" i="2"/>
  <c r="AB488" i="2"/>
  <c r="AC488" i="2"/>
  <c r="AD488" i="2"/>
  <c r="AE488" i="2"/>
  <c r="AF488" i="2"/>
  <c r="AG488" i="2"/>
  <c r="D489" i="2"/>
  <c r="E489" i="2"/>
  <c r="F489" i="2"/>
  <c r="G489" i="2"/>
  <c r="H489" i="2"/>
  <c r="I489" i="2"/>
  <c r="J489" i="2"/>
  <c r="K489" i="2"/>
  <c r="L489" i="2"/>
  <c r="M489" i="2"/>
  <c r="N489" i="2"/>
  <c r="O489" i="2"/>
  <c r="P489" i="2"/>
  <c r="Q489" i="2"/>
  <c r="R489" i="2"/>
  <c r="S489" i="2"/>
  <c r="T489" i="2"/>
  <c r="U489" i="2"/>
  <c r="V489" i="2"/>
  <c r="W489" i="2"/>
  <c r="X489" i="2"/>
  <c r="Y489" i="2"/>
  <c r="Z489" i="2"/>
  <c r="AA489" i="2"/>
  <c r="AB489" i="2"/>
  <c r="AC489" i="2"/>
  <c r="AD489" i="2"/>
  <c r="AE489" i="2"/>
  <c r="AF489" i="2"/>
  <c r="AG489" i="2"/>
  <c r="D490" i="2"/>
  <c r="E490" i="2"/>
  <c r="F490" i="2"/>
  <c r="G490" i="2"/>
  <c r="H490" i="2"/>
  <c r="I490" i="2"/>
  <c r="J490" i="2"/>
  <c r="K490" i="2"/>
  <c r="L490" i="2"/>
  <c r="M490" i="2"/>
  <c r="N490" i="2"/>
  <c r="O490" i="2"/>
  <c r="P490" i="2"/>
  <c r="Q490" i="2"/>
  <c r="R490" i="2"/>
  <c r="S490" i="2"/>
  <c r="T490" i="2"/>
  <c r="U490" i="2"/>
  <c r="V490" i="2"/>
  <c r="W490" i="2"/>
  <c r="X490" i="2"/>
  <c r="Y490" i="2"/>
  <c r="Z490" i="2"/>
  <c r="AA490" i="2"/>
  <c r="AB490" i="2"/>
  <c r="AC490" i="2"/>
  <c r="AD490" i="2"/>
  <c r="AE490" i="2"/>
  <c r="AF490" i="2"/>
  <c r="AG490" i="2"/>
  <c r="D492" i="2"/>
  <c r="E492" i="2"/>
  <c r="F492" i="2"/>
  <c r="G492" i="2"/>
  <c r="H492" i="2"/>
  <c r="I492" i="2"/>
  <c r="J492" i="2"/>
  <c r="K492" i="2"/>
  <c r="L492" i="2"/>
  <c r="M492" i="2"/>
  <c r="N492" i="2"/>
  <c r="O492" i="2"/>
  <c r="P492" i="2"/>
  <c r="Q492" i="2"/>
  <c r="R492" i="2"/>
  <c r="S492" i="2"/>
  <c r="T492" i="2"/>
  <c r="U492" i="2"/>
  <c r="V492" i="2"/>
  <c r="W492" i="2"/>
  <c r="X492" i="2"/>
  <c r="Y492" i="2"/>
  <c r="Z492" i="2"/>
  <c r="AA492" i="2"/>
  <c r="AB492" i="2"/>
  <c r="AC492" i="2"/>
  <c r="AD492" i="2"/>
  <c r="AE492" i="2"/>
  <c r="AF492" i="2"/>
  <c r="AG492" i="2"/>
  <c r="D493" i="2"/>
  <c r="E493" i="2"/>
  <c r="F493" i="2"/>
  <c r="G493" i="2"/>
  <c r="H493" i="2"/>
  <c r="I493" i="2"/>
  <c r="J493" i="2"/>
  <c r="K493" i="2"/>
  <c r="L493" i="2"/>
  <c r="M493" i="2"/>
  <c r="N493" i="2"/>
  <c r="O493" i="2"/>
  <c r="P493" i="2"/>
  <c r="Q493" i="2"/>
  <c r="R493" i="2"/>
  <c r="S493" i="2"/>
  <c r="T493" i="2"/>
  <c r="U493" i="2"/>
  <c r="V493" i="2"/>
  <c r="W493" i="2"/>
  <c r="X493" i="2"/>
  <c r="Y493" i="2"/>
  <c r="Z493" i="2"/>
  <c r="AA493" i="2"/>
  <c r="AB493" i="2"/>
  <c r="AC493" i="2"/>
  <c r="AD493" i="2"/>
  <c r="AE493" i="2"/>
  <c r="AF493" i="2"/>
  <c r="AG493" i="2"/>
  <c r="D494" i="2"/>
  <c r="E494" i="2"/>
  <c r="F494" i="2"/>
  <c r="G494" i="2"/>
  <c r="H494" i="2"/>
  <c r="I494" i="2"/>
  <c r="J494" i="2"/>
  <c r="K494" i="2"/>
  <c r="L494" i="2"/>
  <c r="M494" i="2"/>
  <c r="N494" i="2"/>
  <c r="O494" i="2"/>
  <c r="P494" i="2"/>
  <c r="Q494" i="2"/>
  <c r="R494" i="2"/>
  <c r="S494" i="2"/>
  <c r="T494" i="2"/>
  <c r="U494" i="2"/>
  <c r="V494" i="2"/>
  <c r="W494" i="2"/>
  <c r="X494" i="2"/>
  <c r="Y494" i="2"/>
  <c r="Z494" i="2"/>
  <c r="AA494" i="2"/>
  <c r="AB494" i="2"/>
  <c r="AC494" i="2"/>
  <c r="AD494" i="2"/>
  <c r="AE494" i="2"/>
  <c r="AF494" i="2"/>
  <c r="AG494" i="2"/>
  <c r="D495" i="2"/>
  <c r="E495" i="2"/>
  <c r="F495" i="2"/>
  <c r="G495" i="2"/>
  <c r="H495" i="2"/>
  <c r="I495" i="2"/>
  <c r="J495" i="2"/>
  <c r="K495" i="2"/>
  <c r="L495" i="2"/>
  <c r="M495" i="2"/>
  <c r="N495" i="2"/>
  <c r="O495" i="2"/>
  <c r="P495" i="2"/>
  <c r="Q495" i="2"/>
  <c r="R495" i="2"/>
  <c r="S495" i="2"/>
  <c r="T495" i="2"/>
  <c r="U495" i="2"/>
  <c r="V495" i="2"/>
  <c r="W495" i="2"/>
  <c r="X495" i="2"/>
  <c r="Y495" i="2"/>
  <c r="Z495" i="2"/>
  <c r="AA495" i="2"/>
  <c r="AB495" i="2"/>
  <c r="AC495" i="2"/>
  <c r="AD495" i="2"/>
  <c r="AE495" i="2"/>
  <c r="AF495" i="2"/>
  <c r="AG495" i="2"/>
  <c r="D496" i="2"/>
  <c r="E496" i="2"/>
  <c r="F496" i="2"/>
  <c r="G496" i="2"/>
  <c r="H496" i="2"/>
  <c r="I496" i="2"/>
  <c r="J496" i="2"/>
  <c r="K496" i="2"/>
  <c r="L496" i="2"/>
  <c r="M496" i="2"/>
  <c r="N496" i="2"/>
  <c r="O496" i="2"/>
  <c r="P496" i="2"/>
  <c r="Q496" i="2"/>
  <c r="R496" i="2"/>
  <c r="S496" i="2"/>
  <c r="T496" i="2"/>
  <c r="U496" i="2"/>
  <c r="V496" i="2"/>
  <c r="W496" i="2"/>
  <c r="X496" i="2"/>
  <c r="Y496" i="2"/>
  <c r="Z496" i="2"/>
  <c r="AA496" i="2"/>
  <c r="AB496" i="2"/>
  <c r="AC496" i="2"/>
  <c r="AD496" i="2"/>
  <c r="AE496" i="2"/>
  <c r="AF496" i="2"/>
  <c r="AG496" i="2"/>
  <c r="D497" i="2"/>
  <c r="E497" i="2"/>
  <c r="F497" i="2"/>
  <c r="G497" i="2"/>
  <c r="H497" i="2"/>
  <c r="I497" i="2"/>
  <c r="J497" i="2"/>
  <c r="K497" i="2"/>
  <c r="L497" i="2"/>
  <c r="M497" i="2"/>
  <c r="N497" i="2"/>
  <c r="O497" i="2"/>
  <c r="P497" i="2"/>
  <c r="Q497" i="2"/>
  <c r="R497" i="2"/>
  <c r="S497" i="2"/>
  <c r="T497" i="2"/>
  <c r="U497" i="2"/>
  <c r="V497" i="2"/>
  <c r="W497" i="2"/>
  <c r="X497" i="2"/>
  <c r="Y497" i="2"/>
  <c r="Z497" i="2"/>
  <c r="AA497" i="2"/>
  <c r="AB497" i="2"/>
  <c r="AC497" i="2"/>
  <c r="AD497" i="2"/>
  <c r="AE497" i="2"/>
  <c r="AF497" i="2"/>
  <c r="AG497" i="2"/>
  <c r="D498" i="2"/>
  <c r="E498" i="2"/>
  <c r="F498" i="2"/>
  <c r="G498" i="2"/>
  <c r="H498" i="2"/>
  <c r="I498" i="2"/>
  <c r="J498" i="2"/>
  <c r="K498" i="2"/>
  <c r="L498" i="2"/>
  <c r="M498" i="2"/>
  <c r="N498" i="2"/>
  <c r="O498" i="2"/>
  <c r="P498" i="2"/>
  <c r="Q498" i="2"/>
  <c r="R498" i="2"/>
  <c r="S498" i="2"/>
  <c r="T498" i="2"/>
  <c r="U498" i="2"/>
  <c r="V498" i="2"/>
  <c r="W498" i="2"/>
  <c r="X498" i="2"/>
  <c r="Y498" i="2"/>
  <c r="Z498" i="2"/>
  <c r="AA498" i="2"/>
  <c r="AB498" i="2"/>
  <c r="AC498" i="2"/>
  <c r="AD498" i="2"/>
  <c r="AE498" i="2"/>
  <c r="AF498" i="2"/>
  <c r="AG498" i="2"/>
  <c r="D499" i="2"/>
  <c r="E499" i="2"/>
  <c r="F499" i="2"/>
  <c r="G499" i="2"/>
  <c r="H499" i="2"/>
  <c r="I499" i="2"/>
  <c r="J499" i="2"/>
  <c r="K499" i="2"/>
  <c r="L499" i="2"/>
  <c r="M499" i="2"/>
  <c r="N499" i="2"/>
  <c r="O499" i="2"/>
  <c r="P499" i="2"/>
  <c r="Q499" i="2"/>
  <c r="R499" i="2"/>
  <c r="S499" i="2"/>
  <c r="T499" i="2"/>
  <c r="U499" i="2"/>
  <c r="V499" i="2"/>
  <c r="W499" i="2"/>
  <c r="X499" i="2"/>
  <c r="Y499" i="2"/>
  <c r="Z499" i="2"/>
  <c r="AA499" i="2"/>
  <c r="AB499" i="2"/>
  <c r="AC499" i="2"/>
  <c r="AD499" i="2"/>
  <c r="AE499" i="2"/>
  <c r="AF499" i="2"/>
  <c r="AG499" i="2"/>
  <c r="D500" i="2"/>
  <c r="E500" i="2"/>
  <c r="F500" i="2"/>
  <c r="G500" i="2"/>
  <c r="H500" i="2"/>
  <c r="I500" i="2"/>
  <c r="J500" i="2"/>
  <c r="K500" i="2"/>
  <c r="L500" i="2"/>
  <c r="M500" i="2"/>
  <c r="N500" i="2"/>
  <c r="O500" i="2"/>
  <c r="P500" i="2"/>
  <c r="Q500" i="2"/>
  <c r="R500" i="2"/>
  <c r="S500" i="2"/>
  <c r="T500" i="2"/>
  <c r="U500" i="2"/>
  <c r="V500" i="2"/>
  <c r="W500" i="2"/>
  <c r="X500" i="2"/>
  <c r="Y500" i="2"/>
  <c r="Z500" i="2"/>
  <c r="AA500" i="2"/>
  <c r="AB500" i="2"/>
  <c r="AC500" i="2"/>
  <c r="AD500" i="2"/>
  <c r="AE500" i="2"/>
  <c r="AF500" i="2"/>
  <c r="AG500" i="2"/>
  <c r="D501" i="2"/>
  <c r="E501" i="2"/>
  <c r="F501" i="2"/>
  <c r="G501" i="2"/>
  <c r="H501" i="2"/>
  <c r="I501" i="2"/>
  <c r="J501" i="2"/>
  <c r="K501" i="2"/>
  <c r="L501" i="2"/>
  <c r="M501" i="2"/>
  <c r="N501" i="2"/>
  <c r="O501" i="2"/>
  <c r="P501" i="2"/>
  <c r="Q501" i="2"/>
  <c r="R501" i="2"/>
  <c r="S501" i="2"/>
  <c r="T501" i="2"/>
  <c r="U501" i="2"/>
  <c r="V501" i="2"/>
  <c r="W501" i="2"/>
  <c r="X501" i="2"/>
  <c r="Y501" i="2"/>
  <c r="Z501" i="2"/>
  <c r="AA501" i="2"/>
  <c r="AB501" i="2"/>
  <c r="AC501" i="2"/>
  <c r="AD501" i="2"/>
  <c r="AE501" i="2"/>
  <c r="AF501" i="2"/>
  <c r="AG501" i="2"/>
  <c r="D503" i="2"/>
  <c r="E503" i="2"/>
  <c r="F503" i="2"/>
  <c r="G503" i="2"/>
  <c r="H503" i="2"/>
  <c r="I503" i="2"/>
  <c r="J503" i="2"/>
  <c r="K503" i="2"/>
  <c r="L503" i="2"/>
  <c r="M503" i="2"/>
  <c r="N503" i="2"/>
  <c r="O503" i="2"/>
  <c r="P503" i="2"/>
  <c r="Q503" i="2"/>
  <c r="R503" i="2"/>
  <c r="S503" i="2"/>
  <c r="T503" i="2"/>
  <c r="U503" i="2"/>
  <c r="V503" i="2"/>
  <c r="W503" i="2"/>
  <c r="X503" i="2"/>
  <c r="Y503" i="2"/>
  <c r="Z503" i="2"/>
  <c r="AA503" i="2"/>
  <c r="AB503" i="2"/>
  <c r="AC503" i="2"/>
  <c r="AD503" i="2"/>
  <c r="AE503" i="2"/>
  <c r="AF503" i="2"/>
  <c r="AG503" i="2"/>
  <c r="D504" i="2"/>
  <c r="E504" i="2"/>
  <c r="F504" i="2"/>
  <c r="G504" i="2"/>
  <c r="H504" i="2"/>
  <c r="I504" i="2"/>
  <c r="J504" i="2"/>
  <c r="K504" i="2"/>
  <c r="L504" i="2"/>
  <c r="M504" i="2"/>
  <c r="N504" i="2"/>
  <c r="O504" i="2"/>
  <c r="P504" i="2"/>
  <c r="Q504" i="2"/>
  <c r="R504" i="2"/>
  <c r="S504" i="2"/>
  <c r="T504" i="2"/>
  <c r="U504" i="2"/>
  <c r="V504" i="2"/>
  <c r="W504" i="2"/>
  <c r="X504" i="2"/>
  <c r="Y504" i="2"/>
  <c r="Z504" i="2"/>
  <c r="AA504" i="2"/>
  <c r="AB504" i="2"/>
  <c r="AC504" i="2"/>
  <c r="AD504" i="2"/>
  <c r="AE504" i="2"/>
  <c r="AF504" i="2"/>
  <c r="AG504" i="2"/>
  <c r="D505" i="2"/>
  <c r="E505" i="2"/>
  <c r="F505" i="2"/>
  <c r="G505" i="2"/>
  <c r="H505" i="2"/>
  <c r="I505" i="2"/>
  <c r="J505" i="2"/>
  <c r="K505" i="2"/>
  <c r="L505" i="2"/>
  <c r="M505" i="2"/>
  <c r="N505" i="2"/>
  <c r="O505" i="2"/>
  <c r="P505" i="2"/>
  <c r="Q505" i="2"/>
  <c r="R505" i="2"/>
  <c r="S505" i="2"/>
  <c r="T505" i="2"/>
  <c r="U505" i="2"/>
  <c r="V505" i="2"/>
  <c r="W505" i="2"/>
  <c r="X505" i="2"/>
  <c r="Y505" i="2"/>
  <c r="Z505" i="2"/>
  <c r="AA505" i="2"/>
  <c r="AB505" i="2"/>
  <c r="AC505" i="2"/>
  <c r="AD505" i="2"/>
  <c r="AE505" i="2"/>
  <c r="AF505" i="2"/>
  <c r="AG505" i="2"/>
  <c r="D506" i="2"/>
  <c r="E506" i="2"/>
  <c r="F506" i="2"/>
  <c r="G506" i="2"/>
  <c r="H506" i="2"/>
  <c r="I506" i="2"/>
  <c r="J506" i="2"/>
  <c r="K506" i="2"/>
  <c r="L506" i="2"/>
  <c r="M506" i="2"/>
  <c r="N506" i="2"/>
  <c r="O506" i="2"/>
  <c r="P506" i="2"/>
  <c r="Q506" i="2"/>
  <c r="R506" i="2"/>
  <c r="S506" i="2"/>
  <c r="T506" i="2"/>
  <c r="U506" i="2"/>
  <c r="V506" i="2"/>
  <c r="W506" i="2"/>
  <c r="X506" i="2"/>
  <c r="Y506" i="2"/>
  <c r="Z506" i="2"/>
  <c r="AA506" i="2"/>
  <c r="AB506" i="2"/>
  <c r="AC506" i="2"/>
  <c r="AD506" i="2"/>
  <c r="AE506" i="2"/>
  <c r="AF506" i="2"/>
  <c r="AG506" i="2"/>
  <c r="D507" i="2"/>
  <c r="E507" i="2"/>
  <c r="F507" i="2"/>
  <c r="G507" i="2"/>
  <c r="H507" i="2"/>
  <c r="I507" i="2"/>
  <c r="J507" i="2"/>
  <c r="K507" i="2"/>
  <c r="L507" i="2"/>
  <c r="M507" i="2"/>
  <c r="N507" i="2"/>
  <c r="O507" i="2"/>
  <c r="P507" i="2"/>
  <c r="Q507" i="2"/>
  <c r="R507" i="2"/>
  <c r="S507" i="2"/>
  <c r="T507" i="2"/>
  <c r="U507" i="2"/>
  <c r="V507" i="2"/>
  <c r="W507" i="2"/>
  <c r="X507" i="2"/>
  <c r="Y507" i="2"/>
  <c r="Z507" i="2"/>
  <c r="AA507" i="2"/>
  <c r="AB507" i="2"/>
  <c r="AC507" i="2"/>
  <c r="AD507" i="2"/>
  <c r="AE507" i="2"/>
  <c r="AF507" i="2"/>
  <c r="AG507" i="2"/>
  <c r="D508" i="2"/>
  <c r="E508" i="2"/>
  <c r="F508" i="2"/>
  <c r="G508" i="2"/>
  <c r="H508" i="2"/>
  <c r="I508" i="2"/>
  <c r="J508" i="2"/>
  <c r="K508" i="2"/>
  <c r="L508" i="2"/>
  <c r="M508" i="2"/>
  <c r="N508" i="2"/>
  <c r="O508" i="2"/>
  <c r="P508" i="2"/>
  <c r="Q508" i="2"/>
  <c r="R508" i="2"/>
  <c r="S508" i="2"/>
  <c r="T508" i="2"/>
  <c r="U508" i="2"/>
  <c r="V508" i="2"/>
  <c r="W508" i="2"/>
  <c r="X508" i="2"/>
  <c r="Y508" i="2"/>
  <c r="Z508" i="2"/>
  <c r="AA508" i="2"/>
  <c r="AB508" i="2"/>
  <c r="AC508" i="2"/>
  <c r="AD508" i="2"/>
  <c r="AE508" i="2"/>
  <c r="AF508" i="2"/>
  <c r="AG508" i="2"/>
  <c r="D509" i="2"/>
  <c r="E509" i="2"/>
  <c r="F509" i="2"/>
  <c r="G509" i="2"/>
  <c r="H509" i="2"/>
  <c r="I509" i="2"/>
  <c r="J509" i="2"/>
  <c r="K509" i="2"/>
  <c r="L509" i="2"/>
  <c r="M509" i="2"/>
  <c r="N509" i="2"/>
  <c r="O509" i="2"/>
  <c r="P509" i="2"/>
  <c r="Q509" i="2"/>
  <c r="R509" i="2"/>
  <c r="S509" i="2"/>
  <c r="T509" i="2"/>
  <c r="U509" i="2"/>
  <c r="V509" i="2"/>
  <c r="W509" i="2"/>
  <c r="X509" i="2"/>
  <c r="Y509" i="2"/>
  <c r="Z509" i="2"/>
  <c r="AA509" i="2"/>
  <c r="AB509" i="2"/>
  <c r="AC509" i="2"/>
  <c r="AD509" i="2"/>
  <c r="AE509" i="2"/>
  <c r="AF509" i="2"/>
  <c r="AG509" i="2"/>
  <c r="D510" i="2"/>
  <c r="E510" i="2"/>
  <c r="F510" i="2"/>
  <c r="G510" i="2"/>
  <c r="H510" i="2"/>
  <c r="I510" i="2"/>
  <c r="J510" i="2"/>
  <c r="K510" i="2"/>
  <c r="L510" i="2"/>
  <c r="M510" i="2"/>
  <c r="N510" i="2"/>
  <c r="O510" i="2"/>
  <c r="P510" i="2"/>
  <c r="Q510" i="2"/>
  <c r="R510" i="2"/>
  <c r="S510" i="2"/>
  <c r="T510" i="2"/>
  <c r="U510" i="2"/>
  <c r="V510" i="2"/>
  <c r="W510" i="2"/>
  <c r="X510" i="2"/>
  <c r="Y510" i="2"/>
  <c r="Z510" i="2"/>
  <c r="AA510" i="2"/>
  <c r="AB510" i="2"/>
  <c r="AC510" i="2"/>
  <c r="AD510" i="2"/>
  <c r="AE510" i="2"/>
  <c r="AF510" i="2"/>
  <c r="AG510" i="2"/>
  <c r="D511" i="2"/>
  <c r="E511" i="2"/>
  <c r="F511" i="2"/>
  <c r="G511" i="2"/>
  <c r="H511" i="2"/>
  <c r="I511" i="2"/>
  <c r="J511" i="2"/>
  <c r="K511" i="2"/>
  <c r="L511" i="2"/>
  <c r="M511" i="2"/>
  <c r="N511" i="2"/>
  <c r="O511" i="2"/>
  <c r="P511" i="2"/>
  <c r="Q511" i="2"/>
  <c r="R511" i="2"/>
  <c r="S511" i="2"/>
  <c r="T511" i="2"/>
  <c r="U511" i="2"/>
  <c r="V511" i="2"/>
  <c r="W511" i="2"/>
  <c r="X511" i="2"/>
  <c r="Y511" i="2"/>
  <c r="Z511" i="2"/>
  <c r="AA511" i="2"/>
  <c r="AB511" i="2"/>
  <c r="AC511" i="2"/>
  <c r="AD511" i="2"/>
  <c r="AE511" i="2"/>
  <c r="AF511" i="2"/>
  <c r="AG511" i="2"/>
  <c r="D512" i="2"/>
  <c r="E512" i="2"/>
  <c r="F512" i="2"/>
  <c r="G512" i="2"/>
  <c r="H512" i="2"/>
  <c r="I512" i="2"/>
  <c r="J512" i="2"/>
  <c r="K512" i="2"/>
  <c r="L512" i="2"/>
  <c r="M512" i="2"/>
  <c r="N512" i="2"/>
  <c r="O512" i="2"/>
  <c r="P512" i="2"/>
  <c r="Q512" i="2"/>
  <c r="R512" i="2"/>
  <c r="S512" i="2"/>
  <c r="T512" i="2"/>
  <c r="U512" i="2"/>
  <c r="V512" i="2"/>
  <c r="W512" i="2"/>
  <c r="X512" i="2"/>
  <c r="Y512" i="2"/>
  <c r="Z512" i="2"/>
  <c r="AA512" i="2"/>
  <c r="AB512" i="2"/>
  <c r="AC512" i="2"/>
  <c r="AD512" i="2"/>
  <c r="AE512" i="2"/>
  <c r="AF512" i="2"/>
  <c r="AG512" i="2"/>
  <c r="D514" i="2"/>
  <c r="E514" i="2"/>
  <c r="F514" i="2"/>
  <c r="G514" i="2"/>
  <c r="H514" i="2"/>
  <c r="I514" i="2"/>
  <c r="J514" i="2"/>
  <c r="K514" i="2"/>
  <c r="L514" i="2"/>
  <c r="M514" i="2"/>
  <c r="N514" i="2"/>
  <c r="O514" i="2"/>
  <c r="P514" i="2"/>
  <c r="Q514" i="2"/>
  <c r="R514" i="2"/>
  <c r="S514" i="2"/>
  <c r="T514" i="2"/>
  <c r="U514" i="2"/>
  <c r="V514" i="2"/>
  <c r="W514" i="2"/>
  <c r="X514" i="2"/>
  <c r="Y514" i="2"/>
  <c r="Z514" i="2"/>
  <c r="AA514" i="2"/>
  <c r="AB514" i="2"/>
  <c r="AC514" i="2"/>
  <c r="AD514" i="2"/>
  <c r="AE514" i="2"/>
  <c r="AF514" i="2"/>
  <c r="AG514" i="2"/>
  <c r="D515" i="2"/>
  <c r="E515" i="2"/>
  <c r="F515" i="2"/>
  <c r="G515" i="2"/>
  <c r="H515" i="2"/>
  <c r="I515" i="2"/>
  <c r="J515" i="2"/>
  <c r="K515" i="2"/>
  <c r="L515" i="2"/>
  <c r="M515" i="2"/>
  <c r="N515" i="2"/>
  <c r="O515" i="2"/>
  <c r="P515" i="2"/>
  <c r="Q515" i="2"/>
  <c r="R515" i="2"/>
  <c r="S515" i="2"/>
  <c r="T515" i="2"/>
  <c r="U515" i="2"/>
  <c r="V515" i="2"/>
  <c r="W515" i="2"/>
  <c r="X515" i="2"/>
  <c r="Y515" i="2"/>
  <c r="Z515" i="2"/>
  <c r="AA515" i="2"/>
  <c r="AB515" i="2"/>
  <c r="AC515" i="2"/>
  <c r="AD515" i="2"/>
  <c r="AE515" i="2"/>
  <c r="AF515" i="2"/>
  <c r="AG515" i="2"/>
  <c r="D516" i="2"/>
  <c r="E516" i="2"/>
  <c r="F516" i="2"/>
  <c r="G516" i="2"/>
  <c r="H516" i="2"/>
  <c r="I516" i="2"/>
  <c r="J516" i="2"/>
  <c r="K516" i="2"/>
  <c r="L516" i="2"/>
  <c r="M516" i="2"/>
  <c r="N516" i="2"/>
  <c r="O516" i="2"/>
  <c r="P516" i="2"/>
  <c r="Q516" i="2"/>
  <c r="R516" i="2"/>
  <c r="S516" i="2"/>
  <c r="T516" i="2"/>
  <c r="U516" i="2"/>
  <c r="V516" i="2"/>
  <c r="W516" i="2"/>
  <c r="X516" i="2"/>
  <c r="Y516" i="2"/>
  <c r="Z516" i="2"/>
  <c r="AA516" i="2"/>
  <c r="AB516" i="2"/>
  <c r="AC516" i="2"/>
  <c r="AD516" i="2"/>
  <c r="AE516" i="2"/>
  <c r="AF516" i="2"/>
  <c r="AG516" i="2"/>
  <c r="D517" i="2"/>
  <c r="E517" i="2"/>
  <c r="F517" i="2"/>
  <c r="G517" i="2"/>
  <c r="H517" i="2"/>
  <c r="I517" i="2"/>
  <c r="J517" i="2"/>
  <c r="K517" i="2"/>
  <c r="L517" i="2"/>
  <c r="M517" i="2"/>
  <c r="N517" i="2"/>
  <c r="O517" i="2"/>
  <c r="P517" i="2"/>
  <c r="Q517" i="2"/>
  <c r="R517" i="2"/>
  <c r="S517" i="2"/>
  <c r="T517" i="2"/>
  <c r="U517" i="2"/>
  <c r="V517" i="2"/>
  <c r="W517" i="2"/>
  <c r="X517" i="2"/>
  <c r="Y517" i="2"/>
  <c r="Z517" i="2"/>
  <c r="AA517" i="2"/>
  <c r="AB517" i="2"/>
  <c r="AC517" i="2"/>
  <c r="AD517" i="2"/>
  <c r="AE517" i="2"/>
  <c r="AF517" i="2"/>
  <c r="AG517" i="2"/>
  <c r="D518" i="2"/>
  <c r="E518" i="2"/>
  <c r="F518" i="2"/>
  <c r="G518" i="2"/>
  <c r="H518" i="2"/>
  <c r="I518" i="2"/>
  <c r="J518" i="2"/>
  <c r="K518" i="2"/>
  <c r="L518" i="2"/>
  <c r="M518" i="2"/>
  <c r="N518" i="2"/>
  <c r="O518" i="2"/>
  <c r="P518" i="2"/>
  <c r="Q518" i="2"/>
  <c r="R518" i="2"/>
  <c r="S518" i="2"/>
  <c r="T518" i="2"/>
  <c r="U518" i="2"/>
  <c r="V518" i="2"/>
  <c r="W518" i="2"/>
  <c r="X518" i="2"/>
  <c r="Y518" i="2"/>
  <c r="Z518" i="2"/>
  <c r="AA518" i="2"/>
  <c r="AB518" i="2"/>
  <c r="AC518" i="2"/>
  <c r="AD518" i="2"/>
  <c r="AE518" i="2"/>
  <c r="AF518" i="2"/>
  <c r="AG518" i="2"/>
  <c r="D519" i="2"/>
  <c r="E519" i="2"/>
  <c r="F519" i="2"/>
  <c r="G519" i="2"/>
  <c r="H519" i="2"/>
  <c r="I519" i="2"/>
  <c r="J519" i="2"/>
  <c r="K519" i="2"/>
  <c r="L519" i="2"/>
  <c r="M519" i="2"/>
  <c r="N519" i="2"/>
  <c r="O519" i="2"/>
  <c r="P519" i="2"/>
  <c r="Q519" i="2"/>
  <c r="R519" i="2"/>
  <c r="S519" i="2"/>
  <c r="T519" i="2"/>
  <c r="U519" i="2"/>
  <c r="V519" i="2"/>
  <c r="W519" i="2"/>
  <c r="X519" i="2"/>
  <c r="Y519" i="2"/>
  <c r="Z519" i="2"/>
  <c r="AA519" i="2"/>
  <c r="AB519" i="2"/>
  <c r="AC519" i="2"/>
  <c r="AD519" i="2"/>
  <c r="AE519" i="2"/>
  <c r="AF519" i="2"/>
  <c r="AG519" i="2"/>
  <c r="D520" i="2"/>
  <c r="E520" i="2"/>
  <c r="F520" i="2"/>
  <c r="G520" i="2"/>
  <c r="H520" i="2"/>
  <c r="I520" i="2"/>
  <c r="J520" i="2"/>
  <c r="K520" i="2"/>
  <c r="L520" i="2"/>
  <c r="M520" i="2"/>
  <c r="N520" i="2"/>
  <c r="O520" i="2"/>
  <c r="P520" i="2"/>
  <c r="Q520" i="2"/>
  <c r="R520" i="2"/>
  <c r="S520" i="2"/>
  <c r="T520" i="2"/>
  <c r="U520" i="2"/>
  <c r="V520" i="2"/>
  <c r="W520" i="2"/>
  <c r="X520" i="2"/>
  <c r="Y520" i="2"/>
  <c r="Z520" i="2"/>
  <c r="AA520" i="2"/>
  <c r="AB520" i="2"/>
  <c r="AC520" i="2"/>
  <c r="AD520" i="2"/>
  <c r="AE520" i="2"/>
  <c r="AF520" i="2"/>
  <c r="AG520" i="2"/>
  <c r="D521" i="2"/>
  <c r="E521" i="2"/>
  <c r="F521" i="2"/>
  <c r="G521" i="2"/>
  <c r="H521" i="2"/>
  <c r="I521" i="2"/>
  <c r="J521" i="2"/>
  <c r="K521" i="2"/>
  <c r="L521" i="2"/>
  <c r="M521" i="2"/>
  <c r="N521" i="2"/>
  <c r="O521" i="2"/>
  <c r="P521" i="2"/>
  <c r="Q521" i="2"/>
  <c r="R521" i="2"/>
  <c r="S521" i="2"/>
  <c r="T521" i="2"/>
  <c r="U521" i="2"/>
  <c r="V521" i="2"/>
  <c r="W521" i="2"/>
  <c r="X521" i="2"/>
  <c r="Y521" i="2"/>
  <c r="Z521" i="2"/>
  <c r="AA521" i="2"/>
  <c r="AB521" i="2"/>
  <c r="AC521" i="2"/>
  <c r="AD521" i="2"/>
  <c r="AE521" i="2"/>
  <c r="AF521" i="2"/>
  <c r="AG521" i="2"/>
  <c r="D522" i="2"/>
  <c r="E522" i="2"/>
  <c r="F522" i="2"/>
  <c r="G522" i="2"/>
  <c r="H522" i="2"/>
  <c r="I522" i="2"/>
  <c r="J522" i="2"/>
  <c r="K522" i="2"/>
  <c r="L522" i="2"/>
  <c r="M522" i="2"/>
  <c r="N522" i="2"/>
  <c r="O522" i="2"/>
  <c r="P522" i="2"/>
  <c r="Q522" i="2"/>
  <c r="R522" i="2"/>
  <c r="S522" i="2"/>
  <c r="T522" i="2"/>
  <c r="U522" i="2"/>
  <c r="V522" i="2"/>
  <c r="W522" i="2"/>
  <c r="X522" i="2"/>
  <c r="Y522" i="2"/>
  <c r="Z522" i="2"/>
  <c r="AA522" i="2"/>
  <c r="AB522" i="2"/>
  <c r="AC522" i="2"/>
  <c r="AD522" i="2"/>
  <c r="AE522" i="2"/>
  <c r="AF522" i="2"/>
  <c r="AG522" i="2"/>
  <c r="D523" i="2"/>
  <c r="E523" i="2"/>
  <c r="F523" i="2"/>
  <c r="G523" i="2"/>
  <c r="H523" i="2"/>
  <c r="I523" i="2"/>
  <c r="J523" i="2"/>
  <c r="K523" i="2"/>
  <c r="L523" i="2"/>
  <c r="M523" i="2"/>
  <c r="N523" i="2"/>
  <c r="O523" i="2"/>
  <c r="P523" i="2"/>
  <c r="Q523" i="2"/>
  <c r="R523" i="2"/>
  <c r="S523" i="2"/>
  <c r="T523" i="2"/>
  <c r="U523" i="2"/>
  <c r="V523" i="2"/>
  <c r="W523" i="2"/>
  <c r="X523" i="2"/>
  <c r="Y523" i="2"/>
  <c r="Z523" i="2"/>
  <c r="AA523" i="2"/>
  <c r="AB523" i="2"/>
  <c r="AC523" i="2"/>
  <c r="AD523" i="2"/>
  <c r="AE523" i="2"/>
  <c r="AF523" i="2"/>
  <c r="AG523" i="2"/>
  <c r="D525" i="2"/>
  <c r="E525" i="2"/>
  <c r="F525" i="2"/>
  <c r="G525" i="2"/>
  <c r="H525" i="2"/>
  <c r="I525" i="2"/>
  <c r="J525" i="2"/>
  <c r="K525" i="2"/>
  <c r="L525" i="2"/>
  <c r="M525" i="2"/>
  <c r="N525" i="2"/>
  <c r="O525" i="2"/>
  <c r="P525" i="2"/>
  <c r="Q525" i="2"/>
  <c r="R525" i="2"/>
  <c r="S525" i="2"/>
  <c r="T525" i="2"/>
  <c r="U525" i="2"/>
  <c r="V525" i="2"/>
  <c r="W525" i="2"/>
  <c r="X525" i="2"/>
  <c r="Y525" i="2"/>
  <c r="Z525" i="2"/>
  <c r="AA525" i="2"/>
  <c r="AB525" i="2"/>
  <c r="AC525" i="2"/>
  <c r="AD525" i="2"/>
  <c r="AE525" i="2"/>
  <c r="AF525" i="2"/>
  <c r="AG525" i="2"/>
  <c r="D526" i="2"/>
  <c r="E526" i="2"/>
  <c r="F526" i="2"/>
  <c r="G526" i="2"/>
  <c r="H526" i="2"/>
  <c r="I526" i="2"/>
  <c r="J526" i="2"/>
  <c r="K526" i="2"/>
  <c r="L526" i="2"/>
  <c r="M526" i="2"/>
  <c r="N526" i="2"/>
  <c r="O526" i="2"/>
  <c r="P526" i="2"/>
  <c r="Q526" i="2"/>
  <c r="R526" i="2"/>
  <c r="S526" i="2"/>
  <c r="T526" i="2"/>
  <c r="U526" i="2"/>
  <c r="V526" i="2"/>
  <c r="W526" i="2"/>
  <c r="X526" i="2"/>
  <c r="Y526" i="2"/>
  <c r="Z526" i="2"/>
  <c r="AA526" i="2"/>
  <c r="AB526" i="2"/>
  <c r="AC526" i="2"/>
  <c r="AD526" i="2"/>
  <c r="AE526" i="2"/>
  <c r="AF526" i="2"/>
  <c r="AG526" i="2"/>
  <c r="D527" i="2"/>
  <c r="E527" i="2"/>
  <c r="F527" i="2"/>
  <c r="G527" i="2"/>
  <c r="H527" i="2"/>
  <c r="I527" i="2"/>
  <c r="J527" i="2"/>
  <c r="K527" i="2"/>
  <c r="L527" i="2"/>
  <c r="M527" i="2"/>
  <c r="N527" i="2"/>
  <c r="O527" i="2"/>
  <c r="P527" i="2"/>
  <c r="Q527" i="2"/>
  <c r="R527" i="2"/>
  <c r="S527" i="2"/>
  <c r="T527" i="2"/>
  <c r="U527" i="2"/>
  <c r="V527" i="2"/>
  <c r="W527" i="2"/>
  <c r="X527" i="2"/>
  <c r="Y527" i="2"/>
  <c r="Z527" i="2"/>
  <c r="AA527" i="2"/>
  <c r="AB527" i="2"/>
  <c r="AC527" i="2"/>
  <c r="AD527" i="2"/>
  <c r="AE527" i="2"/>
  <c r="AF527" i="2"/>
  <c r="AG527" i="2"/>
  <c r="D528" i="2"/>
  <c r="E528" i="2"/>
  <c r="F528" i="2"/>
  <c r="G528" i="2"/>
  <c r="H528" i="2"/>
  <c r="I528" i="2"/>
  <c r="J528" i="2"/>
  <c r="K528" i="2"/>
  <c r="L528" i="2"/>
  <c r="M528" i="2"/>
  <c r="N528" i="2"/>
  <c r="O528" i="2"/>
  <c r="P528" i="2"/>
  <c r="Q528" i="2"/>
  <c r="R528" i="2"/>
  <c r="S528" i="2"/>
  <c r="T528" i="2"/>
  <c r="U528" i="2"/>
  <c r="V528" i="2"/>
  <c r="W528" i="2"/>
  <c r="X528" i="2"/>
  <c r="Y528" i="2"/>
  <c r="Z528" i="2"/>
  <c r="AA528" i="2"/>
  <c r="AB528" i="2"/>
  <c r="AC528" i="2"/>
  <c r="AD528" i="2"/>
  <c r="AE528" i="2"/>
  <c r="AF528" i="2"/>
  <c r="AG528" i="2"/>
  <c r="D529" i="2"/>
  <c r="E529" i="2"/>
  <c r="F529" i="2"/>
  <c r="G529" i="2"/>
  <c r="H529" i="2"/>
  <c r="I529" i="2"/>
  <c r="J529" i="2"/>
  <c r="K529" i="2"/>
  <c r="L529" i="2"/>
  <c r="M529" i="2"/>
  <c r="N529" i="2"/>
  <c r="O529" i="2"/>
  <c r="P529" i="2"/>
  <c r="Q529" i="2"/>
  <c r="R529" i="2"/>
  <c r="S529" i="2"/>
  <c r="T529" i="2"/>
  <c r="U529" i="2"/>
  <c r="V529" i="2"/>
  <c r="W529" i="2"/>
  <c r="X529" i="2"/>
  <c r="Y529" i="2"/>
  <c r="Z529" i="2"/>
  <c r="AA529" i="2"/>
  <c r="AB529" i="2"/>
  <c r="AC529" i="2"/>
  <c r="AD529" i="2"/>
  <c r="AE529" i="2"/>
  <c r="AF529" i="2"/>
  <c r="AG529" i="2"/>
  <c r="D530" i="2"/>
  <c r="E530" i="2"/>
  <c r="F530" i="2"/>
  <c r="G530" i="2"/>
  <c r="H530" i="2"/>
  <c r="I530" i="2"/>
  <c r="J530" i="2"/>
  <c r="K530" i="2"/>
  <c r="L530" i="2"/>
  <c r="M530" i="2"/>
  <c r="N530" i="2"/>
  <c r="O530" i="2"/>
  <c r="P530" i="2"/>
  <c r="Q530" i="2"/>
  <c r="R530" i="2"/>
  <c r="S530" i="2"/>
  <c r="T530" i="2"/>
  <c r="U530" i="2"/>
  <c r="V530" i="2"/>
  <c r="W530" i="2"/>
  <c r="X530" i="2"/>
  <c r="Y530" i="2"/>
  <c r="Z530" i="2"/>
  <c r="AA530" i="2"/>
  <c r="AB530" i="2"/>
  <c r="AC530" i="2"/>
  <c r="AD530" i="2"/>
  <c r="AE530" i="2"/>
  <c r="AF530" i="2"/>
  <c r="AG530" i="2"/>
  <c r="D531" i="2"/>
  <c r="E531" i="2"/>
  <c r="F531" i="2"/>
  <c r="G531" i="2"/>
  <c r="H531" i="2"/>
  <c r="I531" i="2"/>
  <c r="J531" i="2"/>
  <c r="K531" i="2"/>
  <c r="L531" i="2"/>
  <c r="M531" i="2"/>
  <c r="N531" i="2"/>
  <c r="O531" i="2"/>
  <c r="P531" i="2"/>
  <c r="Q531" i="2"/>
  <c r="R531" i="2"/>
  <c r="S531" i="2"/>
  <c r="T531" i="2"/>
  <c r="U531" i="2"/>
  <c r="V531" i="2"/>
  <c r="W531" i="2"/>
  <c r="X531" i="2"/>
  <c r="Y531" i="2"/>
  <c r="Z531" i="2"/>
  <c r="AA531" i="2"/>
  <c r="AB531" i="2"/>
  <c r="AC531" i="2"/>
  <c r="AD531" i="2"/>
  <c r="AE531" i="2"/>
  <c r="AF531" i="2"/>
  <c r="AG531" i="2"/>
  <c r="D532" i="2"/>
  <c r="E532" i="2"/>
  <c r="F532" i="2"/>
  <c r="G532" i="2"/>
  <c r="H532" i="2"/>
  <c r="I532" i="2"/>
  <c r="J532" i="2"/>
  <c r="K532" i="2"/>
  <c r="L532" i="2"/>
  <c r="M532" i="2"/>
  <c r="N532" i="2"/>
  <c r="O532" i="2"/>
  <c r="P532" i="2"/>
  <c r="Q532" i="2"/>
  <c r="R532" i="2"/>
  <c r="S532" i="2"/>
  <c r="T532" i="2"/>
  <c r="U532" i="2"/>
  <c r="V532" i="2"/>
  <c r="W532" i="2"/>
  <c r="X532" i="2"/>
  <c r="Y532" i="2"/>
  <c r="Z532" i="2"/>
  <c r="AA532" i="2"/>
  <c r="AB532" i="2"/>
  <c r="AC532" i="2"/>
  <c r="AD532" i="2"/>
  <c r="AE532" i="2"/>
  <c r="AF532" i="2"/>
  <c r="AG532" i="2"/>
  <c r="D533" i="2"/>
  <c r="E533" i="2"/>
  <c r="F533" i="2"/>
  <c r="G533" i="2"/>
  <c r="H533" i="2"/>
  <c r="I533" i="2"/>
  <c r="J533" i="2"/>
  <c r="K533" i="2"/>
  <c r="L533" i="2"/>
  <c r="M533" i="2"/>
  <c r="N533" i="2"/>
  <c r="O533" i="2"/>
  <c r="P533" i="2"/>
  <c r="Q533" i="2"/>
  <c r="R533" i="2"/>
  <c r="S533" i="2"/>
  <c r="T533" i="2"/>
  <c r="U533" i="2"/>
  <c r="V533" i="2"/>
  <c r="W533" i="2"/>
  <c r="X533" i="2"/>
  <c r="Y533" i="2"/>
  <c r="Z533" i="2"/>
  <c r="AA533" i="2"/>
  <c r="AB533" i="2"/>
  <c r="AC533" i="2"/>
  <c r="AD533" i="2"/>
  <c r="AE533" i="2"/>
  <c r="AF533" i="2"/>
  <c r="AG533" i="2"/>
  <c r="D534" i="2"/>
  <c r="E534" i="2"/>
  <c r="F534" i="2"/>
  <c r="G534" i="2"/>
  <c r="H534" i="2"/>
  <c r="I534" i="2"/>
  <c r="J534" i="2"/>
  <c r="K534" i="2"/>
  <c r="L534" i="2"/>
  <c r="M534" i="2"/>
  <c r="N534" i="2"/>
  <c r="O534" i="2"/>
  <c r="P534" i="2"/>
  <c r="Q534" i="2"/>
  <c r="R534" i="2"/>
  <c r="S534" i="2"/>
  <c r="T534" i="2"/>
  <c r="U534" i="2"/>
  <c r="V534" i="2"/>
  <c r="W534" i="2"/>
  <c r="X534" i="2"/>
  <c r="Y534" i="2"/>
  <c r="Z534" i="2"/>
  <c r="AA534" i="2"/>
  <c r="AB534" i="2"/>
  <c r="AC534" i="2"/>
  <c r="AD534" i="2"/>
  <c r="AE534" i="2"/>
  <c r="AF534" i="2"/>
  <c r="AG534" i="2"/>
  <c r="D536" i="2"/>
  <c r="E536" i="2"/>
  <c r="F536" i="2"/>
  <c r="G536" i="2"/>
  <c r="H536" i="2"/>
  <c r="I536" i="2"/>
  <c r="J536" i="2"/>
  <c r="K536" i="2"/>
  <c r="L536" i="2"/>
  <c r="M536" i="2"/>
  <c r="N536" i="2"/>
  <c r="O536" i="2"/>
  <c r="P536" i="2"/>
  <c r="Q536" i="2"/>
  <c r="R536" i="2"/>
  <c r="S536" i="2"/>
  <c r="T536" i="2"/>
  <c r="U536" i="2"/>
  <c r="V536" i="2"/>
  <c r="W536" i="2"/>
  <c r="X536" i="2"/>
  <c r="Y536" i="2"/>
  <c r="Z536" i="2"/>
  <c r="AA536" i="2"/>
  <c r="AB536" i="2"/>
  <c r="AC536" i="2"/>
  <c r="AD536" i="2"/>
  <c r="AE536" i="2"/>
  <c r="AF536" i="2"/>
  <c r="AG536" i="2"/>
  <c r="D537" i="2"/>
  <c r="E537" i="2"/>
  <c r="F537" i="2"/>
  <c r="G537" i="2"/>
  <c r="H537" i="2"/>
  <c r="I537" i="2"/>
  <c r="J537" i="2"/>
  <c r="K537" i="2"/>
  <c r="L537" i="2"/>
  <c r="M537" i="2"/>
  <c r="N537" i="2"/>
  <c r="O537" i="2"/>
  <c r="P537" i="2"/>
  <c r="Q537" i="2"/>
  <c r="R537" i="2"/>
  <c r="S537" i="2"/>
  <c r="T537" i="2"/>
  <c r="U537" i="2"/>
  <c r="V537" i="2"/>
  <c r="W537" i="2"/>
  <c r="X537" i="2"/>
  <c r="Y537" i="2"/>
  <c r="Z537" i="2"/>
  <c r="AA537" i="2"/>
  <c r="AB537" i="2"/>
  <c r="AC537" i="2"/>
  <c r="AD537" i="2"/>
  <c r="AE537" i="2"/>
  <c r="AF537" i="2"/>
  <c r="AG537" i="2"/>
  <c r="D538" i="2"/>
  <c r="E538" i="2"/>
  <c r="F538" i="2"/>
  <c r="G538" i="2"/>
  <c r="H538" i="2"/>
  <c r="I538" i="2"/>
  <c r="J538" i="2"/>
  <c r="K538" i="2"/>
  <c r="L538" i="2"/>
  <c r="M538" i="2"/>
  <c r="N538" i="2"/>
  <c r="O538" i="2"/>
  <c r="P538" i="2"/>
  <c r="Q538" i="2"/>
  <c r="R538" i="2"/>
  <c r="S538" i="2"/>
  <c r="T538" i="2"/>
  <c r="U538" i="2"/>
  <c r="V538" i="2"/>
  <c r="W538" i="2"/>
  <c r="X538" i="2"/>
  <c r="Y538" i="2"/>
  <c r="Z538" i="2"/>
  <c r="AA538" i="2"/>
  <c r="AB538" i="2"/>
  <c r="AC538" i="2"/>
  <c r="AD538" i="2"/>
  <c r="AE538" i="2"/>
  <c r="AF538" i="2"/>
  <c r="AG538" i="2"/>
  <c r="D539" i="2"/>
  <c r="E539" i="2"/>
  <c r="F539" i="2"/>
  <c r="G539" i="2"/>
  <c r="H539" i="2"/>
  <c r="I539" i="2"/>
  <c r="J539" i="2"/>
  <c r="K539" i="2"/>
  <c r="L539" i="2"/>
  <c r="M539" i="2"/>
  <c r="N539" i="2"/>
  <c r="O539" i="2"/>
  <c r="P539" i="2"/>
  <c r="Q539" i="2"/>
  <c r="R539" i="2"/>
  <c r="S539" i="2"/>
  <c r="T539" i="2"/>
  <c r="U539" i="2"/>
  <c r="V539" i="2"/>
  <c r="W539" i="2"/>
  <c r="X539" i="2"/>
  <c r="Y539" i="2"/>
  <c r="Z539" i="2"/>
  <c r="AA539" i="2"/>
  <c r="AB539" i="2"/>
  <c r="AC539" i="2"/>
  <c r="AD539" i="2"/>
  <c r="AE539" i="2"/>
  <c r="AF539" i="2"/>
  <c r="AG539" i="2"/>
  <c r="D540" i="2"/>
  <c r="E540" i="2"/>
  <c r="F540" i="2"/>
  <c r="G540" i="2"/>
  <c r="H540" i="2"/>
  <c r="I540" i="2"/>
  <c r="J540" i="2"/>
  <c r="K540" i="2"/>
  <c r="L540" i="2"/>
  <c r="M540" i="2"/>
  <c r="N540" i="2"/>
  <c r="O540" i="2"/>
  <c r="P540" i="2"/>
  <c r="Q540" i="2"/>
  <c r="R540" i="2"/>
  <c r="S540" i="2"/>
  <c r="T540" i="2"/>
  <c r="U540" i="2"/>
  <c r="V540" i="2"/>
  <c r="W540" i="2"/>
  <c r="X540" i="2"/>
  <c r="Y540" i="2"/>
  <c r="Z540" i="2"/>
  <c r="AA540" i="2"/>
  <c r="AB540" i="2"/>
  <c r="AC540" i="2"/>
  <c r="AD540" i="2"/>
  <c r="AE540" i="2"/>
  <c r="AF540" i="2"/>
  <c r="AG540" i="2"/>
  <c r="D541" i="2"/>
  <c r="E541" i="2"/>
  <c r="F541" i="2"/>
  <c r="G541" i="2"/>
  <c r="H541" i="2"/>
  <c r="I541" i="2"/>
  <c r="J541" i="2"/>
  <c r="K541" i="2"/>
  <c r="L541" i="2"/>
  <c r="M541" i="2"/>
  <c r="N541" i="2"/>
  <c r="O541" i="2"/>
  <c r="P541" i="2"/>
  <c r="Q541" i="2"/>
  <c r="R541" i="2"/>
  <c r="S541" i="2"/>
  <c r="T541" i="2"/>
  <c r="U541" i="2"/>
  <c r="V541" i="2"/>
  <c r="W541" i="2"/>
  <c r="X541" i="2"/>
  <c r="Y541" i="2"/>
  <c r="Z541" i="2"/>
  <c r="AA541" i="2"/>
  <c r="AB541" i="2"/>
  <c r="AC541" i="2"/>
  <c r="AD541" i="2"/>
  <c r="AE541" i="2"/>
  <c r="AF541" i="2"/>
  <c r="AG541" i="2"/>
  <c r="D542" i="2"/>
  <c r="E542" i="2"/>
  <c r="F542" i="2"/>
  <c r="G542" i="2"/>
  <c r="H542" i="2"/>
  <c r="I542" i="2"/>
  <c r="J542" i="2"/>
  <c r="K542" i="2"/>
  <c r="L542" i="2"/>
  <c r="M542" i="2"/>
  <c r="N542" i="2"/>
  <c r="O542" i="2"/>
  <c r="P542" i="2"/>
  <c r="Q542" i="2"/>
  <c r="R542" i="2"/>
  <c r="S542" i="2"/>
  <c r="T542" i="2"/>
  <c r="U542" i="2"/>
  <c r="V542" i="2"/>
  <c r="W542" i="2"/>
  <c r="X542" i="2"/>
  <c r="Y542" i="2"/>
  <c r="Z542" i="2"/>
  <c r="AA542" i="2"/>
  <c r="AB542" i="2"/>
  <c r="AC542" i="2"/>
  <c r="AD542" i="2"/>
  <c r="AE542" i="2"/>
  <c r="AF542" i="2"/>
  <c r="AG542" i="2"/>
  <c r="D543" i="2"/>
  <c r="E543" i="2"/>
  <c r="F543" i="2"/>
  <c r="G543" i="2"/>
  <c r="H543" i="2"/>
  <c r="I543" i="2"/>
  <c r="J543" i="2"/>
  <c r="K543" i="2"/>
  <c r="L543" i="2"/>
  <c r="M543" i="2"/>
  <c r="N543" i="2"/>
  <c r="O543" i="2"/>
  <c r="P543" i="2"/>
  <c r="Q543" i="2"/>
  <c r="R543" i="2"/>
  <c r="S543" i="2"/>
  <c r="T543" i="2"/>
  <c r="U543" i="2"/>
  <c r="V543" i="2"/>
  <c r="W543" i="2"/>
  <c r="X543" i="2"/>
  <c r="Y543" i="2"/>
  <c r="Z543" i="2"/>
  <c r="AA543" i="2"/>
  <c r="AB543" i="2"/>
  <c r="AC543" i="2"/>
  <c r="AD543" i="2"/>
  <c r="AE543" i="2"/>
  <c r="AF543" i="2"/>
  <c r="AG543" i="2"/>
  <c r="D544" i="2"/>
  <c r="E544" i="2"/>
  <c r="F544" i="2"/>
  <c r="G544" i="2"/>
  <c r="H544" i="2"/>
  <c r="I544" i="2"/>
  <c r="J544" i="2"/>
  <c r="K544" i="2"/>
  <c r="L544" i="2"/>
  <c r="M544" i="2"/>
  <c r="N544" i="2"/>
  <c r="O544" i="2"/>
  <c r="P544" i="2"/>
  <c r="Q544" i="2"/>
  <c r="R544" i="2"/>
  <c r="S544" i="2"/>
  <c r="T544" i="2"/>
  <c r="U544" i="2"/>
  <c r="V544" i="2"/>
  <c r="W544" i="2"/>
  <c r="X544" i="2"/>
  <c r="Y544" i="2"/>
  <c r="Z544" i="2"/>
  <c r="AA544" i="2"/>
  <c r="AB544" i="2"/>
  <c r="AC544" i="2"/>
  <c r="AD544" i="2"/>
  <c r="AE544" i="2"/>
  <c r="AF544" i="2"/>
  <c r="AG544" i="2"/>
  <c r="D545" i="2"/>
  <c r="E545" i="2"/>
  <c r="F545" i="2"/>
  <c r="G545" i="2"/>
  <c r="H545" i="2"/>
  <c r="I545" i="2"/>
  <c r="J545" i="2"/>
  <c r="K545" i="2"/>
  <c r="L545" i="2"/>
  <c r="M545" i="2"/>
  <c r="N545" i="2"/>
  <c r="O545" i="2"/>
  <c r="P545" i="2"/>
  <c r="Q545" i="2"/>
  <c r="R545" i="2"/>
  <c r="S545" i="2"/>
  <c r="T545" i="2"/>
  <c r="U545" i="2"/>
  <c r="V545" i="2"/>
  <c r="W545" i="2"/>
  <c r="X545" i="2"/>
  <c r="Y545" i="2"/>
  <c r="Z545" i="2"/>
  <c r="AA545" i="2"/>
  <c r="AB545" i="2"/>
  <c r="AC545" i="2"/>
  <c r="AD545" i="2"/>
  <c r="AE545" i="2"/>
  <c r="AF545" i="2"/>
  <c r="AG545" i="2"/>
  <c r="D547" i="2"/>
  <c r="E547" i="2"/>
  <c r="F547" i="2"/>
  <c r="G547" i="2"/>
  <c r="H547" i="2"/>
  <c r="I547" i="2"/>
  <c r="J547" i="2"/>
  <c r="K547" i="2"/>
  <c r="L547" i="2"/>
  <c r="M547" i="2"/>
  <c r="N547" i="2"/>
  <c r="O547" i="2"/>
  <c r="P547" i="2"/>
  <c r="Q547" i="2"/>
  <c r="R547" i="2"/>
  <c r="S547" i="2"/>
  <c r="T547" i="2"/>
  <c r="U547" i="2"/>
  <c r="V547" i="2"/>
  <c r="W547" i="2"/>
  <c r="X547" i="2"/>
  <c r="Y547" i="2"/>
  <c r="Z547" i="2"/>
  <c r="AA547" i="2"/>
  <c r="AB547" i="2"/>
  <c r="AC547" i="2"/>
  <c r="AD547" i="2"/>
  <c r="AE547" i="2"/>
  <c r="AF547" i="2"/>
  <c r="AG547" i="2"/>
  <c r="D548" i="2"/>
  <c r="E548" i="2"/>
  <c r="F548" i="2"/>
  <c r="G548" i="2"/>
  <c r="H548" i="2"/>
  <c r="I548" i="2"/>
  <c r="J548" i="2"/>
  <c r="K548" i="2"/>
  <c r="L548" i="2"/>
  <c r="M548" i="2"/>
  <c r="N548" i="2"/>
  <c r="O548" i="2"/>
  <c r="P548" i="2"/>
  <c r="Q548" i="2"/>
  <c r="R548" i="2"/>
  <c r="S548" i="2"/>
  <c r="T548" i="2"/>
  <c r="U548" i="2"/>
  <c r="V548" i="2"/>
  <c r="W548" i="2"/>
  <c r="X548" i="2"/>
  <c r="Y548" i="2"/>
  <c r="Z548" i="2"/>
  <c r="AA548" i="2"/>
  <c r="AB548" i="2"/>
  <c r="AC548" i="2"/>
  <c r="AD548" i="2"/>
  <c r="AE548" i="2"/>
  <c r="AF548" i="2"/>
  <c r="AG548" i="2"/>
  <c r="D549" i="2"/>
  <c r="E549" i="2"/>
  <c r="F549" i="2"/>
  <c r="G549" i="2"/>
  <c r="H549" i="2"/>
  <c r="I549" i="2"/>
  <c r="J549" i="2"/>
  <c r="K549" i="2"/>
  <c r="L549" i="2"/>
  <c r="M549" i="2"/>
  <c r="N549" i="2"/>
  <c r="O549" i="2"/>
  <c r="P549" i="2"/>
  <c r="Q549" i="2"/>
  <c r="R549" i="2"/>
  <c r="S549" i="2"/>
  <c r="T549" i="2"/>
  <c r="U549" i="2"/>
  <c r="V549" i="2"/>
  <c r="W549" i="2"/>
  <c r="X549" i="2"/>
  <c r="Y549" i="2"/>
  <c r="Z549" i="2"/>
  <c r="AA549" i="2"/>
  <c r="AB549" i="2"/>
  <c r="AC549" i="2"/>
  <c r="AD549" i="2"/>
  <c r="AE549" i="2"/>
  <c r="AF549" i="2"/>
  <c r="AG549" i="2"/>
  <c r="D550" i="2"/>
  <c r="E550" i="2"/>
  <c r="F550" i="2"/>
  <c r="G550" i="2"/>
  <c r="H550" i="2"/>
  <c r="I550" i="2"/>
  <c r="J550" i="2"/>
  <c r="K550" i="2"/>
  <c r="L550" i="2"/>
  <c r="M550" i="2"/>
  <c r="N550" i="2"/>
  <c r="O550" i="2"/>
  <c r="P550" i="2"/>
  <c r="Q550" i="2"/>
  <c r="R550" i="2"/>
  <c r="S550" i="2"/>
  <c r="T550" i="2"/>
  <c r="U550" i="2"/>
  <c r="V550" i="2"/>
  <c r="W550" i="2"/>
  <c r="X550" i="2"/>
  <c r="Y550" i="2"/>
  <c r="Z550" i="2"/>
  <c r="AA550" i="2"/>
  <c r="AB550" i="2"/>
  <c r="AC550" i="2"/>
  <c r="AD550" i="2"/>
  <c r="AE550" i="2"/>
  <c r="AF550" i="2"/>
  <c r="AG550" i="2"/>
  <c r="D551" i="2"/>
  <c r="E551" i="2"/>
  <c r="F551" i="2"/>
  <c r="G551" i="2"/>
  <c r="H551" i="2"/>
  <c r="I551" i="2"/>
  <c r="J551" i="2"/>
  <c r="K551" i="2"/>
  <c r="L551" i="2"/>
  <c r="M551" i="2"/>
  <c r="N551" i="2"/>
  <c r="O551" i="2"/>
  <c r="P551" i="2"/>
  <c r="Q551" i="2"/>
  <c r="R551" i="2"/>
  <c r="S551" i="2"/>
  <c r="T551" i="2"/>
  <c r="U551" i="2"/>
  <c r="V551" i="2"/>
  <c r="W551" i="2"/>
  <c r="X551" i="2"/>
  <c r="Y551" i="2"/>
  <c r="Z551" i="2"/>
  <c r="AA551" i="2"/>
  <c r="AB551" i="2"/>
  <c r="AC551" i="2"/>
  <c r="AD551" i="2"/>
  <c r="AE551" i="2"/>
  <c r="AF551" i="2"/>
  <c r="AG551" i="2"/>
  <c r="D552" i="2"/>
  <c r="E552" i="2"/>
  <c r="F552" i="2"/>
  <c r="G552" i="2"/>
  <c r="H552" i="2"/>
  <c r="I552" i="2"/>
  <c r="J552" i="2"/>
  <c r="K552" i="2"/>
  <c r="L552" i="2"/>
  <c r="M552" i="2"/>
  <c r="N552" i="2"/>
  <c r="O552" i="2"/>
  <c r="P552" i="2"/>
  <c r="Q552" i="2"/>
  <c r="R552" i="2"/>
  <c r="S552" i="2"/>
  <c r="T552" i="2"/>
  <c r="U552" i="2"/>
  <c r="V552" i="2"/>
  <c r="W552" i="2"/>
  <c r="X552" i="2"/>
  <c r="Y552" i="2"/>
  <c r="Z552" i="2"/>
  <c r="AA552" i="2"/>
  <c r="AB552" i="2"/>
  <c r="AC552" i="2"/>
  <c r="AD552" i="2"/>
  <c r="AE552" i="2"/>
  <c r="AF552" i="2"/>
  <c r="AG552" i="2"/>
  <c r="D553" i="2"/>
  <c r="E553" i="2"/>
  <c r="F553" i="2"/>
  <c r="G553" i="2"/>
  <c r="H553" i="2"/>
  <c r="I553" i="2"/>
  <c r="J553" i="2"/>
  <c r="K553" i="2"/>
  <c r="L553" i="2"/>
  <c r="M553" i="2"/>
  <c r="N553" i="2"/>
  <c r="O553" i="2"/>
  <c r="P553" i="2"/>
  <c r="Q553" i="2"/>
  <c r="R553" i="2"/>
  <c r="S553" i="2"/>
  <c r="T553" i="2"/>
  <c r="U553" i="2"/>
  <c r="V553" i="2"/>
  <c r="W553" i="2"/>
  <c r="X553" i="2"/>
  <c r="Y553" i="2"/>
  <c r="Z553" i="2"/>
  <c r="AA553" i="2"/>
  <c r="AB553" i="2"/>
  <c r="AC553" i="2"/>
  <c r="AD553" i="2"/>
  <c r="AE553" i="2"/>
  <c r="AF553" i="2"/>
  <c r="AG553" i="2"/>
  <c r="D554" i="2"/>
  <c r="E554" i="2"/>
  <c r="F554" i="2"/>
  <c r="G554" i="2"/>
  <c r="H554" i="2"/>
  <c r="I554" i="2"/>
  <c r="J554" i="2"/>
  <c r="K554" i="2"/>
  <c r="L554" i="2"/>
  <c r="M554" i="2"/>
  <c r="N554" i="2"/>
  <c r="O554" i="2"/>
  <c r="P554" i="2"/>
  <c r="Q554" i="2"/>
  <c r="R554" i="2"/>
  <c r="S554" i="2"/>
  <c r="T554" i="2"/>
  <c r="U554" i="2"/>
  <c r="V554" i="2"/>
  <c r="W554" i="2"/>
  <c r="X554" i="2"/>
  <c r="Y554" i="2"/>
  <c r="Z554" i="2"/>
  <c r="AA554" i="2"/>
  <c r="AB554" i="2"/>
  <c r="AC554" i="2"/>
  <c r="AD554" i="2"/>
  <c r="AE554" i="2"/>
  <c r="AF554" i="2"/>
  <c r="AG554" i="2"/>
  <c r="D555" i="2"/>
  <c r="E555" i="2"/>
  <c r="F555" i="2"/>
  <c r="G555" i="2"/>
  <c r="H555" i="2"/>
  <c r="I555" i="2"/>
  <c r="J555" i="2"/>
  <c r="K555" i="2"/>
  <c r="L555" i="2"/>
  <c r="M555" i="2"/>
  <c r="N555" i="2"/>
  <c r="O555" i="2"/>
  <c r="P555" i="2"/>
  <c r="Q555" i="2"/>
  <c r="R555" i="2"/>
  <c r="S555" i="2"/>
  <c r="T555" i="2"/>
  <c r="U555" i="2"/>
  <c r="V555" i="2"/>
  <c r="W555" i="2"/>
  <c r="X555" i="2"/>
  <c r="Y555" i="2"/>
  <c r="Z555" i="2"/>
  <c r="AA555" i="2"/>
  <c r="AB555" i="2"/>
  <c r="AC555" i="2"/>
  <c r="AD555" i="2"/>
  <c r="AE555" i="2"/>
  <c r="AF555" i="2"/>
  <c r="AG555" i="2"/>
  <c r="D556" i="2"/>
  <c r="E556" i="2"/>
  <c r="F556" i="2"/>
  <c r="G556" i="2"/>
  <c r="H556" i="2"/>
  <c r="I556" i="2"/>
  <c r="J556" i="2"/>
  <c r="K556" i="2"/>
  <c r="L556" i="2"/>
  <c r="M556" i="2"/>
  <c r="N556" i="2"/>
  <c r="O556" i="2"/>
  <c r="P556" i="2"/>
  <c r="Q556" i="2"/>
  <c r="R556" i="2"/>
  <c r="S556" i="2"/>
  <c r="T556" i="2"/>
  <c r="U556" i="2"/>
  <c r="V556" i="2"/>
  <c r="W556" i="2"/>
  <c r="X556" i="2"/>
  <c r="Y556" i="2"/>
  <c r="Z556" i="2"/>
  <c r="AA556" i="2"/>
  <c r="AB556" i="2"/>
  <c r="AC556" i="2"/>
  <c r="AD556" i="2"/>
  <c r="AE556" i="2"/>
  <c r="AF556" i="2"/>
  <c r="AG556" i="2"/>
  <c r="D558" i="2"/>
  <c r="E558" i="2"/>
  <c r="F558" i="2"/>
  <c r="G558" i="2"/>
  <c r="H558" i="2"/>
  <c r="I558" i="2"/>
  <c r="J558" i="2"/>
  <c r="K558" i="2"/>
  <c r="L558" i="2"/>
  <c r="M558" i="2"/>
  <c r="N558" i="2"/>
  <c r="O558" i="2"/>
  <c r="P558" i="2"/>
  <c r="Q558" i="2"/>
  <c r="R558" i="2"/>
  <c r="S558" i="2"/>
  <c r="T558" i="2"/>
  <c r="U558" i="2"/>
  <c r="V558" i="2"/>
  <c r="W558" i="2"/>
  <c r="X558" i="2"/>
  <c r="Y558" i="2"/>
  <c r="Z558" i="2"/>
  <c r="AA558" i="2"/>
  <c r="AB558" i="2"/>
  <c r="AC558" i="2"/>
  <c r="AD558" i="2"/>
  <c r="AE558" i="2"/>
  <c r="AF558" i="2"/>
  <c r="AG558" i="2"/>
  <c r="D559" i="2"/>
  <c r="E559" i="2"/>
  <c r="F559" i="2"/>
  <c r="G559" i="2"/>
  <c r="H559" i="2"/>
  <c r="I559" i="2"/>
  <c r="J559" i="2"/>
  <c r="K559" i="2"/>
  <c r="L559" i="2"/>
  <c r="M559" i="2"/>
  <c r="N559" i="2"/>
  <c r="O559" i="2"/>
  <c r="P559" i="2"/>
  <c r="Q559" i="2"/>
  <c r="R559" i="2"/>
  <c r="S559" i="2"/>
  <c r="T559" i="2"/>
  <c r="U559" i="2"/>
  <c r="V559" i="2"/>
  <c r="W559" i="2"/>
  <c r="X559" i="2"/>
  <c r="Y559" i="2"/>
  <c r="Z559" i="2"/>
  <c r="AA559" i="2"/>
  <c r="AB559" i="2"/>
  <c r="AC559" i="2"/>
  <c r="AD559" i="2"/>
  <c r="AE559" i="2"/>
  <c r="AF559" i="2"/>
  <c r="AG559" i="2"/>
  <c r="D560" i="2"/>
  <c r="E560" i="2"/>
  <c r="F560" i="2"/>
  <c r="G560" i="2"/>
  <c r="H560" i="2"/>
  <c r="I560" i="2"/>
  <c r="J560" i="2"/>
  <c r="K560" i="2"/>
  <c r="L560" i="2"/>
  <c r="M560" i="2"/>
  <c r="N560" i="2"/>
  <c r="O560" i="2"/>
  <c r="P560" i="2"/>
  <c r="Q560" i="2"/>
  <c r="R560" i="2"/>
  <c r="S560" i="2"/>
  <c r="T560" i="2"/>
  <c r="U560" i="2"/>
  <c r="V560" i="2"/>
  <c r="W560" i="2"/>
  <c r="X560" i="2"/>
  <c r="Y560" i="2"/>
  <c r="Z560" i="2"/>
  <c r="AA560" i="2"/>
  <c r="AB560" i="2"/>
  <c r="AC560" i="2"/>
  <c r="AD560" i="2"/>
  <c r="AE560" i="2"/>
  <c r="AF560" i="2"/>
  <c r="AG560" i="2"/>
  <c r="D561" i="2"/>
  <c r="E561" i="2"/>
  <c r="F561" i="2"/>
  <c r="G561" i="2"/>
  <c r="H561" i="2"/>
  <c r="I561" i="2"/>
  <c r="J561" i="2"/>
  <c r="K561" i="2"/>
  <c r="L561" i="2"/>
  <c r="M561" i="2"/>
  <c r="N561" i="2"/>
  <c r="O561" i="2"/>
  <c r="P561" i="2"/>
  <c r="Q561" i="2"/>
  <c r="R561" i="2"/>
  <c r="S561" i="2"/>
  <c r="T561" i="2"/>
  <c r="U561" i="2"/>
  <c r="V561" i="2"/>
  <c r="W561" i="2"/>
  <c r="X561" i="2"/>
  <c r="Y561" i="2"/>
  <c r="Z561" i="2"/>
  <c r="AA561" i="2"/>
  <c r="AB561" i="2"/>
  <c r="AC561" i="2"/>
  <c r="AD561" i="2"/>
  <c r="AE561" i="2"/>
  <c r="AF561" i="2"/>
  <c r="AG561" i="2"/>
  <c r="D562" i="2"/>
  <c r="E562" i="2"/>
  <c r="F562" i="2"/>
  <c r="G562" i="2"/>
  <c r="H562" i="2"/>
  <c r="I562" i="2"/>
  <c r="J562" i="2"/>
  <c r="K562" i="2"/>
  <c r="L562" i="2"/>
  <c r="M562" i="2"/>
  <c r="N562" i="2"/>
  <c r="O562" i="2"/>
  <c r="P562" i="2"/>
  <c r="Q562" i="2"/>
  <c r="R562" i="2"/>
  <c r="S562" i="2"/>
  <c r="T562" i="2"/>
  <c r="U562" i="2"/>
  <c r="V562" i="2"/>
  <c r="W562" i="2"/>
  <c r="X562" i="2"/>
  <c r="Y562" i="2"/>
  <c r="Z562" i="2"/>
  <c r="AA562" i="2"/>
  <c r="AB562" i="2"/>
  <c r="AC562" i="2"/>
  <c r="AD562" i="2"/>
  <c r="AE562" i="2"/>
  <c r="AF562" i="2"/>
  <c r="AG562" i="2"/>
  <c r="D563" i="2"/>
  <c r="E563" i="2"/>
  <c r="F563" i="2"/>
  <c r="G563" i="2"/>
  <c r="H563" i="2"/>
  <c r="I563" i="2"/>
  <c r="J563" i="2"/>
  <c r="K563" i="2"/>
  <c r="L563" i="2"/>
  <c r="M563" i="2"/>
  <c r="N563" i="2"/>
  <c r="O563" i="2"/>
  <c r="P563" i="2"/>
  <c r="Q563" i="2"/>
  <c r="R563" i="2"/>
  <c r="S563" i="2"/>
  <c r="T563" i="2"/>
  <c r="U563" i="2"/>
  <c r="V563" i="2"/>
  <c r="W563" i="2"/>
  <c r="X563" i="2"/>
  <c r="Y563" i="2"/>
  <c r="Z563" i="2"/>
  <c r="AA563" i="2"/>
  <c r="AB563" i="2"/>
  <c r="AC563" i="2"/>
  <c r="AD563" i="2"/>
  <c r="AE563" i="2"/>
  <c r="AF563" i="2"/>
  <c r="AG563" i="2"/>
  <c r="D564" i="2"/>
  <c r="E564" i="2"/>
  <c r="F564" i="2"/>
  <c r="G564" i="2"/>
  <c r="H564" i="2"/>
  <c r="I564" i="2"/>
  <c r="J564" i="2"/>
  <c r="K564" i="2"/>
  <c r="L564" i="2"/>
  <c r="M564" i="2"/>
  <c r="N564" i="2"/>
  <c r="O564" i="2"/>
  <c r="P564" i="2"/>
  <c r="Q564" i="2"/>
  <c r="R564" i="2"/>
  <c r="S564" i="2"/>
  <c r="T564" i="2"/>
  <c r="U564" i="2"/>
  <c r="V564" i="2"/>
  <c r="W564" i="2"/>
  <c r="X564" i="2"/>
  <c r="Y564" i="2"/>
  <c r="Z564" i="2"/>
  <c r="AA564" i="2"/>
  <c r="AB564" i="2"/>
  <c r="AC564" i="2"/>
  <c r="AD564" i="2"/>
  <c r="AE564" i="2"/>
  <c r="AF564" i="2"/>
  <c r="AG564" i="2"/>
  <c r="D565" i="2"/>
  <c r="E565" i="2"/>
  <c r="F565" i="2"/>
  <c r="G565" i="2"/>
  <c r="H565" i="2"/>
  <c r="I565" i="2"/>
  <c r="J565" i="2"/>
  <c r="K565" i="2"/>
  <c r="L565" i="2"/>
  <c r="M565" i="2"/>
  <c r="N565" i="2"/>
  <c r="O565" i="2"/>
  <c r="P565" i="2"/>
  <c r="Q565" i="2"/>
  <c r="R565" i="2"/>
  <c r="S565" i="2"/>
  <c r="T565" i="2"/>
  <c r="U565" i="2"/>
  <c r="V565" i="2"/>
  <c r="W565" i="2"/>
  <c r="X565" i="2"/>
  <c r="Y565" i="2"/>
  <c r="Z565" i="2"/>
  <c r="AA565" i="2"/>
  <c r="AB565" i="2"/>
  <c r="AC565" i="2"/>
  <c r="AD565" i="2"/>
  <c r="AE565" i="2"/>
  <c r="AF565" i="2"/>
  <c r="AG565" i="2"/>
  <c r="D566" i="2"/>
  <c r="E566" i="2"/>
  <c r="F566" i="2"/>
  <c r="G566" i="2"/>
  <c r="H566" i="2"/>
  <c r="I566" i="2"/>
  <c r="J566" i="2"/>
  <c r="K566" i="2"/>
  <c r="L566" i="2"/>
  <c r="M566" i="2"/>
  <c r="N566" i="2"/>
  <c r="O566" i="2"/>
  <c r="P566" i="2"/>
  <c r="Q566" i="2"/>
  <c r="R566" i="2"/>
  <c r="S566" i="2"/>
  <c r="T566" i="2"/>
  <c r="U566" i="2"/>
  <c r="V566" i="2"/>
  <c r="W566" i="2"/>
  <c r="X566" i="2"/>
  <c r="Y566" i="2"/>
  <c r="Z566" i="2"/>
  <c r="AA566" i="2"/>
  <c r="AB566" i="2"/>
  <c r="AC566" i="2"/>
  <c r="AD566" i="2"/>
  <c r="AE566" i="2"/>
  <c r="AF566" i="2"/>
  <c r="AG566" i="2"/>
  <c r="D567" i="2"/>
  <c r="E567" i="2"/>
  <c r="F567" i="2"/>
  <c r="G567" i="2"/>
  <c r="H567" i="2"/>
  <c r="I567" i="2"/>
  <c r="J567" i="2"/>
  <c r="K567" i="2"/>
  <c r="L567" i="2"/>
  <c r="M567" i="2"/>
  <c r="N567" i="2"/>
  <c r="O567" i="2"/>
  <c r="P567" i="2"/>
  <c r="Q567" i="2"/>
  <c r="R567" i="2"/>
  <c r="S567" i="2"/>
  <c r="T567" i="2"/>
  <c r="U567" i="2"/>
  <c r="V567" i="2"/>
  <c r="W567" i="2"/>
  <c r="X567" i="2"/>
  <c r="Y567" i="2"/>
  <c r="Z567" i="2"/>
  <c r="AA567" i="2"/>
  <c r="AB567" i="2"/>
  <c r="AC567" i="2"/>
  <c r="AD567" i="2"/>
  <c r="AE567" i="2"/>
  <c r="AF567" i="2"/>
  <c r="AG567" i="2"/>
  <c r="C559" i="2"/>
  <c r="C560" i="2"/>
  <c r="C561" i="2"/>
  <c r="C562" i="2"/>
  <c r="C563" i="2"/>
  <c r="C564" i="2"/>
  <c r="C565" i="2"/>
  <c r="C566" i="2"/>
  <c r="C567" i="2"/>
  <c r="C558" i="2"/>
  <c r="C548" i="2"/>
  <c r="C549" i="2"/>
  <c r="C550" i="2"/>
  <c r="C551" i="2"/>
  <c r="C552" i="2"/>
  <c r="C553" i="2"/>
  <c r="C554" i="2"/>
  <c r="C555" i="2"/>
  <c r="C556" i="2"/>
  <c r="C547" i="2"/>
  <c r="C537" i="2"/>
  <c r="C538" i="2"/>
  <c r="C539" i="2"/>
  <c r="C540" i="2"/>
  <c r="C541" i="2"/>
  <c r="C542" i="2"/>
  <c r="C543" i="2"/>
  <c r="C544" i="2"/>
  <c r="C545" i="2"/>
  <c r="C536" i="2"/>
  <c r="C527" i="2"/>
  <c r="C528" i="2"/>
  <c r="C529" i="2"/>
  <c r="C530" i="2"/>
  <c r="C531" i="2"/>
  <c r="C532" i="2"/>
  <c r="C533" i="2"/>
  <c r="C534" i="2"/>
  <c r="C525" i="2"/>
  <c r="C526" i="2"/>
  <c r="C515" i="2"/>
  <c r="C516" i="2"/>
  <c r="C517" i="2"/>
  <c r="C518" i="2"/>
  <c r="C519" i="2"/>
  <c r="C520" i="2"/>
  <c r="C521" i="2"/>
  <c r="C522" i="2"/>
  <c r="C523" i="2"/>
  <c r="C514" i="2"/>
  <c r="C504" i="2"/>
  <c r="C505" i="2"/>
  <c r="C506" i="2"/>
  <c r="C507" i="2"/>
  <c r="C508" i="2"/>
  <c r="C509" i="2"/>
  <c r="C510" i="2"/>
  <c r="C511" i="2"/>
  <c r="C512" i="2"/>
  <c r="C503" i="2"/>
  <c r="C493" i="2"/>
  <c r="C494" i="2"/>
  <c r="C495" i="2"/>
  <c r="C496" i="2"/>
  <c r="C497" i="2"/>
  <c r="C498" i="2"/>
  <c r="C499" i="2"/>
  <c r="C500" i="2"/>
  <c r="C501" i="2"/>
  <c r="C492" i="2"/>
  <c r="C482" i="2"/>
  <c r="C483" i="2"/>
  <c r="C484" i="2"/>
  <c r="C485" i="2"/>
  <c r="C486" i="2"/>
  <c r="C487" i="2"/>
  <c r="C488" i="2"/>
  <c r="C489" i="2"/>
  <c r="C490" i="2"/>
  <c r="C481" i="2"/>
  <c r="C479" i="2"/>
  <c r="C471" i="2"/>
  <c r="C472" i="2"/>
  <c r="C473" i="2"/>
  <c r="C474" i="2"/>
  <c r="C475" i="2"/>
  <c r="C476" i="2"/>
  <c r="C477" i="2"/>
  <c r="C478" i="2"/>
  <c r="C470" i="2"/>
  <c r="C459" i="2"/>
  <c r="C460" i="2"/>
  <c r="C461" i="2"/>
  <c r="C462" i="2"/>
  <c r="C463" i="2"/>
  <c r="C464" i="2"/>
  <c r="C465" i="2"/>
  <c r="C466" i="2"/>
  <c r="C467" i="2"/>
  <c r="C468" i="2"/>
  <c r="AG332" i="2"/>
  <c r="AF332" i="2"/>
  <c r="AE332" i="2"/>
  <c r="AD332" i="2"/>
  <c r="AC332" i="2"/>
  <c r="AB332" i="2"/>
  <c r="AA332" i="2"/>
  <c r="Z332" i="2"/>
  <c r="Y332" i="2"/>
  <c r="X332" i="2"/>
  <c r="W332" i="2"/>
  <c r="V332" i="2"/>
  <c r="U332" i="2"/>
  <c r="T332" i="2"/>
  <c r="S332" i="2"/>
  <c r="R332" i="2"/>
  <c r="Q332" i="2"/>
  <c r="P332" i="2"/>
  <c r="O332" i="2"/>
  <c r="N332" i="2"/>
  <c r="M332" i="2"/>
  <c r="L332" i="2"/>
  <c r="K332" i="2"/>
  <c r="J332" i="2"/>
  <c r="I332" i="2"/>
  <c r="H332" i="2"/>
  <c r="G332" i="2"/>
  <c r="F332" i="2"/>
  <c r="E332" i="2"/>
  <c r="D332" i="2"/>
  <c r="AG331" i="2"/>
  <c r="AF331" i="2"/>
  <c r="AE331" i="2"/>
  <c r="AD331" i="2"/>
  <c r="AC331" i="2"/>
  <c r="AB331" i="2"/>
  <c r="AA331" i="2"/>
  <c r="Z331" i="2"/>
  <c r="Y331" i="2"/>
  <c r="X331" i="2"/>
  <c r="W331" i="2"/>
  <c r="V331" i="2"/>
  <c r="U331" i="2"/>
  <c r="T331" i="2"/>
  <c r="S331" i="2"/>
  <c r="R331" i="2"/>
  <c r="Q331" i="2"/>
  <c r="P331" i="2"/>
  <c r="O331" i="2"/>
  <c r="N331" i="2"/>
  <c r="M331" i="2"/>
  <c r="L331" i="2"/>
  <c r="K331" i="2"/>
  <c r="J331" i="2"/>
  <c r="I331" i="2"/>
  <c r="H331" i="2"/>
  <c r="G331" i="2"/>
  <c r="F331" i="2"/>
  <c r="E331" i="2"/>
  <c r="D331" i="2"/>
  <c r="AG330" i="2"/>
  <c r="AF330" i="2"/>
  <c r="AE330" i="2"/>
  <c r="AD330" i="2"/>
  <c r="AC330" i="2"/>
  <c r="AB330" i="2"/>
  <c r="AA330" i="2"/>
  <c r="Z330" i="2"/>
  <c r="Y330" i="2"/>
  <c r="X330" i="2"/>
  <c r="W330" i="2"/>
  <c r="V330" i="2"/>
  <c r="U330" i="2"/>
  <c r="T330" i="2"/>
  <c r="S330" i="2"/>
  <c r="R330" i="2"/>
  <c r="Q330" i="2"/>
  <c r="P330" i="2"/>
  <c r="O330" i="2"/>
  <c r="N330" i="2"/>
  <c r="M330" i="2"/>
  <c r="L330" i="2"/>
  <c r="K330" i="2"/>
  <c r="J330" i="2"/>
  <c r="I330" i="2"/>
  <c r="H330" i="2"/>
  <c r="G330" i="2"/>
  <c r="F330" i="2"/>
  <c r="E330" i="2"/>
  <c r="D330" i="2"/>
  <c r="AG329" i="2"/>
  <c r="AF329" i="2"/>
  <c r="AE329" i="2"/>
  <c r="AD329" i="2"/>
  <c r="AC329" i="2"/>
  <c r="AB329" i="2"/>
  <c r="AA329" i="2"/>
  <c r="Z329" i="2"/>
  <c r="Y329" i="2"/>
  <c r="X329" i="2"/>
  <c r="W329" i="2"/>
  <c r="V329" i="2"/>
  <c r="U329" i="2"/>
  <c r="T329" i="2"/>
  <c r="S329" i="2"/>
  <c r="R329" i="2"/>
  <c r="Q329" i="2"/>
  <c r="P329" i="2"/>
  <c r="O329" i="2"/>
  <c r="N329" i="2"/>
  <c r="M329" i="2"/>
  <c r="L329" i="2"/>
  <c r="K329" i="2"/>
  <c r="J329" i="2"/>
  <c r="I329" i="2"/>
  <c r="H329" i="2"/>
  <c r="G329" i="2"/>
  <c r="F329" i="2"/>
  <c r="E329" i="2"/>
  <c r="D329" i="2"/>
  <c r="AG328" i="2"/>
  <c r="AF328" i="2"/>
  <c r="AE328" i="2"/>
  <c r="AD328" i="2"/>
  <c r="AC328" i="2"/>
  <c r="AB328" i="2"/>
  <c r="AA328" i="2"/>
  <c r="Z328" i="2"/>
  <c r="Y328" i="2"/>
  <c r="X328" i="2"/>
  <c r="W328" i="2"/>
  <c r="V328" i="2"/>
  <c r="U328" i="2"/>
  <c r="T328" i="2"/>
  <c r="S328" i="2"/>
  <c r="R328" i="2"/>
  <c r="Q328" i="2"/>
  <c r="P328" i="2"/>
  <c r="O328" i="2"/>
  <c r="N328" i="2"/>
  <c r="M328" i="2"/>
  <c r="L328" i="2"/>
  <c r="K328" i="2"/>
  <c r="J328" i="2"/>
  <c r="I328" i="2"/>
  <c r="H328" i="2"/>
  <c r="G328" i="2"/>
  <c r="F328" i="2"/>
  <c r="E328" i="2"/>
  <c r="D328" i="2"/>
  <c r="AG327" i="2"/>
  <c r="AF327" i="2"/>
  <c r="AE327" i="2"/>
  <c r="AD327" i="2"/>
  <c r="AC327" i="2"/>
  <c r="AB327" i="2"/>
  <c r="AA327" i="2"/>
  <c r="Z327" i="2"/>
  <c r="Y327" i="2"/>
  <c r="X327" i="2"/>
  <c r="W327" i="2"/>
  <c r="V327" i="2"/>
  <c r="U327" i="2"/>
  <c r="T327" i="2"/>
  <c r="S327" i="2"/>
  <c r="R327" i="2"/>
  <c r="Q327" i="2"/>
  <c r="P327" i="2"/>
  <c r="O327" i="2"/>
  <c r="N327" i="2"/>
  <c r="M327" i="2"/>
  <c r="L327" i="2"/>
  <c r="K327" i="2"/>
  <c r="J327" i="2"/>
  <c r="I327" i="2"/>
  <c r="H327" i="2"/>
  <c r="G327" i="2"/>
  <c r="F327" i="2"/>
  <c r="E327" i="2"/>
  <c r="D327" i="2"/>
  <c r="AG323" i="2"/>
  <c r="AF323" i="2"/>
  <c r="AE323" i="2"/>
  <c r="AD323" i="2"/>
  <c r="AC323" i="2"/>
  <c r="AB323" i="2"/>
  <c r="AA323" i="2"/>
  <c r="Z323" i="2"/>
  <c r="Y323" i="2"/>
  <c r="X323" i="2"/>
  <c r="W323" i="2"/>
  <c r="V323" i="2"/>
  <c r="U323" i="2"/>
  <c r="T323" i="2"/>
  <c r="S323" i="2"/>
  <c r="R323" i="2"/>
  <c r="Q323" i="2"/>
  <c r="P323" i="2"/>
  <c r="O323" i="2"/>
  <c r="N323" i="2"/>
  <c r="M323" i="2"/>
  <c r="L323" i="2"/>
  <c r="K323" i="2"/>
  <c r="J323" i="2"/>
  <c r="I323" i="2"/>
  <c r="H323" i="2"/>
  <c r="G323" i="2"/>
  <c r="F323" i="2"/>
  <c r="E323" i="2"/>
  <c r="D323" i="2"/>
  <c r="AG322" i="2"/>
  <c r="AF322" i="2"/>
  <c r="AE322" i="2"/>
  <c r="AD322" i="2"/>
  <c r="AC322" i="2"/>
  <c r="AB322" i="2"/>
  <c r="AA322" i="2"/>
  <c r="Z322" i="2"/>
  <c r="Y322" i="2"/>
  <c r="X322" i="2"/>
  <c r="W322" i="2"/>
  <c r="V322" i="2"/>
  <c r="U322" i="2"/>
  <c r="T322" i="2"/>
  <c r="S322" i="2"/>
  <c r="R322" i="2"/>
  <c r="Q322" i="2"/>
  <c r="P322" i="2"/>
  <c r="O322" i="2"/>
  <c r="N322" i="2"/>
  <c r="M322" i="2"/>
  <c r="L322" i="2"/>
  <c r="K322" i="2"/>
  <c r="J322" i="2"/>
  <c r="I322" i="2"/>
  <c r="H322" i="2"/>
  <c r="G322" i="2"/>
  <c r="F322" i="2"/>
  <c r="E322" i="2"/>
  <c r="D322" i="2"/>
  <c r="AG321" i="2"/>
  <c r="AF321" i="2"/>
  <c r="AE321" i="2"/>
  <c r="AD321" i="2"/>
  <c r="AC321" i="2"/>
  <c r="AB321" i="2"/>
  <c r="AA321" i="2"/>
  <c r="Z321" i="2"/>
  <c r="Y321" i="2"/>
  <c r="X321" i="2"/>
  <c r="W321" i="2"/>
  <c r="V321" i="2"/>
  <c r="U321" i="2"/>
  <c r="T321" i="2"/>
  <c r="S321" i="2"/>
  <c r="R321" i="2"/>
  <c r="Q321" i="2"/>
  <c r="P321" i="2"/>
  <c r="O321" i="2"/>
  <c r="N321" i="2"/>
  <c r="M321" i="2"/>
  <c r="L321" i="2"/>
  <c r="K321" i="2"/>
  <c r="J321" i="2"/>
  <c r="I321" i="2"/>
  <c r="H321" i="2"/>
  <c r="G321" i="2"/>
  <c r="F321" i="2"/>
  <c r="E321" i="2"/>
  <c r="D321" i="2"/>
  <c r="AG320" i="2"/>
  <c r="AF320" i="2"/>
  <c r="AE320" i="2"/>
  <c r="AD320" i="2"/>
  <c r="AC320" i="2"/>
  <c r="AB320" i="2"/>
  <c r="AA320" i="2"/>
  <c r="Z320" i="2"/>
  <c r="Y320" i="2"/>
  <c r="X320" i="2"/>
  <c r="W320" i="2"/>
  <c r="V320" i="2"/>
  <c r="U320" i="2"/>
  <c r="T320" i="2"/>
  <c r="S320" i="2"/>
  <c r="R320" i="2"/>
  <c r="Q320" i="2"/>
  <c r="P320" i="2"/>
  <c r="O320" i="2"/>
  <c r="N320" i="2"/>
  <c r="M320" i="2"/>
  <c r="L320" i="2"/>
  <c r="K320" i="2"/>
  <c r="J320" i="2"/>
  <c r="I320" i="2"/>
  <c r="H320" i="2"/>
  <c r="G320" i="2"/>
  <c r="F320" i="2"/>
  <c r="E320" i="2"/>
  <c r="D320" i="2"/>
  <c r="AG319" i="2"/>
  <c r="AF319" i="2"/>
  <c r="AE319" i="2"/>
  <c r="AD319" i="2"/>
  <c r="AC319" i="2"/>
  <c r="AB319" i="2"/>
  <c r="AA319" i="2"/>
  <c r="Z319" i="2"/>
  <c r="Y319" i="2"/>
  <c r="X319" i="2"/>
  <c r="W319" i="2"/>
  <c r="V319" i="2"/>
  <c r="U319" i="2"/>
  <c r="T319" i="2"/>
  <c r="S319" i="2"/>
  <c r="R319" i="2"/>
  <c r="Q319" i="2"/>
  <c r="P319" i="2"/>
  <c r="O319" i="2"/>
  <c r="N319" i="2"/>
  <c r="M319" i="2"/>
  <c r="L319" i="2"/>
  <c r="K319" i="2"/>
  <c r="J319" i="2"/>
  <c r="I319" i="2"/>
  <c r="H319" i="2"/>
  <c r="G319" i="2"/>
  <c r="F319" i="2"/>
  <c r="E319" i="2"/>
  <c r="D319" i="2"/>
  <c r="AG318" i="2"/>
  <c r="AF318" i="2"/>
  <c r="AE318" i="2"/>
  <c r="AD318" i="2"/>
  <c r="AC318" i="2"/>
  <c r="AB318" i="2"/>
  <c r="AA318" i="2"/>
  <c r="Z318" i="2"/>
  <c r="Y318" i="2"/>
  <c r="X318" i="2"/>
  <c r="W318" i="2"/>
  <c r="V318" i="2"/>
  <c r="U318" i="2"/>
  <c r="T318" i="2"/>
  <c r="S318" i="2"/>
  <c r="R318" i="2"/>
  <c r="Q318" i="2"/>
  <c r="P318" i="2"/>
  <c r="O318" i="2"/>
  <c r="N318" i="2"/>
  <c r="M318" i="2"/>
  <c r="L318" i="2"/>
  <c r="K318" i="2"/>
  <c r="J318" i="2"/>
  <c r="I318" i="2"/>
  <c r="H318" i="2"/>
  <c r="G318" i="2"/>
  <c r="F318" i="2"/>
  <c r="E318" i="2"/>
  <c r="D318" i="2"/>
  <c r="AG317" i="2"/>
  <c r="AF317" i="2"/>
  <c r="AE317" i="2"/>
  <c r="AD317" i="2"/>
  <c r="AC317" i="2"/>
  <c r="AB317" i="2"/>
  <c r="AA317" i="2"/>
  <c r="Z317" i="2"/>
  <c r="Y317" i="2"/>
  <c r="X317" i="2"/>
  <c r="W317" i="2"/>
  <c r="V317" i="2"/>
  <c r="U317" i="2"/>
  <c r="T317" i="2"/>
  <c r="S317" i="2"/>
  <c r="R317" i="2"/>
  <c r="Q317" i="2"/>
  <c r="P317" i="2"/>
  <c r="O317" i="2"/>
  <c r="N317" i="2"/>
  <c r="M317" i="2"/>
  <c r="L317" i="2"/>
  <c r="K317" i="2"/>
  <c r="J317" i="2"/>
  <c r="I317" i="2"/>
  <c r="H317" i="2"/>
  <c r="G317" i="2"/>
  <c r="F317" i="2"/>
  <c r="E317" i="2"/>
  <c r="D317" i="2"/>
  <c r="AG316" i="2"/>
  <c r="AF316" i="2"/>
  <c r="AE316" i="2"/>
  <c r="AD316" i="2"/>
  <c r="AC316" i="2"/>
  <c r="AB316" i="2"/>
  <c r="AA316" i="2"/>
  <c r="Z316" i="2"/>
  <c r="Y316" i="2"/>
  <c r="X316" i="2"/>
  <c r="W316" i="2"/>
  <c r="V316" i="2"/>
  <c r="U316" i="2"/>
  <c r="T316" i="2"/>
  <c r="S316" i="2"/>
  <c r="R316" i="2"/>
  <c r="Q316" i="2"/>
  <c r="P316" i="2"/>
  <c r="O316" i="2"/>
  <c r="N316" i="2"/>
  <c r="M316" i="2"/>
  <c r="L316" i="2"/>
  <c r="K316" i="2"/>
  <c r="J316" i="2"/>
  <c r="I316" i="2"/>
  <c r="H316" i="2"/>
  <c r="G316" i="2"/>
  <c r="F316" i="2"/>
  <c r="E316" i="2"/>
  <c r="D316" i="2"/>
  <c r="AG315" i="2"/>
  <c r="AF315" i="2"/>
  <c r="AE315" i="2"/>
  <c r="AD315" i="2"/>
  <c r="AC315" i="2"/>
  <c r="AB315" i="2"/>
  <c r="AA315" i="2"/>
  <c r="Z315" i="2"/>
  <c r="Y315" i="2"/>
  <c r="X315" i="2"/>
  <c r="W315" i="2"/>
  <c r="V315" i="2"/>
  <c r="U315" i="2"/>
  <c r="T315" i="2"/>
  <c r="S315" i="2"/>
  <c r="R315" i="2"/>
  <c r="Q315" i="2"/>
  <c r="P315" i="2"/>
  <c r="O315" i="2"/>
  <c r="N315" i="2"/>
  <c r="M315" i="2"/>
  <c r="L315" i="2"/>
  <c r="K315" i="2"/>
  <c r="J315" i="2"/>
  <c r="I315" i="2"/>
  <c r="H315" i="2"/>
  <c r="G315" i="2"/>
  <c r="F315" i="2"/>
  <c r="E315" i="2"/>
  <c r="D315" i="2"/>
  <c r="AG314" i="2"/>
  <c r="AF314" i="2"/>
  <c r="AE314" i="2"/>
  <c r="AD314" i="2"/>
  <c r="AC314" i="2"/>
  <c r="AB314" i="2"/>
  <c r="AA314" i="2"/>
  <c r="Z314" i="2"/>
  <c r="Y314" i="2"/>
  <c r="X314" i="2"/>
  <c r="W314" i="2"/>
  <c r="V314" i="2"/>
  <c r="U314" i="2"/>
  <c r="T314" i="2"/>
  <c r="S314" i="2"/>
  <c r="R314" i="2"/>
  <c r="Q314" i="2"/>
  <c r="P314" i="2"/>
  <c r="O314" i="2"/>
  <c r="N314" i="2"/>
  <c r="M314" i="2"/>
  <c r="L314" i="2"/>
  <c r="K314" i="2"/>
  <c r="J314" i="2"/>
  <c r="I314" i="2"/>
  <c r="H314" i="2"/>
  <c r="G314" i="2"/>
  <c r="F314" i="2"/>
  <c r="E314" i="2"/>
  <c r="D314" i="2"/>
  <c r="C458" i="2"/>
  <c r="D341" i="2"/>
  <c r="E341" i="2"/>
  <c r="F341" i="2"/>
  <c r="G341" i="2"/>
  <c r="H341" i="2"/>
  <c r="I341" i="2"/>
  <c r="J341" i="2"/>
  <c r="K341" i="2"/>
  <c r="L341" i="2"/>
  <c r="M341" i="2"/>
  <c r="N341" i="2"/>
  <c r="O341" i="2"/>
  <c r="P341" i="2"/>
  <c r="Q341" i="2"/>
  <c r="R341" i="2"/>
  <c r="S341" i="2"/>
  <c r="T341" i="2"/>
  <c r="U341" i="2"/>
  <c r="V341" i="2"/>
  <c r="W341" i="2"/>
  <c r="X341" i="2"/>
  <c r="Y341" i="2"/>
  <c r="Z341" i="2"/>
  <c r="AA341" i="2"/>
  <c r="AB341" i="2"/>
  <c r="AC341" i="2"/>
  <c r="AD341" i="2"/>
  <c r="AE341" i="2"/>
  <c r="AF341" i="2"/>
  <c r="AG341" i="2"/>
  <c r="D342" i="2"/>
  <c r="E342" i="2"/>
  <c r="F342" i="2"/>
  <c r="G342" i="2"/>
  <c r="H342" i="2"/>
  <c r="I342" i="2"/>
  <c r="J342" i="2"/>
  <c r="K342" i="2"/>
  <c r="L342" i="2"/>
  <c r="M342" i="2"/>
  <c r="N342" i="2"/>
  <c r="O342" i="2"/>
  <c r="P342" i="2"/>
  <c r="Q342" i="2"/>
  <c r="R342" i="2"/>
  <c r="S342" i="2"/>
  <c r="T342" i="2"/>
  <c r="U342" i="2"/>
  <c r="V342" i="2"/>
  <c r="W342" i="2"/>
  <c r="X342" i="2"/>
  <c r="Y342" i="2"/>
  <c r="Z342" i="2"/>
  <c r="AA342" i="2"/>
  <c r="AB342" i="2"/>
  <c r="AC342" i="2"/>
  <c r="AD342" i="2"/>
  <c r="AE342" i="2"/>
  <c r="AF342" i="2"/>
  <c r="AG342" i="2"/>
  <c r="D343" i="2"/>
  <c r="E343" i="2"/>
  <c r="F343" i="2"/>
  <c r="G343" i="2"/>
  <c r="H343" i="2"/>
  <c r="I343" i="2"/>
  <c r="J343" i="2"/>
  <c r="K343" i="2"/>
  <c r="L343" i="2"/>
  <c r="M343" i="2"/>
  <c r="N343" i="2"/>
  <c r="O343" i="2"/>
  <c r="P343" i="2"/>
  <c r="Q343" i="2"/>
  <c r="R343" i="2"/>
  <c r="S343" i="2"/>
  <c r="T343" i="2"/>
  <c r="U343" i="2"/>
  <c r="V343" i="2"/>
  <c r="W343" i="2"/>
  <c r="X343" i="2"/>
  <c r="Y343" i="2"/>
  <c r="Z343" i="2"/>
  <c r="AA343" i="2"/>
  <c r="AB343" i="2"/>
  <c r="AC343" i="2"/>
  <c r="AD343" i="2"/>
  <c r="AE343" i="2"/>
  <c r="AF343" i="2"/>
  <c r="AG343" i="2"/>
  <c r="D344" i="2"/>
  <c r="E344" i="2"/>
  <c r="F344" i="2"/>
  <c r="G344" i="2"/>
  <c r="H344" i="2"/>
  <c r="I344" i="2"/>
  <c r="J344" i="2"/>
  <c r="K344" i="2"/>
  <c r="L344" i="2"/>
  <c r="M344" i="2"/>
  <c r="N344" i="2"/>
  <c r="O344" i="2"/>
  <c r="P344" i="2"/>
  <c r="Q344" i="2"/>
  <c r="R344" i="2"/>
  <c r="S344" i="2"/>
  <c r="T344" i="2"/>
  <c r="U344" i="2"/>
  <c r="V344" i="2"/>
  <c r="W344" i="2"/>
  <c r="X344" i="2"/>
  <c r="Y344" i="2"/>
  <c r="Z344" i="2"/>
  <c r="AA344" i="2"/>
  <c r="AB344" i="2"/>
  <c r="AC344" i="2"/>
  <c r="AD344" i="2"/>
  <c r="AE344" i="2"/>
  <c r="AF344" i="2"/>
  <c r="AG344" i="2"/>
  <c r="D345" i="2"/>
  <c r="E345" i="2"/>
  <c r="F345" i="2"/>
  <c r="G345" i="2"/>
  <c r="H345" i="2"/>
  <c r="I345" i="2"/>
  <c r="J345" i="2"/>
  <c r="K345" i="2"/>
  <c r="L345" i="2"/>
  <c r="M345" i="2"/>
  <c r="N345" i="2"/>
  <c r="O345" i="2"/>
  <c r="P345" i="2"/>
  <c r="Q345" i="2"/>
  <c r="R345" i="2"/>
  <c r="S345" i="2"/>
  <c r="T345" i="2"/>
  <c r="U345" i="2"/>
  <c r="V345" i="2"/>
  <c r="W345" i="2"/>
  <c r="X345" i="2"/>
  <c r="Y345" i="2"/>
  <c r="Z345" i="2"/>
  <c r="AA345" i="2"/>
  <c r="AB345" i="2"/>
  <c r="AC345" i="2"/>
  <c r="AD345" i="2"/>
  <c r="AE345" i="2"/>
  <c r="AF345" i="2"/>
  <c r="AG345" i="2"/>
  <c r="D346" i="2"/>
  <c r="E346" i="2"/>
  <c r="F346" i="2"/>
  <c r="G346" i="2"/>
  <c r="H346" i="2"/>
  <c r="I346" i="2"/>
  <c r="J346" i="2"/>
  <c r="K346" i="2"/>
  <c r="L346" i="2"/>
  <c r="M346" i="2"/>
  <c r="N346" i="2"/>
  <c r="O346" i="2"/>
  <c r="P346" i="2"/>
  <c r="Q346" i="2"/>
  <c r="R346" i="2"/>
  <c r="S346" i="2"/>
  <c r="T346" i="2"/>
  <c r="U346" i="2"/>
  <c r="V346" i="2"/>
  <c r="W346" i="2"/>
  <c r="X346" i="2"/>
  <c r="Y346" i="2"/>
  <c r="Z346" i="2"/>
  <c r="AA346" i="2"/>
  <c r="AB346" i="2"/>
  <c r="AC346" i="2"/>
  <c r="AD346" i="2"/>
  <c r="AE346" i="2"/>
  <c r="AF346" i="2"/>
  <c r="AG346" i="2"/>
  <c r="D347" i="2"/>
  <c r="E347" i="2"/>
  <c r="F347" i="2"/>
  <c r="G347" i="2"/>
  <c r="H347" i="2"/>
  <c r="I347" i="2"/>
  <c r="J347" i="2"/>
  <c r="K347" i="2"/>
  <c r="L347" i="2"/>
  <c r="M347" i="2"/>
  <c r="N347" i="2"/>
  <c r="O347" i="2"/>
  <c r="P347" i="2"/>
  <c r="Q347" i="2"/>
  <c r="R347" i="2"/>
  <c r="S347" i="2"/>
  <c r="T347" i="2"/>
  <c r="U347" i="2"/>
  <c r="V347" i="2"/>
  <c r="W347" i="2"/>
  <c r="X347" i="2"/>
  <c r="Y347" i="2"/>
  <c r="Z347" i="2"/>
  <c r="AA347" i="2"/>
  <c r="AB347" i="2"/>
  <c r="AC347" i="2"/>
  <c r="AD347" i="2"/>
  <c r="AE347" i="2"/>
  <c r="AF347" i="2"/>
  <c r="AG347" i="2"/>
  <c r="D348" i="2"/>
  <c r="E348" i="2"/>
  <c r="F348" i="2"/>
  <c r="G348" i="2"/>
  <c r="H348" i="2"/>
  <c r="I348" i="2"/>
  <c r="J348" i="2"/>
  <c r="K348" i="2"/>
  <c r="L348" i="2"/>
  <c r="M348" i="2"/>
  <c r="N348" i="2"/>
  <c r="O348" i="2"/>
  <c r="P348" i="2"/>
  <c r="Q348" i="2"/>
  <c r="R348" i="2"/>
  <c r="S348" i="2"/>
  <c r="T348" i="2"/>
  <c r="U348" i="2"/>
  <c r="V348" i="2"/>
  <c r="W348" i="2"/>
  <c r="X348" i="2"/>
  <c r="Y348" i="2"/>
  <c r="Z348" i="2"/>
  <c r="AA348" i="2"/>
  <c r="AB348" i="2"/>
  <c r="AC348" i="2"/>
  <c r="AD348" i="2"/>
  <c r="AE348" i="2"/>
  <c r="AF348" i="2"/>
  <c r="AG348" i="2"/>
  <c r="D349" i="2"/>
  <c r="E349" i="2"/>
  <c r="F349" i="2"/>
  <c r="G349" i="2"/>
  <c r="H349" i="2"/>
  <c r="I349" i="2"/>
  <c r="J349" i="2"/>
  <c r="K349" i="2"/>
  <c r="L349" i="2"/>
  <c r="M349" i="2"/>
  <c r="N349" i="2"/>
  <c r="O349" i="2"/>
  <c r="P349" i="2"/>
  <c r="Q349" i="2"/>
  <c r="R349" i="2"/>
  <c r="S349" i="2"/>
  <c r="T349" i="2"/>
  <c r="U349" i="2"/>
  <c r="V349" i="2"/>
  <c r="W349" i="2"/>
  <c r="X349" i="2"/>
  <c r="Y349" i="2"/>
  <c r="Z349" i="2"/>
  <c r="AA349" i="2"/>
  <c r="AB349" i="2"/>
  <c r="AC349" i="2"/>
  <c r="AD349" i="2"/>
  <c r="AE349" i="2"/>
  <c r="AF349" i="2"/>
  <c r="AG349" i="2"/>
  <c r="D350" i="2"/>
  <c r="E350" i="2"/>
  <c r="F350" i="2"/>
  <c r="G350" i="2"/>
  <c r="H350" i="2"/>
  <c r="I350" i="2"/>
  <c r="J350" i="2"/>
  <c r="K350" i="2"/>
  <c r="L350" i="2"/>
  <c r="M350" i="2"/>
  <c r="N350" i="2"/>
  <c r="O350" i="2"/>
  <c r="P350" i="2"/>
  <c r="Q350" i="2"/>
  <c r="R350" i="2"/>
  <c r="S350" i="2"/>
  <c r="T350" i="2"/>
  <c r="U350" i="2"/>
  <c r="V350" i="2"/>
  <c r="W350" i="2"/>
  <c r="X350" i="2"/>
  <c r="Y350" i="2"/>
  <c r="Z350" i="2"/>
  <c r="AA350" i="2"/>
  <c r="AB350" i="2"/>
  <c r="AC350" i="2"/>
  <c r="AD350" i="2"/>
  <c r="AE350" i="2"/>
  <c r="AF350" i="2"/>
  <c r="AG350" i="2"/>
  <c r="D357" i="2"/>
  <c r="E357" i="2"/>
  <c r="F357" i="2"/>
  <c r="G357" i="2"/>
  <c r="H357" i="2"/>
  <c r="I357" i="2"/>
  <c r="J357" i="2"/>
  <c r="K357" i="2"/>
  <c r="L357" i="2"/>
  <c r="M357" i="2"/>
  <c r="N357" i="2"/>
  <c r="O357" i="2"/>
  <c r="P357" i="2"/>
  <c r="Q357" i="2"/>
  <c r="R357" i="2"/>
  <c r="S357" i="2"/>
  <c r="T357" i="2"/>
  <c r="U357" i="2"/>
  <c r="V357" i="2"/>
  <c r="W357" i="2"/>
  <c r="X357" i="2"/>
  <c r="Y357" i="2"/>
  <c r="Z357" i="2"/>
  <c r="AA357" i="2"/>
  <c r="AB357" i="2"/>
  <c r="AC357" i="2"/>
  <c r="AD357" i="2"/>
  <c r="AE357" i="2"/>
  <c r="AF357" i="2"/>
  <c r="AG357" i="2"/>
  <c r="D358" i="2"/>
  <c r="E358" i="2"/>
  <c r="F358" i="2"/>
  <c r="G358" i="2"/>
  <c r="H358" i="2"/>
  <c r="I358" i="2"/>
  <c r="J358" i="2"/>
  <c r="K358" i="2"/>
  <c r="L358" i="2"/>
  <c r="M358" i="2"/>
  <c r="N358" i="2"/>
  <c r="O358" i="2"/>
  <c r="P358" i="2"/>
  <c r="Q358" i="2"/>
  <c r="R358" i="2"/>
  <c r="S358" i="2"/>
  <c r="T358" i="2"/>
  <c r="U358" i="2"/>
  <c r="V358" i="2"/>
  <c r="W358" i="2"/>
  <c r="X358" i="2"/>
  <c r="Y358" i="2"/>
  <c r="Z358" i="2"/>
  <c r="AA358" i="2"/>
  <c r="AB358" i="2"/>
  <c r="AC358" i="2"/>
  <c r="AD358" i="2"/>
  <c r="AE358" i="2"/>
  <c r="AF358" i="2"/>
  <c r="AG358" i="2"/>
  <c r="D359" i="2"/>
  <c r="E359" i="2"/>
  <c r="F359" i="2"/>
  <c r="G359" i="2"/>
  <c r="H359" i="2"/>
  <c r="I359" i="2"/>
  <c r="J359" i="2"/>
  <c r="K359" i="2"/>
  <c r="L359" i="2"/>
  <c r="M359" i="2"/>
  <c r="N359" i="2"/>
  <c r="O359" i="2"/>
  <c r="P359" i="2"/>
  <c r="Q359" i="2"/>
  <c r="R359" i="2"/>
  <c r="S359" i="2"/>
  <c r="T359" i="2"/>
  <c r="U359" i="2"/>
  <c r="V359" i="2"/>
  <c r="W359" i="2"/>
  <c r="X359" i="2"/>
  <c r="Y359" i="2"/>
  <c r="Z359" i="2"/>
  <c r="AA359" i="2"/>
  <c r="AB359" i="2"/>
  <c r="AC359" i="2"/>
  <c r="AD359" i="2"/>
  <c r="AE359" i="2"/>
  <c r="AF359" i="2"/>
  <c r="AG359" i="2"/>
  <c r="D360" i="2"/>
  <c r="E360" i="2"/>
  <c r="F360" i="2"/>
  <c r="G360" i="2"/>
  <c r="H360" i="2"/>
  <c r="I360" i="2"/>
  <c r="J360" i="2"/>
  <c r="K360" i="2"/>
  <c r="L360" i="2"/>
  <c r="M360" i="2"/>
  <c r="N360" i="2"/>
  <c r="O360" i="2"/>
  <c r="P360" i="2"/>
  <c r="Q360" i="2"/>
  <c r="R360" i="2"/>
  <c r="S360" i="2"/>
  <c r="T360" i="2"/>
  <c r="U360" i="2"/>
  <c r="V360" i="2"/>
  <c r="W360" i="2"/>
  <c r="X360" i="2"/>
  <c r="Y360" i="2"/>
  <c r="Z360" i="2"/>
  <c r="AA360" i="2"/>
  <c r="AB360" i="2"/>
  <c r="AC360" i="2"/>
  <c r="AD360" i="2"/>
  <c r="AE360" i="2"/>
  <c r="AF360" i="2"/>
  <c r="AG360" i="2"/>
  <c r="D361" i="2"/>
  <c r="E361" i="2"/>
  <c r="F361" i="2"/>
  <c r="G361" i="2"/>
  <c r="H361" i="2"/>
  <c r="I361" i="2"/>
  <c r="J361" i="2"/>
  <c r="K361" i="2"/>
  <c r="L361" i="2"/>
  <c r="M361" i="2"/>
  <c r="N361" i="2"/>
  <c r="O361" i="2"/>
  <c r="P361" i="2"/>
  <c r="Q361" i="2"/>
  <c r="R361" i="2"/>
  <c r="S361" i="2"/>
  <c r="T361" i="2"/>
  <c r="U361" i="2"/>
  <c r="V361" i="2"/>
  <c r="W361" i="2"/>
  <c r="X361" i="2"/>
  <c r="Y361" i="2"/>
  <c r="Z361" i="2"/>
  <c r="AA361" i="2"/>
  <c r="AB361" i="2"/>
  <c r="AC361" i="2"/>
  <c r="AD361" i="2"/>
  <c r="AE361" i="2"/>
  <c r="AF361" i="2"/>
  <c r="AG361" i="2"/>
  <c r="D362" i="2"/>
  <c r="E362" i="2"/>
  <c r="F362" i="2"/>
  <c r="G362" i="2"/>
  <c r="H362" i="2"/>
  <c r="I362" i="2"/>
  <c r="J362" i="2"/>
  <c r="K362" i="2"/>
  <c r="L362" i="2"/>
  <c r="M362" i="2"/>
  <c r="N362" i="2"/>
  <c r="O362" i="2"/>
  <c r="P362" i="2"/>
  <c r="Q362" i="2"/>
  <c r="R362" i="2"/>
  <c r="S362" i="2"/>
  <c r="T362" i="2"/>
  <c r="U362" i="2"/>
  <c r="V362" i="2"/>
  <c r="W362" i="2"/>
  <c r="X362" i="2"/>
  <c r="Y362" i="2"/>
  <c r="Z362" i="2"/>
  <c r="AA362" i="2"/>
  <c r="AB362" i="2"/>
  <c r="AC362" i="2"/>
  <c r="AD362" i="2"/>
  <c r="AE362" i="2"/>
  <c r="AF362" i="2"/>
  <c r="AG362" i="2"/>
  <c r="D363" i="2"/>
  <c r="E363" i="2"/>
  <c r="F363" i="2"/>
  <c r="G363" i="2"/>
  <c r="H363" i="2"/>
  <c r="I363" i="2"/>
  <c r="J363" i="2"/>
  <c r="K363" i="2"/>
  <c r="L363" i="2"/>
  <c r="M363" i="2"/>
  <c r="N363" i="2"/>
  <c r="O363" i="2"/>
  <c r="P363" i="2"/>
  <c r="Q363" i="2"/>
  <c r="R363" i="2"/>
  <c r="S363" i="2"/>
  <c r="T363" i="2"/>
  <c r="U363" i="2"/>
  <c r="V363" i="2"/>
  <c r="W363" i="2"/>
  <c r="X363" i="2"/>
  <c r="Y363" i="2"/>
  <c r="Z363" i="2"/>
  <c r="AA363" i="2"/>
  <c r="AB363" i="2"/>
  <c r="AC363" i="2"/>
  <c r="AD363" i="2"/>
  <c r="AE363" i="2"/>
  <c r="AF363" i="2"/>
  <c r="AG363" i="2"/>
  <c r="D364" i="2"/>
  <c r="E364" i="2"/>
  <c r="F364" i="2"/>
  <c r="G364" i="2"/>
  <c r="H364" i="2"/>
  <c r="I364" i="2"/>
  <c r="J364" i="2"/>
  <c r="K364" i="2"/>
  <c r="L364" i="2"/>
  <c r="M364" i="2"/>
  <c r="N364" i="2"/>
  <c r="O364" i="2"/>
  <c r="P364" i="2"/>
  <c r="Q364" i="2"/>
  <c r="R364" i="2"/>
  <c r="S364" i="2"/>
  <c r="T364" i="2"/>
  <c r="U364" i="2"/>
  <c r="V364" i="2"/>
  <c r="W364" i="2"/>
  <c r="X364" i="2"/>
  <c r="Y364" i="2"/>
  <c r="Z364" i="2"/>
  <c r="AA364" i="2"/>
  <c r="AB364" i="2"/>
  <c r="AC364" i="2"/>
  <c r="AD364" i="2"/>
  <c r="AE364" i="2"/>
  <c r="AF364" i="2"/>
  <c r="AG364" i="2"/>
  <c r="D365" i="2"/>
  <c r="E365" i="2"/>
  <c r="F365" i="2"/>
  <c r="G365" i="2"/>
  <c r="H365" i="2"/>
  <c r="I365" i="2"/>
  <c r="J365" i="2"/>
  <c r="K365" i="2"/>
  <c r="L365" i="2"/>
  <c r="M365" i="2"/>
  <c r="N365" i="2"/>
  <c r="O365" i="2"/>
  <c r="P365" i="2"/>
  <c r="Q365" i="2"/>
  <c r="R365" i="2"/>
  <c r="S365" i="2"/>
  <c r="T365" i="2"/>
  <c r="U365" i="2"/>
  <c r="V365" i="2"/>
  <c r="W365" i="2"/>
  <c r="X365" i="2"/>
  <c r="Y365" i="2"/>
  <c r="Z365" i="2"/>
  <c r="AA365" i="2"/>
  <c r="AB365" i="2"/>
  <c r="AC365" i="2"/>
  <c r="AD365" i="2"/>
  <c r="AE365" i="2"/>
  <c r="AF365" i="2"/>
  <c r="AG365" i="2"/>
  <c r="D366" i="2"/>
  <c r="E366" i="2"/>
  <c r="F366" i="2"/>
  <c r="G366" i="2"/>
  <c r="H366" i="2"/>
  <c r="I366" i="2"/>
  <c r="J366" i="2"/>
  <c r="K366" i="2"/>
  <c r="L366" i="2"/>
  <c r="M366" i="2"/>
  <c r="N366" i="2"/>
  <c r="O366" i="2"/>
  <c r="P366" i="2"/>
  <c r="Q366" i="2"/>
  <c r="R366" i="2"/>
  <c r="S366" i="2"/>
  <c r="T366" i="2"/>
  <c r="U366" i="2"/>
  <c r="V366" i="2"/>
  <c r="W366" i="2"/>
  <c r="X366" i="2"/>
  <c r="Y366" i="2"/>
  <c r="Z366" i="2"/>
  <c r="AA366" i="2"/>
  <c r="AB366" i="2"/>
  <c r="AC366" i="2"/>
  <c r="AD366" i="2"/>
  <c r="AE366" i="2"/>
  <c r="AF366" i="2"/>
  <c r="AG366" i="2"/>
  <c r="D373" i="2"/>
  <c r="E373" i="2"/>
  <c r="F373" i="2"/>
  <c r="G373" i="2"/>
  <c r="H373" i="2"/>
  <c r="I373" i="2"/>
  <c r="J373" i="2"/>
  <c r="K373" i="2"/>
  <c r="L373" i="2"/>
  <c r="M373" i="2"/>
  <c r="N373" i="2"/>
  <c r="O373" i="2"/>
  <c r="P373" i="2"/>
  <c r="Q373" i="2"/>
  <c r="R373" i="2"/>
  <c r="S373" i="2"/>
  <c r="T373" i="2"/>
  <c r="U373" i="2"/>
  <c r="V373" i="2"/>
  <c r="W373" i="2"/>
  <c r="X373" i="2"/>
  <c r="Y373" i="2"/>
  <c r="Z373" i="2"/>
  <c r="AA373" i="2"/>
  <c r="AB373" i="2"/>
  <c r="AC373" i="2"/>
  <c r="AD373" i="2"/>
  <c r="AE373" i="2"/>
  <c r="AF373" i="2"/>
  <c r="AG373" i="2"/>
  <c r="D374" i="2"/>
  <c r="E374" i="2"/>
  <c r="F374" i="2"/>
  <c r="G374" i="2"/>
  <c r="H374" i="2"/>
  <c r="I374" i="2"/>
  <c r="J374" i="2"/>
  <c r="K374" i="2"/>
  <c r="L374" i="2"/>
  <c r="M374" i="2"/>
  <c r="N374" i="2"/>
  <c r="O374" i="2"/>
  <c r="P374" i="2"/>
  <c r="Q374" i="2"/>
  <c r="R374" i="2"/>
  <c r="S374" i="2"/>
  <c r="T374" i="2"/>
  <c r="U374" i="2"/>
  <c r="V374" i="2"/>
  <c r="W374" i="2"/>
  <c r="X374" i="2"/>
  <c r="Y374" i="2"/>
  <c r="Z374" i="2"/>
  <c r="AA374" i="2"/>
  <c r="AB374" i="2"/>
  <c r="AC374" i="2"/>
  <c r="AD374" i="2"/>
  <c r="AE374" i="2"/>
  <c r="AF374" i="2"/>
  <c r="AG374" i="2"/>
  <c r="D375" i="2"/>
  <c r="E375" i="2"/>
  <c r="F375" i="2"/>
  <c r="G375" i="2"/>
  <c r="H375" i="2"/>
  <c r="I375" i="2"/>
  <c r="J375" i="2"/>
  <c r="K375" i="2"/>
  <c r="L375" i="2"/>
  <c r="M375" i="2"/>
  <c r="N375" i="2"/>
  <c r="O375" i="2"/>
  <c r="P375" i="2"/>
  <c r="Q375" i="2"/>
  <c r="R375" i="2"/>
  <c r="S375" i="2"/>
  <c r="T375" i="2"/>
  <c r="U375" i="2"/>
  <c r="V375" i="2"/>
  <c r="W375" i="2"/>
  <c r="X375" i="2"/>
  <c r="Y375" i="2"/>
  <c r="Z375" i="2"/>
  <c r="AA375" i="2"/>
  <c r="AB375" i="2"/>
  <c r="AC375" i="2"/>
  <c r="AD375" i="2"/>
  <c r="AE375" i="2"/>
  <c r="AF375" i="2"/>
  <c r="AG375" i="2"/>
  <c r="D376" i="2"/>
  <c r="E376" i="2"/>
  <c r="F376" i="2"/>
  <c r="G376" i="2"/>
  <c r="H376" i="2"/>
  <c r="I376" i="2"/>
  <c r="J376" i="2"/>
  <c r="K376" i="2"/>
  <c r="L376" i="2"/>
  <c r="M376" i="2"/>
  <c r="N376" i="2"/>
  <c r="O376" i="2"/>
  <c r="P376" i="2"/>
  <c r="Q376" i="2"/>
  <c r="R376" i="2"/>
  <c r="S376" i="2"/>
  <c r="T376" i="2"/>
  <c r="U376" i="2"/>
  <c r="V376" i="2"/>
  <c r="W376" i="2"/>
  <c r="X376" i="2"/>
  <c r="Y376" i="2"/>
  <c r="Z376" i="2"/>
  <c r="AA376" i="2"/>
  <c r="AB376" i="2"/>
  <c r="AC376" i="2"/>
  <c r="AD376" i="2"/>
  <c r="AE376" i="2"/>
  <c r="AF376" i="2"/>
  <c r="AG376" i="2"/>
  <c r="D377" i="2"/>
  <c r="E377" i="2"/>
  <c r="F377" i="2"/>
  <c r="G377" i="2"/>
  <c r="H377" i="2"/>
  <c r="I377" i="2"/>
  <c r="J377" i="2"/>
  <c r="K377" i="2"/>
  <c r="L377" i="2"/>
  <c r="M377" i="2"/>
  <c r="N377" i="2"/>
  <c r="O377" i="2"/>
  <c r="P377" i="2"/>
  <c r="Q377" i="2"/>
  <c r="R377" i="2"/>
  <c r="S377" i="2"/>
  <c r="T377" i="2"/>
  <c r="U377" i="2"/>
  <c r="V377" i="2"/>
  <c r="W377" i="2"/>
  <c r="X377" i="2"/>
  <c r="Y377" i="2"/>
  <c r="Z377" i="2"/>
  <c r="AA377" i="2"/>
  <c r="AB377" i="2"/>
  <c r="AC377" i="2"/>
  <c r="AD377" i="2"/>
  <c r="AE377" i="2"/>
  <c r="AF377" i="2"/>
  <c r="AG377" i="2"/>
  <c r="D378" i="2"/>
  <c r="E378" i="2"/>
  <c r="F378" i="2"/>
  <c r="G378" i="2"/>
  <c r="H378" i="2"/>
  <c r="I378" i="2"/>
  <c r="J378" i="2"/>
  <c r="K378" i="2"/>
  <c r="L378" i="2"/>
  <c r="M378" i="2"/>
  <c r="N378" i="2"/>
  <c r="O378" i="2"/>
  <c r="P378" i="2"/>
  <c r="Q378" i="2"/>
  <c r="R378" i="2"/>
  <c r="S378" i="2"/>
  <c r="T378" i="2"/>
  <c r="U378" i="2"/>
  <c r="V378" i="2"/>
  <c r="W378" i="2"/>
  <c r="X378" i="2"/>
  <c r="Y378" i="2"/>
  <c r="Z378" i="2"/>
  <c r="AA378" i="2"/>
  <c r="AB378" i="2"/>
  <c r="AC378" i="2"/>
  <c r="AD378" i="2"/>
  <c r="AE378" i="2"/>
  <c r="AF378" i="2"/>
  <c r="AG378" i="2"/>
  <c r="D379" i="2"/>
  <c r="E379" i="2"/>
  <c r="F379" i="2"/>
  <c r="G379" i="2"/>
  <c r="H379" i="2"/>
  <c r="I379" i="2"/>
  <c r="J379" i="2"/>
  <c r="K379" i="2"/>
  <c r="L379" i="2"/>
  <c r="M379" i="2"/>
  <c r="N379" i="2"/>
  <c r="O379" i="2"/>
  <c r="P379" i="2"/>
  <c r="Q379" i="2"/>
  <c r="R379" i="2"/>
  <c r="S379" i="2"/>
  <c r="T379" i="2"/>
  <c r="U379" i="2"/>
  <c r="V379" i="2"/>
  <c r="W379" i="2"/>
  <c r="X379" i="2"/>
  <c r="Y379" i="2"/>
  <c r="Z379" i="2"/>
  <c r="AA379" i="2"/>
  <c r="AB379" i="2"/>
  <c r="AC379" i="2"/>
  <c r="AD379" i="2"/>
  <c r="AE379" i="2"/>
  <c r="AF379" i="2"/>
  <c r="AG379" i="2"/>
  <c r="D380" i="2"/>
  <c r="E380" i="2"/>
  <c r="F380" i="2"/>
  <c r="G380" i="2"/>
  <c r="H380" i="2"/>
  <c r="I380" i="2"/>
  <c r="J380" i="2"/>
  <c r="K380" i="2"/>
  <c r="L380" i="2"/>
  <c r="M380" i="2"/>
  <c r="N380" i="2"/>
  <c r="O380" i="2"/>
  <c r="P380" i="2"/>
  <c r="Q380" i="2"/>
  <c r="R380" i="2"/>
  <c r="S380" i="2"/>
  <c r="T380" i="2"/>
  <c r="U380" i="2"/>
  <c r="V380" i="2"/>
  <c r="W380" i="2"/>
  <c r="X380" i="2"/>
  <c r="Y380" i="2"/>
  <c r="Z380" i="2"/>
  <c r="AA380" i="2"/>
  <c r="AB380" i="2"/>
  <c r="AC380" i="2"/>
  <c r="AD380" i="2"/>
  <c r="AE380" i="2"/>
  <c r="AF380" i="2"/>
  <c r="AG380" i="2"/>
  <c r="D381" i="2"/>
  <c r="E381" i="2"/>
  <c r="F381" i="2"/>
  <c r="G381" i="2"/>
  <c r="H381" i="2"/>
  <c r="I381" i="2"/>
  <c r="J381" i="2"/>
  <c r="K381" i="2"/>
  <c r="L381" i="2"/>
  <c r="M381" i="2"/>
  <c r="N381" i="2"/>
  <c r="O381" i="2"/>
  <c r="P381" i="2"/>
  <c r="Q381" i="2"/>
  <c r="R381" i="2"/>
  <c r="S381" i="2"/>
  <c r="T381" i="2"/>
  <c r="U381" i="2"/>
  <c r="V381" i="2"/>
  <c r="W381" i="2"/>
  <c r="X381" i="2"/>
  <c r="Y381" i="2"/>
  <c r="Z381" i="2"/>
  <c r="AA381" i="2"/>
  <c r="AB381" i="2"/>
  <c r="AC381" i="2"/>
  <c r="AD381" i="2"/>
  <c r="AE381" i="2"/>
  <c r="AF381" i="2"/>
  <c r="AG381" i="2"/>
  <c r="D382" i="2"/>
  <c r="E382" i="2"/>
  <c r="F382" i="2"/>
  <c r="G382" i="2"/>
  <c r="H382" i="2"/>
  <c r="I382" i="2"/>
  <c r="J382" i="2"/>
  <c r="K382" i="2"/>
  <c r="L382" i="2"/>
  <c r="M382" i="2"/>
  <c r="N382" i="2"/>
  <c r="O382" i="2"/>
  <c r="P382" i="2"/>
  <c r="Q382" i="2"/>
  <c r="R382" i="2"/>
  <c r="S382" i="2"/>
  <c r="T382" i="2"/>
  <c r="U382" i="2"/>
  <c r="V382" i="2"/>
  <c r="W382" i="2"/>
  <c r="X382" i="2"/>
  <c r="Y382" i="2"/>
  <c r="Z382" i="2"/>
  <c r="AA382" i="2"/>
  <c r="AB382" i="2"/>
  <c r="AC382" i="2"/>
  <c r="AD382" i="2"/>
  <c r="AE382" i="2"/>
  <c r="AF382" i="2"/>
  <c r="AG382" i="2"/>
  <c r="D389" i="2"/>
  <c r="E389" i="2"/>
  <c r="F389" i="2"/>
  <c r="G389" i="2"/>
  <c r="H389" i="2"/>
  <c r="I389" i="2"/>
  <c r="J389" i="2"/>
  <c r="K389" i="2"/>
  <c r="L389" i="2"/>
  <c r="M389" i="2"/>
  <c r="N389" i="2"/>
  <c r="O389" i="2"/>
  <c r="P389" i="2"/>
  <c r="Q389" i="2"/>
  <c r="R389" i="2"/>
  <c r="S389" i="2"/>
  <c r="T389" i="2"/>
  <c r="U389" i="2"/>
  <c r="V389" i="2"/>
  <c r="W389" i="2"/>
  <c r="X389" i="2"/>
  <c r="Y389" i="2"/>
  <c r="Z389" i="2"/>
  <c r="AA389" i="2"/>
  <c r="AB389" i="2"/>
  <c r="AC389" i="2"/>
  <c r="AD389" i="2"/>
  <c r="AE389" i="2"/>
  <c r="AF389" i="2"/>
  <c r="AG389" i="2"/>
  <c r="D390" i="2"/>
  <c r="E390" i="2"/>
  <c r="F390" i="2"/>
  <c r="G390" i="2"/>
  <c r="H390" i="2"/>
  <c r="I390" i="2"/>
  <c r="J390" i="2"/>
  <c r="K390" i="2"/>
  <c r="L390" i="2"/>
  <c r="M390" i="2"/>
  <c r="N390" i="2"/>
  <c r="O390" i="2"/>
  <c r="P390" i="2"/>
  <c r="Q390" i="2"/>
  <c r="R390" i="2"/>
  <c r="S390" i="2"/>
  <c r="T390" i="2"/>
  <c r="U390" i="2"/>
  <c r="V390" i="2"/>
  <c r="W390" i="2"/>
  <c r="X390" i="2"/>
  <c r="Y390" i="2"/>
  <c r="Z390" i="2"/>
  <c r="AA390" i="2"/>
  <c r="AB390" i="2"/>
  <c r="AC390" i="2"/>
  <c r="AD390" i="2"/>
  <c r="AE390" i="2"/>
  <c r="AF390" i="2"/>
  <c r="AG390" i="2"/>
  <c r="D391" i="2"/>
  <c r="E391" i="2"/>
  <c r="F391" i="2"/>
  <c r="G391" i="2"/>
  <c r="H391" i="2"/>
  <c r="I391" i="2"/>
  <c r="J391" i="2"/>
  <c r="K391" i="2"/>
  <c r="L391" i="2"/>
  <c r="M391" i="2"/>
  <c r="N391" i="2"/>
  <c r="O391" i="2"/>
  <c r="P391" i="2"/>
  <c r="Q391" i="2"/>
  <c r="R391" i="2"/>
  <c r="S391" i="2"/>
  <c r="T391" i="2"/>
  <c r="U391" i="2"/>
  <c r="V391" i="2"/>
  <c r="W391" i="2"/>
  <c r="X391" i="2"/>
  <c r="Y391" i="2"/>
  <c r="Z391" i="2"/>
  <c r="AA391" i="2"/>
  <c r="AB391" i="2"/>
  <c r="AC391" i="2"/>
  <c r="AD391" i="2"/>
  <c r="AE391" i="2"/>
  <c r="AF391" i="2"/>
  <c r="AG391" i="2"/>
  <c r="D392" i="2"/>
  <c r="E392" i="2"/>
  <c r="F392" i="2"/>
  <c r="G392" i="2"/>
  <c r="H392" i="2"/>
  <c r="I392" i="2"/>
  <c r="J392" i="2"/>
  <c r="K392" i="2"/>
  <c r="L392" i="2"/>
  <c r="M392" i="2"/>
  <c r="N392" i="2"/>
  <c r="O392" i="2"/>
  <c r="P392" i="2"/>
  <c r="Q392" i="2"/>
  <c r="R392" i="2"/>
  <c r="S392" i="2"/>
  <c r="T392" i="2"/>
  <c r="U392" i="2"/>
  <c r="V392" i="2"/>
  <c r="W392" i="2"/>
  <c r="X392" i="2"/>
  <c r="Y392" i="2"/>
  <c r="Z392" i="2"/>
  <c r="AA392" i="2"/>
  <c r="AB392" i="2"/>
  <c r="AC392" i="2"/>
  <c r="AD392" i="2"/>
  <c r="AE392" i="2"/>
  <c r="AF392" i="2"/>
  <c r="AG392" i="2"/>
  <c r="D393" i="2"/>
  <c r="E393" i="2"/>
  <c r="F393" i="2"/>
  <c r="G393" i="2"/>
  <c r="H393" i="2"/>
  <c r="I393" i="2"/>
  <c r="J393" i="2"/>
  <c r="K393" i="2"/>
  <c r="L393" i="2"/>
  <c r="M393" i="2"/>
  <c r="N393" i="2"/>
  <c r="O393" i="2"/>
  <c r="P393" i="2"/>
  <c r="Q393" i="2"/>
  <c r="R393" i="2"/>
  <c r="S393" i="2"/>
  <c r="T393" i="2"/>
  <c r="U393" i="2"/>
  <c r="V393" i="2"/>
  <c r="W393" i="2"/>
  <c r="X393" i="2"/>
  <c r="Y393" i="2"/>
  <c r="Z393" i="2"/>
  <c r="AA393" i="2"/>
  <c r="AB393" i="2"/>
  <c r="AC393" i="2"/>
  <c r="AD393" i="2"/>
  <c r="AE393" i="2"/>
  <c r="AF393" i="2"/>
  <c r="AG393" i="2"/>
  <c r="D394" i="2"/>
  <c r="E394" i="2"/>
  <c r="F394" i="2"/>
  <c r="G394" i="2"/>
  <c r="H394" i="2"/>
  <c r="I394" i="2"/>
  <c r="J394" i="2"/>
  <c r="K394" i="2"/>
  <c r="L394" i="2"/>
  <c r="M394" i="2"/>
  <c r="N394" i="2"/>
  <c r="O394" i="2"/>
  <c r="P394" i="2"/>
  <c r="Q394" i="2"/>
  <c r="R394" i="2"/>
  <c r="S394" i="2"/>
  <c r="T394" i="2"/>
  <c r="U394" i="2"/>
  <c r="V394" i="2"/>
  <c r="W394" i="2"/>
  <c r="X394" i="2"/>
  <c r="Y394" i="2"/>
  <c r="Z394" i="2"/>
  <c r="AA394" i="2"/>
  <c r="AB394" i="2"/>
  <c r="AC394" i="2"/>
  <c r="AD394" i="2"/>
  <c r="AE394" i="2"/>
  <c r="AF394" i="2"/>
  <c r="AG394" i="2"/>
  <c r="D395" i="2"/>
  <c r="E395" i="2"/>
  <c r="F395" i="2"/>
  <c r="G395" i="2"/>
  <c r="H395" i="2"/>
  <c r="I395" i="2"/>
  <c r="J395" i="2"/>
  <c r="K395" i="2"/>
  <c r="L395" i="2"/>
  <c r="M395" i="2"/>
  <c r="N395" i="2"/>
  <c r="O395" i="2"/>
  <c r="P395" i="2"/>
  <c r="Q395" i="2"/>
  <c r="R395" i="2"/>
  <c r="S395" i="2"/>
  <c r="T395" i="2"/>
  <c r="U395" i="2"/>
  <c r="V395" i="2"/>
  <c r="W395" i="2"/>
  <c r="X395" i="2"/>
  <c r="Y395" i="2"/>
  <c r="Z395" i="2"/>
  <c r="AA395" i="2"/>
  <c r="AB395" i="2"/>
  <c r="AC395" i="2"/>
  <c r="AD395" i="2"/>
  <c r="AE395" i="2"/>
  <c r="AF395" i="2"/>
  <c r="AG395" i="2"/>
  <c r="D396" i="2"/>
  <c r="E396" i="2"/>
  <c r="F396" i="2"/>
  <c r="G396" i="2"/>
  <c r="H396" i="2"/>
  <c r="I396" i="2"/>
  <c r="J396" i="2"/>
  <c r="K396" i="2"/>
  <c r="L396" i="2"/>
  <c r="M396" i="2"/>
  <c r="N396" i="2"/>
  <c r="O396" i="2"/>
  <c r="P396" i="2"/>
  <c r="Q396" i="2"/>
  <c r="R396" i="2"/>
  <c r="S396" i="2"/>
  <c r="T396" i="2"/>
  <c r="U396" i="2"/>
  <c r="V396" i="2"/>
  <c r="W396" i="2"/>
  <c r="X396" i="2"/>
  <c r="Y396" i="2"/>
  <c r="Z396" i="2"/>
  <c r="AA396" i="2"/>
  <c r="AB396" i="2"/>
  <c r="AC396" i="2"/>
  <c r="AD396" i="2"/>
  <c r="AE396" i="2"/>
  <c r="AF396" i="2"/>
  <c r="AG396" i="2"/>
  <c r="D397" i="2"/>
  <c r="E397" i="2"/>
  <c r="F397" i="2"/>
  <c r="G397" i="2"/>
  <c r="H397" i="2"/>
  <c r="I397" i="2"/>
  <c r="J397" i="2"/>
  <c r="K397" i="2"/>
  <c r="L397" i="2"/>
  <c r="M397" i="2"/>
  <c r="N397" i="2"/>
  <c r="O397" i="2"/>
  <c r="P397" i="2"/>
  <c r="Q397" i="2"/>
  <c r="R397" i="2"/>
  <c r="S397" i="2"/>
  <c r="T397" i="2"/>
  <c r="U397" i="2"/>
  <c r="V397" i="2"/>
  <c r="W397" i="2"/>
  <c r="X397" i="2"/>
  <c r="Y397" i="2"/>
  <c r="Z397" i="2"/>
  <c r="AA397" i="2"/>
  <c r="AB397" i="2"/>
  <c r="AC397" i="2"/>
  <c r="AD397" i="2"/>
  <c r="AE397" i="2"/>
  <c r="AF397" i="2"/>
  <c r="AG397" i="2"/>
  <c r="D398" i="2"/>
  <c r="E398" i="2"/>
  <c r="F398" i="2"/>
  <c r="G398" i="2"/>
  <c r="H398" i="2"/>
  <c r="I398" i="2"/>
  <c r="J398" i="2"/>
  <c r="K398" i="2"/>
  <c r="L398" i="2"/>
  <c r="M398" i="2"/>
  <c r="N398" i="2"/>
  <c r="O398" i="2"/>
  <c r="P398" i="2"/>
  <c r="Q398" i="2"/>
  <c r="R398" i="2"/>
  <c r="S398" i="2"/>
  <c r="T398" i="2"/>
  <c r="U398" i="2"/>
  <c r="V398" i="2"/>
  <c r="W398" i="2"/>
  <c r="X398" i="2"/>
  <c r="Y398" i="2"/>
  <c r="Z398" i="2"/>
  <c r="AA398" i="2"/>
  <c r="AB398" i="2"/>
  <c r="AC398" i="2"/>
  <c r="AD398" i="2"/>
  <c r="AE398" i="2"/>
  <c r="AF398" i="2"/>
  <c r="AG398" i="2"/>
  <c r="D407" i="2"/>
  <c r="E407" i="2"/>
  <c r="F407" i="2"/>
  <c r="G407" i="2"/>
  <c r="H407" i="2"/>
  <c r="I407" i="2"/>
  <c r="J407" i="2"/>
  <c r="K407" i="2"/>
  <c r="L407" i="2"/>
  <c r="M407" i="2"/>
  <c r="N407" i="2"/>
  <c r="O407" i="2"/>
  <c r="P407" i="2"/>
  <c r="Q407" i="2"/>
  <c r="R407" i="2"/>
  <c r="S407" i="2"/>
  <c r="T407" i="2"/>
  <c r="U407" i="2"/>
  <c r="V407" i="2"/>
  <c r="W407" i="2"/>
  <c r="X407" i="2"/>
  <c r="Y407" i="2"/>
  <c r="Z407" i="2"/>
  <c r="AA407" i="2"/>
  <c r="AB407" i="2"/>
  <c r="AC407" i="2"/>
  <c r="AD407" i="2"/>
  <c r="AE407" i="2"/>
  <c r="AF407" i="2"/>
  <c r="AG407" i="2"/>
  <c r="D408" i="2"/>
  <c r="E408" i="2"/>
  <c r="F408" i="2"/>
  <c r="G408" i="2"/>
  <c r="H408" i="2"/>
  <c r="I408" i="2"/>
  <c r="J408" i="2"/>
  <c r="K408" i="2"/>
  <c r="L408" i="2"/>
  <c r="M408" i="2"/>
  <c r="N408" i="2"/>
  <c r="O408" i="2"/>
  <c r="P408" i="2"/>
  <c r="Q408" i="2"/>
  <c r="R408" i="2"/>
  <c r="S408" i="2"/>
  <c r="T408" i="2"/>
  <c r="U408" i="2"/>
  <c r="V408" i="2"/>
  <c r="W408" i="2"/>
  <c r="X408" i="2"/>
  <c r="Y408" i="2"/>
  <c r="Z408" i="2"/>
  <c r="AA408" i="2"/>
  <c r="AB408" i="2"/>
  <c r="AC408" i="2"/>
  <c r="AD408" i="2"/>
  <c r="AE408" i="2"/>
  <c r="AF408" i="2"/>
  <c r="AG408" i="2"/>
  <c r="D409" i="2"/>
  <c r="E409" i="2"/>
  <c r="F409" i="2"/>
  <c r="G409" i="2"/>
  <c r="H409" i="2"/>
  <c r="I409" i="2"/>
  <c r="J409" i="2"/>
  <c r="K409" i="2"/>
  <c r="L409" i="2"/>
  <c r="M409" i="2"/>
  <c r="N409" i="2"/>
  <c r="O409" i="2"/>
  <c r="P409" i="2"/>
  <c r="Q409" i="2"/>
  <c r="R409" i="2"/>
  <c r="S409" i="2"/>
  <c r="T409" i="2"/>
  <c r="U409" i="2"/>
  <c r="V409" i="2"/>
  <c r="W409" i="2"/>
  <c r="X409" i="2"/>
  <c r="Y409" i="2"/>
  <c r="Z409" i="2"/>
  <c r="AA409" i="2"/>
  <c r="AB409" i="2"/>
  <c r="AC409" i="2"/>
  <c r="AD409" i="2"/>
  <c r="AE409" i="2"/>
  <c r="AF409" i="2"/>
  <c r="AG409" i="2"/>
  <c r="D416" i="2"/>
  <c r="E416" i="2"/>
  <c r="F416" i="2"/>
  <c r="G416" i="2"/>
  <c r="H416" i="2"/>
  <c r="I416" i="2"/>
  <c r="J416" i="2"/>
  <c r="K416" i="2"/>
  <c r="L416" i="2"/>
  <c r="M416" i="2"/>
  <c r="N416" i="2"/>
  <c r="O416" i="2"/>
  <c r="P416" i="2"/>
  <c r="Q416" i="2"/>
  <c r="R416" i="2"/>
  <c r="S416" i="2"/>
  <c r="T416" i="2"/>
  <c r="U416" i="2"/>
  <c r="V416" i="2"/>
  <c r="W416" i="2"/>
  <c r="X416" i="2"/>
  <c r="Y416" i="2"/>
  <c r="Z416" i="2"/>
  <c r="AA416" i="2"/>
  <c r="AB416" i="2"/>
  <c r="AC416" i="2"/>
  <c r="AD416" i="2"/>
  <c r="AE416" i="2"/>
  <c r="AF416" i="2"/>
  <c r="AG416" i="2"/>
  <c r="D417" i="2"/>
  <c r="E417" i="2"/>
  <c r="F417" i="2"/>
  <c r="G417" i="2"/>
  <c r="H417" i="2"/>
  <c r="I417" i="2"/>
  <c r="J417" i="2"/>
  <c r="K417" i="2"/>
  <c r="L417" i="2"/>
  <c r="M417" i="2"/>
  <c r="N417" i="2"/>
  <c r="O417" i="2"/>
  <c r="P417" i="2"/>
  <c r="Q417" i="2"/>
  <c r="R417" i="2"/>
  <c r="S417" i="2"/>
  <c r="T417" i="2"/>
  <c r="U417" i="2"/>
  <c r="V417" i="2"/>
  <c r="W417" i="2"/>
  <c r="X417" i="2"/>
  <c r="Y417" i="2"/>
  <c r="Z417" i="2"/>
  <c r="AA417" i="2"/>
  <c r="AB417" i="2"/>
  <c r="AC417" i="2"/>
  <c r="AD417" i="2"/>
  <c r="AE417" i="2"/>
  <c r="AF417" i="2"/>
  <c r="AG417" i="2"/>
  <c r="D418" i="2"/>
  <c r="E418" i="2"/>
  <c r="F418" i="2"/>
  <c r="G418" i="2"/>
  <c r="H418" i="2"/>
  <c r="I418" i="2"/>
  <c r="J418" i="2"/>
  <c r="K418" i="2"/>
  <c r="L418" i="2"/>
  <c r="M418" i="2"/>
  <c r="N418" i="2"/>
  <c r="O418" i="2"/>
  <c r="P418" i="2"/>
  <c r="Q418" i="2"/>
  <c r="R418" i="2"/>
  <c r="S418" i="2"/>
  <c r="T418" i="2"/>
  <c r="U418" i="2"/>
  <c r="V418" i="2"/>
  <c r="W418" i="2"/>
  <c r="X418" i="2"/>
  <c r="Y418" i="2"/>
  <c r="Z418" i="2"/>
  <c r="AA418" i="2"/>
  <c r="AB418" i="2"/>
  <c r="AC418" i="2"/>
  <c r="AD418" i="2"/>
  <c r="AE418" i="2"/>
  <c r="AF418" i="2"/>
  <c r="AG418" i="2"/>
  <c r="D420" i="2"/>
  <c r="E420" i="2"/>
  <c r="F420" i="2"/>
  <c r="G420" i="2"/>
  <c r="H420" i="2"/>
  <c r="I420" i="2"/>
  <c r="J420" i="2"/>
  <c r="K420" i="2"/>
  <c r="L420" i="2"/>
  <c r="M420" i="2"/>
  <c r="N420" i="2"/>
  <c r="O420" i="2"/>
  <c r="P420" i="2"/>
  <c r="Q420" i="2"/>
  <c r="R420" i="2"/>
  <c r="S420" i="2"/>
  <c r="T420" i="2"/>
  <c r="U420" i="2"/>
  <c r="V420" i="2"/>
  <c r="W420" i="2"/>
  <c r="X420" i="2"/>
  <c r="Y420" i="2"/>
  <c r="Z420" i="2"/>
  <c r="AA420" i="2"/>
  <c r="AB420" i="2"/>
  <c r="AC420" i="2"/>
  <c r="AD420" i="2"/>
  <c r="AE420" i="2"/>
  <c r="AF420" i="2"/>
  <c r="AG420" i="2"/>
  <c r="D421" i="2"/>
  <c r="E421" i="2"/>
  <c r="F421" i="2"/>
  <c r="G421" i="2"/>
  <c r="H421" i="2"/>
  <c r="I421" i="2"/>
  <c r="J421" i="2"/>
  <c r="K421" i="2"/>
  <c r="L421" i="2"/>
  <c r="M421" i="2"/>
  <c r="N421" i="2"/>
  <c r="O421" i="2"/>
  <c r="P421" i="2"/>
  <c r="Q421" i="2"/>
  <c r="R421" i="2"/>
  <c r="S421" i="2"/>
  <c r="T421" i="2"/>
  <c r="U421" i="2"/>
  <c r="V421" i="2"/>
  <c r="W421" i="2"/>
  <c r="X421" i="2"/>
  <c r="Y421" i="2"/>
  <c r="Z421" i="2"/>
  <c r="AA421" i="2"/>
  <c r="AB421" i="2"/>
  <c r="AC421" i="2"/>
  <c r="AD421" i="2"/>
  <c r="AE421" i="2"/>
  <c r="AF421" i="2"/>
  <c r="AG421" i="2"/>
  <c r="D422" i="2"/>
  <c r="E422" i="2"/>
  <c r="F422" i="2"/>
  <c r="G422" i="2"/>
  <c r="H422" i="2"/>
  <c r="I422" i="2"/>
  <c r="J422" i="2"/>
  <c r="K422" i="2"/>
  <c r="L422" i="2"/>
  <c r="M422" i="2"/>
  <c r="N422" i="2"/>
  <c r="O422" i="2"/>
  <c r="P422" i="2"/>
  <c r="Q422" i="2"/>
  <c r="R422" i="2"/>
  <c r="S422" i="2"/>
  <c r="T422" i="2"/>
  <c r="U422" i="2"/>
  <c r="V422" i="2"/>
  <c r="W422" i="2"/>
  <c r="X422" i="2"/>
  <c r="Y422" i="2"/>
  <c r="Z422" i="2"/>
  <c r="AA422" i="2"/>
  <c r="AB422" i="2"/>
  <c r="AC422" i="2"/>
  <c r="AD422" i="2"/>
  <c r="AE422" i="2"/>
  <c r="AF422" i="2"/>
  <c r="AG422" i="2"/>
  <c r="D424" i="2"/>
  <c r="E424" i="2"/>
  <c r="F424" i="2"/>
  <c r="G424" i="2"/>
  <c r="H424" i="2"/>
  <c r="I424" i="2"/>
  <c r="J424" i="2"/>
  <c r="K424" i="2"/>
  <c r="L424" i="2"/>
  <c r="M424" i="2"/>
  <c r="N424" i="2"/>
  <c r="O424" i="2"/>
  <c r="P424" i="2"/>
  <c r="Q424" i="2"/>
  <c r="R424" i="2"/>
  <c r="S424" i="2"/>
  <c r="T424" i="2"/>
  <c r="U424" i="2"/>
  <c r="V424" i="2"/>
  <c r="W424" i="2"/>
  <c r="X424" i="2"/>
  <c r="Y424" i="2"/>
  <c r="Z424" i="2"/>
  <c r="AA424" i="2"/>
  <c r="AB424" i="2"/>
  <c r="AC424" i="2"/>
  <c r="AD424" i="2"/>
  <c r="AE424" i="2"/>
  <c r="AF424" i="2"/>
  <c r="AG424" i="2"/>
  <c r="D425" i="2"/>
  <c r="E425" i="2"/>
  <c r="F425" i="2"/>
  <c r="G425" i="2"/>
  <c r="H425" i="2"/>
  <c r="I425" i="2"/>
  <c r="J425" i="2"/>
  <c r="K425" i="2"/>
  <c r="L425" i="2"/>
  <c r="M425" i="2"/>
  <c r="N425" i="2"/>
  <c r="O425" i="2"/>
  <c r="P425" i="2"/>
  <c r="Q425" i="2"/>
  <c r="R425" i="2"/>
  <c r="S425" i="2"/>
  <c r="T425" i="2"/>
  <c r="U425" i="2"/>
  <c r="V425" i="2"/>
  <c r="W425" i="2"/>
  <c r="X425" i="2"/>
  <c r="Y425" i="2"/>
  <c r="Z425" i="2"/>
  <c r="AA425" i="2"/>
  <c r="AB425" i="2"/>
  <c r="AC425" i="2"/>
  <c r="AD425" i="2"/>
  <c r="AE425" i="2"/>
  <c r="AF425" i="2"/>
  <c r="AG425" i="2"/>
  <c r="D426" i="2"/>
  <c r="E426" i="2"/>
  <c r="F426" i="2"/>
  <c r="G426" i="2"/>
  <c r="H426" i="2"/>
  <c r="I426" i="2"/>
  <c r="J426" i="2"/>
  <c r="K426" i="2"/>
  <c r="L426" i="2"/>
  <c r="M426" i="2"/>
  <c r="N426" i="2"/>
  <c r="O426" i="2"/>
  <c r="P426" i="2"/>
  <c r="Q426" i="2"/>
  <c r="R426" i="2"/>
  <c r="S426" i="2"/>
  <c r="T426" i="2"/>
  <c r="U426" i="2"/>
  <c r="V426" i="2"/>
  <c r="W426" i="2"/>
  <c r="X426" i="2"/>
  <c r="Y426" i="2"/>
  <c r="Z426" i="2"/>
  <c r="AA426" i="2"/>
  <c r="AB426" i="2"/>
  <c r="AC426" i="2"/>
  <c r="AD426" i="2"/>
  <c r="AE426" i="2"/>
  <c r="AF426" i="2"/>
  <c r="AG426" i="2"/>
  <c r="D428" i="2"/>
  <c r="E428" i="2"/>
  <c r="F428" i="2"/>
  <c r="G428" i="2"/>
  <c r="H428" i="2"/>
  <c r="I428" i="2"/>
  <c r="J428" i="2"/>
  <c r="K428" i="2"/>
  <c r="L428" i="2"/>
  <c r="M428" i="2"/>
  <c r="N428" i="2"/>
  <c r="O428" i="2"/>
  <c r="P428" i="2"/>
  <c r="Q428" i="2"/>
  <c r="R428" i="2"/>
  <c r="S428" i="2"/>
  <c r="T428" i="2"/>
  <c r="U428" i="2"/>
  <c r="V428" i="2"/>
  <c r="W428" i="2"/>
  <c r="X428" i="2"/>
  <c r="Y428" i="2"/>
  <c r="Z428" i="2"/>
  <c r="AA428" i="2"/>
  <c r="AB428" i="2"/>
  <c r="AC428" i="2"/>
  <c r="AD428" i="2"/>
  <c r="AE428" i="2"/>
  <c r="AF428" i="2"/>
  <c r="AG428" i="2"/>
  <c r="D429" i="2"/>
  <c r="E429" i="2"/>
  <c r="F429" i="2"/>
  <c r="G429" i="2"/>
  <c r="H429" i="2"/>
  <c r="I429" i="2"/>
  <c r="J429" i="2"/>
  <c r="K429" i="2"/>
  <c r="L429" i="2"/>
  <c r="M429" i="2"/>
  <c r="N429" i="2"/>
  <c r="O429" i="2"/>
  <c r="P429" i="2"/>
  <c r="Q429" i="2"/>
  <c r="R429" i="2"/>
  <c r="S429" i="2"/>
  <c r="T429" i="2"/>
  <c r="U429" i="2"/>
  <c r="V429" i="2"/>
  <c r="W429" i="2"/>
  <c r="X429" i="2"/>
  <c r="Y429" i="2"/>
  <c r="Z429" i="2"/>
  <c r="AA429" i="2"/>
  <c r="AB429" i="2"/>
  <c r="AC429" i="2"/>
  <c r="AD429" i="2"/>
  <c r="AE429" i="2"/>
  <c r="AF429" i="2"/>
  <c r="AG429" i="2"/>
  <c r="D430" i="2"/>
  <c r="E430" i="2"/>
  <c r="F430" i="2"/>
  <c r="G430" i="2"/>
  <c r="H430" i="2"/>
  <c r="I430" i="2"/>
  <c r="J430" i="2"/>
  <c r="K430" i="2"/>
  <c r="L430" i="2"/>
  <c r="M430" i="2"/>
  <c r="N430" i="2"/>
  <c r="O430" i="2"/>
  <c r="P430" i="2"/>
  <c r="Q430" i="2"/>
  <c r="R430" i="2"/>
  <c r="S430" i="2"/>
  <c r="T430" i="2"/>
  <c r="U430" i="2"/>
  <c r="V430" i="2"/>
  <c r="W430" i="2"/>
  <c r="X430" i="2"/>
  <c r="Y430" i="2"/>
  <c r="Z430" i="2"/>
  <c r="AA430" i="2"/>
  <c r="AB430" i="2"/>
  <c r="AC430" i="2"/>
  <c r="AD430" i="2"/>
  <c r="AE430" i="2"/>
  <c r="AF430" i="2"/>
  <c r="AG430" i="2"/>
  <c r="D432" i="2"/>
  <c r="E432" i="2"/>
  <c r="F432" i="2"/>
  <c r="G432" i="2"/>
  <c r="H432" i="2"/>
  <c r="I432" i="2"/>
  <c r="J432" i="2"/>
  <c r="K432" i="2"/>
  <c r="L432" i="2"/>
  <c r="M432" i="2"/>
  <c r="N432" i="2"/>
  <c r="O432" i="2"/>
  <c r="P432" i="2"/>
  <c r="Q432" i="2"/>
  <c r="R432" i="2"/>
  <c r="S432" i="2"/>
  <c r="T432" i="2"/>
  <c r="U432" i="2"/>
  <c r="V432" i="2"/>
  <c r="W432" i="2"/>
  <c r="X432" i="2"/>
  <c r="Y432" i="2"/>
  <c r="Z432" i="2"/>
  <c r="AA432" i="2"/>
  <c r="AB432" i="2"/>
  <c r="AC432" i="2"/>
  <c r="AD432" i="2"/>
  <c r="AE432" i="2"/>
  <c r="AF432" i="2"/>
  <c r="AG432" i="2"/>
  <c r="D433" i="2"/>
  <c r="E433" i="2"/>
  <c r="F433" i="2"/>
  <c r="G433" i="2"/>
  <c r="H433" i="2"/>
  <c r="I433" i="2"/>
  <c r="J433" i="2"/>
  <c r="K433" i="2"/>
  <c r="L433" i="2"/>
  <c r="M433" i="2"/>
  <c r="N433" i="2"/>
  <c r="O433" i="2"/>
  <c r="P433" i="2"/>
  <c r="Q433" i="2"/>
  <c r="R433" i="2"/>
  <c r="S433" i="2"/>
  <c r="T433" i="2"/>
  <c r="U433" i="2"/>
  <c r="V433" i="2"/>
  <c r="W433" i="2"/>
  <c r="X433" i="2"/>
  <c r="Y433" i="2"/>
  <c r="Z433" i="2"/>
  <c r="AA433" i="2"/>
  <c r="AB433" i="2"/>
  <c r="AC433" i="2"/>
  <c r="AD433" i="2"/>
  <c r="AE433" i="2"/>
  <c r="AF433" i="2"/>
  <c r="AG433" i="2"/>
  <c r="D434" i="2"/>
  <c r="E434" i="2"/>
  <c r="F434" i="2"/>
  <c r="G434" i="2"/>
  <c r="H434" i="2"/>
  <c r="I434" i="2"/>
  <c r="J434" i="2"/>
  <c r="K434" i="2"/>
  <c r="L434" i="2"/>
  <c r="M434" i="2"/>
  <c r="N434" i="2"/>
  <c r="O434" i="2"/>
  <c r="P434" i="2"/>
  <c r="Q434" i="2"/>
  <c r="R434" i="2"/>
  <c r="S434" i="2"/>
  <c r="T434" i="2"/>
  <c r="U434" i="2"/>
  <c r="V434" i="2"/>
  <c r="W434" i="2"/>
  <c r="X434" i="2"/>
  <c r="Y434" i="2"/>
  <c r="Z434" i="2"/>
  <c r="AA434" i="2"/>
  <c r="AB434" i="2"/>
  <c r="AC434" i="2"/>
  <c r="AD434" i="2"/>
  <c r="AE434" i="2"/>
  <c r="AF434" i="2"/>
  <c r="AG434" i="2"/>
  <c r="D436" i="2"/>
  <c r="E436" i="2"/>
  <c r="F436" i="2"/>
  <c r="G436" i="2"/>
  <c r="H436" i="2"/>
  <c r="I436" i="2"/>
  <c r="J436" i="2"/>
  <c r="K436" i="2"/>
  <c r="L436" i="2"/>
  <c r="M436" i="2"/>
  <c r="N436" i="2"/>
  <c r="O436" i="2"/>
  <c r="P436" i="2"/>
  <c r="Q436" i="2"/>
  <c r="R436" i="2"/>
  <c r="S436" i="2"/>
  <c r="T436" i="2"/>
  <c r="U436" i="2"/>
  <c r="V436" i="2"/>
  <c r="W436" i="2"/>
  <c r="X436" i="2"/>
  <c r="Y436" i="2"/>
  <c r="Z436" i="2"/>
  <c r="AA436" i="2"/>
  <c r="AB436" i="2"/>
  <c r="AC436" i="2"/>
  <c r="AD436" i="2"/>
  <c r="AE436" i="2"/>
  <c r="AF436" i="2"/>
  <c r="AG436" i="2"/>
  <c r="D437" i="2"/>
  <c r="E437" i="2"/>
  <c r="F437" i="2"/>
  <c r="G437" i="2"/>
  <c r="H437" i="2"/>
  <c r="I437" i="2"/>
  <c r="J437" i="2"/>
  <c r="K437" i="2"/>
  <c r="L437" i="2"/>
  <c r="M437" i="2"/>
  <c r="N437" i="2"/>
  <c r="O437" i="2"/>
  <c r="P437" i="2"/>
  <c r="Q437" i="2"/>
  <c r="R437" i="2"/>
  <c r="S437" i="2"/>
  <c r="T437" i="2"/>
  <c r="U437" i="2"/>
  <c r="V437" i="2"/>
  <c r="W437" i="2"/>
  <c r="X437" i="2"/>
  <c r="Y437" i="2"/>
  <c r="Z437" i="2"/>
  <c r="AA437" i="2"/>
  <c r="AB437" i="2"/>
  <c r="AC437" i="2"/>
  <c r="AD437" i="2"/>
  <c r="AE437" i="2"/>
  <c r="AF437" i="2"/>
  <c r="AG437" i="2"/>
  <c r="D438" i="2"/>
  <c r="E438" i="2"/>
  <c r="F438" i="2"/>
  <c r="G438" i="2"/>
  <c r="H438" i="2"/>
  <c r="I438" i="2"/>
  <c r="J438" i="2"/>
  <c r="K438" i="2"/>
  <c r="L438" i="2"/>
  <c r="M438" i="2"/>
  <c r="N438" i="2"/>
  <c r="O438" i="2"/>
  <c r="P438" i="2"/>
  <c r="Q438" i="2"/>
  <c r="R438" i="2"/>
  <c r="S438" i="2"/>
  <c r="T438" i="2"/>
  <c r="U438" i="2"/>
  <c r="V438" i="2"/>
  <c r="W438" i="2"/>
  <c r="X438" i="2"/>
  <c r="Y438" i="2"/>
  <c r="Z438" i="2"/>
  <c r="AA438" i="2"/>
  <c r="AB438" i="2"/>
  <c r="AC438" i="2"/>
  <c r="AD438" i="2"/>
  <c r="AE438" i="2"/>
  <c r="AF438" i="2"/>
  <c r="AG438" i="2"/>
  <c r="D440" i="2"/>
  <c r="E440" i="2"/>
  <c r="F440" i="2"/>
  <c r="G440" i="2"/>
  <c r="H440" i="2"/>
  <c r="I440" i="2"/>
  <c r="J440" i="2"/>
  <c r="K440" i="2"/>
  <c r="L440" i="2"/>
  <c r="M440" i="2"/>
  <c r="N440" i="2"/>
  <c r="O440" i="2"/>
  <c r="P440" i="2"/>
  <c r="Q440" i="2"/>
  <c r="R440" i="2"/>
  <c r="S440" i="2"/>
  <c r="T440" i="2"/>
  <c r="U440" i="2"/>
  <c r="V440" i="2"/>
  <c r="W440" i="2"/>
  <c r="X440" i="2"/>
  <c r="Y440" i="2"/>
  <c r="Z440" i="2"/>
  <c r="AA440" i="2"/>
  <c r="AB440" i="2"/>
  <c r="AC440" i="2"/>
  <c r="AD440" i="2"/>
  <c r="AE440" i="2"/>
  <c r="AF440" i="2"/>
  <c r="AG440" i="2"/>
  <c r="D441" i="2"/>
  <c r="E441" i="2"/>
  <c r="F441" i="2"/>
  <c r="G441" i="2"/>
  <c r="H441" i="2"/>
  <c r="I441" i="2"/>
  <c r="J441" i="2"/>
  <c r="K441" i="2"/>
  <c r="L441" i="2"/>
  <c r="M441" i="2"/>
  <c r="N441" i="2"/>
  <c r="O441" i="2"/>
  <c r="P441" i="2"/>
  <c r="Q441" i="2"/>
  <c r="R441" i="2"/>
  <c r="S441" i="2"/>
  <c r="T441" i="2"/>
  <c r="U441" i="2"/>
  <c r="V441" i="2"/>
  <c r="W441" i="2"/>
  <c r="X441" i="2"/>
  <c r="Y441" i="2"/>
  <c r="Z441" i="2"/>
  <c r="AA441" i="2"/>
  <c r="AB441" i="2"/>
  <c r="AC441" i="2"/>
  <c r="AD441" i="2"/>
  <c r="AE441" i="2"/>
  <c r="AF441" i="2"/>
  <c r="AG441" i="2"/>
  <c r="D442" i="2"/>
  <c r="E442" i="2"/>
  <c r="F442" i="2"/>
  <c r="G442" i="2"/>
  <c r="H442" i="2"/>
  <c r="I442" i="2"/>
  <c r="J442" i="2"/>
  <c r="K442" i="2"/>
  <c r="L442" i="2"/>
  <c r="M442" i="2"/>
  <c r="N442" i="2"/>
  <c r="O442" i="2"/>
  <c r="P442" i="2"/>
  <c r="Q442" i="2"/>
  <c r="R442" i="2"/>
  <c r="S442" i="2"/>
  <c r="T442" i="2"/>
  <c r="U442" i="2"/>
  <c r="V442" i="2"/>
  <c r="W442" i="2"/>
  <c r="X442" i="2"/>
  <c r="Y442" i="2"/>
  <c r="Z442" i="2"/>
  <c r="AA442" i="2"/>
  <c r="AB442" i="2"/>
  <c r="AC442" i="2"/>
  <c r="AD442" i="2"/>
  <c r="AE442" i="2"/>
  <c r="AF442" i="2"/>
  <c r="AG442" i="2"/>
  <c r="D444" i="2"/>
  <c r="E444" i="2"/>
  <c r="F444" i="2"/>
  <c r="G444" i="2"/>
  <c r="H444" i="2"/>
  <c r="I444" i="2"/>
  <c r="J444" i="2"/>
  <c r="K444" i="2"/>
  <c r="L444" i="2"/>
  <c r="M444" i="2"/>
  <c r="N444" i="2"/>
  <c r="O444" i="2"/>
  <c r="P444" i="2"/>
  <c r="Q444" i="2"/>
  <c r="R444" i="2"/>
  <c r="S444" i="2"/>
  <c r="T444" i="2"/>
  <c r="U444" i="2"/>
  <c r="V444" i="2"/>
  <c r="W444" i="2"/>
  <c r="X444" i="2"/>
  <c r="Y444" i="2"/>
  <c r="Z444" i="2"/>
  <c r="AA444" i="2"/>
  <c r="AB444" i="2"/>
  <c r="AC444" i="2"/>
  <c r="AD444" i="2"/>
  <c r="AE444" i="2"/>
  <c r="AF444" i="2"/>
  <c r="AG444" i="2"/>
  <c r="D445" i="2"/>
  <c r="E445" i="2"/>
  <c r="F445" i="2"/>
  <c r="G445" i="2"/>
  <c r="H445" i="2"/>
  <c r="I445" i="2"/>
  <c r="J445" i="2"/>
  <c r="K445" i="2"/>
  <c r="L445" i="2"/>
  <c r="M445" i="2"/>
  <c r="N445" i="2"/>
  <c r="O445" i="2"/>
  <c r="P445" i="2"/>
  <c r="Q445" i="2"/>
  <c r="R445" i="2"/>
  <c r="S445" i="2"/>
  <c r="T445" i="2"/>
  <c r="U445" i="2"/>
  <c r="V445" i="2"/>
  <c r="W445" i="2"/>
  <c r="X445" i="2"/>
  <c r="Y445" i="2"/>
  <c r="Z445" i="2"/>
  <c r="AA445" i="2"/>
  <c r="AB445" i="2"/>
  <c r="AC445" i="2"/>
  <c r="AD445" i="2"/>
  <c r="AE445" i="2"/>
  <c r="AF445" i="2"/>
  <c r="AG445" i="2"/>
  <c r="D446" i="2"/>
  <c r="E446" i="2"/>
  <c r="F446" i="2"/>
  <c r="G446" i="2"/>
  <c r="H446" i="2"/>
  <c r="I446" i="2"/>
  <c r="J446" i="2"/>
  <c r="K446" i="2"/>
  <c r="L446" i="2"/>
  <c r="M446" i="2"/>
  <c r="N446" i="2"/>
  <c r="O446" i="2"/>
  <c r="P446" i="2"/>
  <c r="Q446" i="2"/>
  <c r="R446" i="2"/>
  <c r="S446" i="2"/>
  <c r="T446" i="2"/>
  <c r="U446" i="2"/>
  <c r="V446" i="2"/>
  <c r="W446" i="2"/>
  <c r="X446" i="2"/>
  <c r="Y446" i="2"/>
  <c r="Z446" i="2"/>
  <c r="AA446" i="2"/>
  <c r="AB446" i="2"/>
  <c r="AC446" i="2"/>
  <c r="AD446" i="2"/>
  <c r="AE446" i="2"/>
  <c r="AF446" i="2"/>
  <c r="AG446" i="2"/>
  <c r="D448" i="2"/>
  <c r="E448" i="2"/>
  <c r="F448" i="2"/>
  <c r="G448" i="2"/>
  <c r="H448" i="2"/>
  <c r="I448" i="2"/>
  <c r="J448" i="2"/>
  <c r="K448" i="2"/>
  <c r="L448" i="2"/>
  <c r="M448" i="2"/>
  <c r="N448" i="2"/>
  <c r="O448" i="2"/>
  <c r="P448" i="2"/>
  <c r="Q448" i="2"/>
  <c r="R448" i="2"/>
  <c r="S448" i="2"/>
  <c r="T448" i="2"/>
  <c r="U448" i="2"/>
  <c r="V448" i="2"/>
  <c r="W448" i="2"/>
  <c r="X448" i="2"/>
  <c r="Y448" i="2"/>
  <c r="Z448" i="2"/>
  <c r="AA448" i="2"/>
  <c r="AB448" i="2"/>
  <c r="AC448" i="2"/>
  <c r="AD448" i="2"/>
  <c r="AE448" i="2"/>
  <c r="AF448" i="2"/>
  <c r="AG448" i="2"/>
  <c r="D449" i="2"/>
  <c r="E449" i="2"/>
  <c r="F449" i="2"/>
  <c r="G449" i="2"/>
  <c r="H449" i="2"/>
  <c r="I449" i="2"/>
  <c r="J449" i="2"/>
  <c r="K449" i="2"/>
  <c r="L449" i="2"/>
  <c r="M449" i="2"/>
  <c r="N449" i="2"/>
  <c r="O449" i="2"/>
  <c r="P449" i="2"/>
  <c r="Q449" i="2"/>
  <c r="R449" i="2"/>
  <c r="S449" i="2"/>
  <c r="T449" i="2"/>
  <c r="U449" i="2"/>
  <c r="V449" i="2"/>
  <c r="W449" i="2"/>
  <c r="X449" i="2"/>
  <c r="Y449" i="2"/>
  <c r="Z449" i="2"/>
  <c r="AA449" i="2"/>
  <c r="AB449" i="2"/>
  <c r="AC449" i="2"/>
  <c r="AD449" i="2"/>
  <c r="AE449" i="2"/>
  <c r="AF449" i="2"/>
  <c r="AG449" i="2"/>
  <c r="D450" i="2"/>
  <c r="E450" i="2"/>
  <c r="F450" i="2"/>
  <c r="G450" i="2"/>
  <c r="H450" i="2"/>
  <c r="I450" i="2"/>
  <c r="J450" i="2"/>
  <c r="K450" i="2"/>
  <c r="L450" i="2"/>
  <c r="M450" i="2"/>
  <c r="N450" i="2"/>
  <c r="O450" i="2"/>
  <c r="P450" i="2"/>
  <c r="Q450" i="2"/>
  <c r="R450" i="2"/>
  <c r="S450" i="2"/>
  <c r="T450" i="2"/>
  <c r="U450" i="2"/>
  <c r="V450" i="2"/>
  <c r="W450" i="2"/>
  <c r="X450" i="2"/>
  <c r="Y450" i="2"/>
  <c r="Z450" i="2"/>
  <c r="AA450" i="2"/>
  <c r="AB450" i="2"/>
  <c r="AC450" i="2"/>
  <c r="AD450" i="2"/>
  <c r="AE450" i="2"/>
  <c r="AF450" i="2"/>
  <c r="AG450" i="2"/>
  <c r="D452" i="2"/>
  <c r="E452" i="2"/>
  <c r="F452" i="2"/>
  <c r="G452" i="2"/>
  <c r="H452" i="2"/>
  <c r="I452" i="2"/>
  <c r="J452" i="2"/>
  <c r="K452" i="2"/>
  <c r="L452" i="2"/>
  <c r="M452" i="2"/>
  <c r="N452" i="2"/>
  <c r="O452" i="2"/>
  <c r="P452" i="2"/>
  <c r="Q452" i="2"/>
  <c r="R452" i="2"/>
  <c r="S452" i="2"/>
  <c r="T452" i="2"/>
  <c r="U452" i="2"/>
  <c r="V452" i="2"/>
  <c r="W452" i="2"/>
  <c r="X452" i="2"/>
  <c r="Y452" i="2"/>
  <c r="Z452" i="2"/>
  <c r="AA452" i="2"/>
  <c r="AB452" i="2"/>
  <c r="AC452" i="2"/>
  <c r="AD452" i="2"/>
  <c r="AE452" i="2"/>
  <c r="AF452" i="2"/>
  <c r="AG452" i="2"/>
  <c r="D453" i="2"/>
  <c r="E453" i="2"/>
  <c r="F453" i="2"/>
  <c r="G453" i="2"/>
  <c r="H453" i="2"/>
  <c r="I453" i="2"/>
  <c r="J453" i="2"/>
  <c r="K453" i="2"/>
  <c r="L453" i="2"/>
  <c r="M453" i="2"/>
  <c r="N453" i="2"/>
  <c r="O453" i="2"/>
  <c r="P453" i="2"/>
  <c r="Q453" i="2"/>
  <c r="R453" i="2"/>
  <c r="S453" i="2"/>
  <c r="T453" i="2"/>
  <c r="U453" i="2"/>
  <c r="V453" i="2"/>
  <c r="W453" i="2"/>
  <c r="X453" i="2"/>
  <c r="Y453" i="2"/>
  <c r="Z453" i="2"/>
  <c r="AA453" i="2"/>
  <c r="AB453" i="2"/>
  <c r="AC453" i="2"/>
  <c r="AD453" i="2"/>
  <c r="AE453" i="2"/>
  <c r="AF453" i="2"/>
  <c r="AG453" i="2"/>
  <c r="D454" i="2"/>
  <c r="E454" i="2"/>
  <c r="F454" i="2"/>
  <c r="G454" i="2"/>
  <c r="H454" i="2"/>
  <c r="I454" i="2"/>
  <c r="J454" i="2"/>
  <c r="K454" i="2"/>
  <c r="L454" i="2"/>
  <c r="M454" i="2"/>
  <c r="N454" i="2"/>
  <c r="O454" i="2"/>
  <c r="P454" i="2"/>
  <c r="Q454" i="2"/>
  <c r="R454" i="2"/>
  <c r="S454" i="2"/>
  <c r="T454" i="2"/>
  <c r="U454" i="2"/>
  <c r="V454" i="2"/>
  <c r="W454" i="2"/>
  <c r="X454" i="2"/>
  <c r="Y454" i="2"/>
  <c r="Z454" i="2"/>
  <c r="AA454" i="2"/>
  <c r="AB454" i="2"/>
  <c r="AC454" i="2"/>
  <c r="AD454" i="2"/>
  <c r="AE454" i="2"/>
  <c r="AF454" i="2"/>
  <c r="AG454" i="2"/>
  <c r="C454" i="2"/>
  <c r="C453" i="2"/>
  <c r="C452" i="2"/>
  <c r="C450" i="2"/>
  <c r="C449" i="2"/>
  <c r="C448" i="2"/>
  <c r="C446" i="2"/>
  <c r="C445" i="2"/>
  <c r="C444" i="2"/>
  <c r="C442" i="2"/>
  <c r="C441" i="2"/>
  <c r="C440" i="2"/>
  <c r="C438" i="2"/>
  <c r="C437" i="2"/>
  <c r="C436" i="2"/>
  <c r="C434" i="2"/>
  <c r="C433" i="2"/>
  <c r="C432" i="2"/>
  <c r="C430" i="2"/>
  <c r="C429" i="2"/>
  <c r="C428" i="2"/>
  <c r="C426" i="2"/>
  <c r="C425" i="2"/>
  <c r="C424" i="2"/>
  <c r="C422" i="2"/>
  <c r="C421" i="2"/>
  <c r="C420" i="2"/>
  <c r="C418" i="2"/>
  <c r="C417" i="2"/>
  <c r="C416" i="2"/>
  <c r="C409" i="2"/>
  <c r="C408" i="2"/>
  <c r="C407" i="2"/>
  <c r="C398" i="2"/>
  <c r="C397" i="2"/>
  <c r="C396" i="2"/>
  <c r="C395" i="2"/>
  <c r="C394" i="2"/>
  <c r="C393" i="2"/>
  <c r="C392" i="2"/>
  <c r="C391" i="2"/>
  <c r="C390" i="2"/>
  <c r="C389" i="2"/>
  <c r="C366" i="2"/>
  <c r="C365" i="2"/>
  <c r="C364" i="2"/>
  <c r="C363" i="2"/>
  <c r="C362" i="2"/>
  <c r="C361" i="2"/>
  <c r="C360" i="2"/>
  <c r="C359" i="2"/>
  <c r="C358" i="2"/>
  <c r="C357" i="2"/>
  <c r="C332" i="2"/>
  <c r="C331" i="2"/>
  <c r="C330" i="2"/>
  <c r="C329" i="2"/>
  <c r="C328" i="2"/>
  <c r="C327" i="2"/>
  <c r="C323" i="2"/>
  <c r="C322" i="2"/>
  <c r="C321" i="2"/>
  <c r="C320" i="2"/>
  <c r="C319" i="2"/>
  <c r="C318" i="2"/>
  <c r="C317" i="2"/>
  <c r="C316" i="2"/>
  <c r="C315" i="2"/>
  <c r="C314" i="2"/>
  <c r="D138" i="2"/>
  <c r="E138" i="2"/>
  <c r="F138" i="2"/>
  <c r="G138" i="2"/>
  <c r="H138" i="2"/>
  <c r="I138" i="2"/>
  <c r="J138" i="2"/>
  <c r="K138" i="2"/>
  <c r="L138" i="2"/>
  <c r="M138" i="2"/>
  <c r="N138" i="2"/>
  <c r="O138" i="2"/>
  <c r="P138" i="2"/>
  <c r="Q138" i="2"/>
  <c r="R138" i="2"/>
  <c r="S138" i="2"/>
  <c r="T138" i="2"/>
  <c r="U138" i="2"/>
  <c r="V138" i="2"/>
  <c r="W138" i="2"/>
  <c r="X138" i="2"/>
  <c r="Y138" i="2"/>
  <c r="Z138" i="2"/>
  <c r="AA138" i="2"/>
  <c r="AB138" i="2"/>
  <c r="AC138" i="2"/>
  <c r="AD138" i="2"/>
  <c r="AE138" i="2"/>
  <c r="AF138" i="2"/>
  <c r="D139" i="2"/>
  <c r="E139" i="2"/>
  <c r="F139" i="2"/>
  <c r="G139" i="2"/>
  <c r="H139" i="2"/>
  <c r="I139" i="2"/>
  <c r="J139" i="2"/>
  <c r="K139" i="2"/>
  <c r="L139" i="2"/>
  <c r="M139" i="2"/>
  <c r="N139" i="2"/>
  <c r="O139" i="2"/>
  <c r="P139" i="2"/>
  <c r="Q139" i="2"/>
  <c r="R139" i="2"/>
  <c r="S139" i="2"/>
  <c r="T139" i="2"/>
  <c r="U139" i="2"/>
  <c r="V139" i="2"/>
  <c r="W139" i="2"/>
  <c r="X139" i="2"/>
  <c r="Y139" i="2"/>
  <c r="Z139" i="2"/>
  <c r="AA139" i="2"/>
  <c r="AB139" i="2"/>
  <c r="AC139" i="2"/>
  <c r="AD139" i="2"/>
  <c r="AE139" i="2"/>
  <c r="AF139" i="2"/>
  <c r="D140" i="2"/>
  <c r="E140" i="2"/>
  <c r="F140" i="2"/>
  <c r="G140" i="2"/>
  <c r="H140" i="2"/>
  <c r="I140" i="2"/>
  <c r="J140" i="2"/>
  <c r="K140" i="2"/>
  <c r="L140" i="2"/>
  <c r="M140" i="2"/>
  <c r="N140" i="2"/>
  <c r="O140" i="2"/>
  <c r="P140" i="2"/>
  <c r="Q140" i="2"/>
  <c r="R140" i="2"/>
  <c r="S140" i="2"/>
  <c r="T140" i="2"/>
  <c r="U140" i="2"/>
  <c r="V140" i="2"/>
  <c r="W140" i="2"/>
  <c r="X140" i="2"/>
  <c r="Y140" i="2"/>
  <c r="Z140" i="2"/>
  <c r="AA140" i="2"/>
  <c r="AB140" i="2"/>
  <c r="AC140" i="2"/>
  <c r="AD140" i="2"/>
  <c r="AE140" i="2"/>
  <c r="AF140" i="2"/>
  <c r="D141" i="2"/>
  <c r="E141" i="2"/>
  <c r="F141" i="2"/>
  <c r="G141" i="2"/>
  <c r="H141" i="2"/>
  <c r="I141" i="2"/>
  <c r="J141" i="2"/>
  <c r="K141" i="2"/>
  <c r="L141" i="2"/>
  <c r="M141" i="2"/>
  <c r="N141" i="2"/>
  <c r="O141" i="2"/>
  <c r="P141" i="2"/>
  <c r="Q141" i="2"/>
  <c r="R141" i="2"/>
  <c r="S141" i="2"/>
  <c r="T141" i="2"/>
  <c r="U141" i="2"/>
  <c r="V141" i="2"/>
  <c r="W141" i="2"/>
  <c r="X141" i="2"/>
  <c r="Y141" i="2"/>
  <c r="Z141" i="2"/>
  <c r="AA141" i="2"/>
  <c r="AB141" i="2"/>
  <c r="AC141" i="2"/>
  <c r="AD141" i="2"/>
  <c r="AE141" i="2"/>
  <c r="AF141" i="2"/>
  <c r="D142" i="2"/>
  <c r="E142" i="2"/>
  <c r="F142" i="2"/>
  <c r="G142" i="2"/>
  <c r="H142" i="2"/>
  <c r="I142" i="2"/>
  <c r="J142" i="2"/>
  <c r="K142" i="2"/>
  <c r="L142" i="2"/>
  <c r="M142" i="2"/>
  <c r="N142" i="2"/>
  <c r="O142" i="2"/>
  <c r="P142" i="2"/>
  <c r="Q142" i="2"/>
  <c r="R142" i="2"/>
  <c r="S142" i="2"/>
  <c r="T142" i="2"/>
  <c r="U142" i="2"/>
  <c r="V142" i="2"/>
  <c r="W142" i="2"/>
  <c r="X142" i="2"/>
  <c r="Y142" i="2"/>
  <c r="Z142" i="2"/>
  <c r="AA142" i="2"/>
  <c r="AB142" i="2"/>
  <c r="AC142" i="2"/>
  <c r="AD142" i="2"/>
  <c r="AE142" i="2"/>
  <c r="AF142" i="2"/>
  <c r="D143" i="2"/>
  <c r="E143" i="2"/>
  <c r="F143" i="2"/>
  <c r="G143" i="2"/>
  <c r="H143" i="2"/>
  <c r="I143" i="2"/>
  <c r="J143" i="2"/>
  <c r="K143" i="2"/>
  <c r="L143" i="2"/>
  <c r="M143" i="2"/>
  <c r="N143" i="2"/>
  <c r="O143" i="2"/>
  <c r="P143" i="2"/>
  <c r="Q143" i="2"/>
  <c r="R143" i="2"/>
  <c r="S143" i="2"/>
  <c r="T143" i="2"/>
  <c r="U143" i="2"/>
  <c r="V143" i="2"/>
  <c r="W143" i="2"/>
  <c r="X143" i="2"/>
  <c r="Y143" i="2"/>
  <c r="Z143" i="2"/>
  <c r="AA143" i="2"/>
  <c r="AB143" i="2"/>
  <c r="AC143" i="2"/>
  <c r="AD143" i="2"/>
  <c r="AE143" i="2"/>
  <c r="AF143" i="2"/>
  <c r="D144" i="2"/>
  <c r="E144" i="2"/>
  <c r="F144" i="2"/>
  <c r="G144" i="2"/>
  <c r="H144" i="2"/>
  <c r="I144" i="2"/>
  <c r="J144" i="2"/>
  <c r="K144" i="2"/>
  <c r="L144" i="2"/>
  <c r="M144" i="2"/>
  <c r="N144" i="2"/>
  <c r="O144" i="2"/>
  <c r="P144" i="2"/>
  <c r="Q144" i="2"/>
  <c r="R144" i="2"/>
  <c r="S144" i="2"/>
  <c r="T144" i="2"/>
  <c r="U144" i="2"/>
  <c r="V144" i="2"/>
  <c r="W144" i="2"/>
  <c r="X144" i="2"/>
  <c r="Y144" i="2"/>
  <c r="Z144" i="2"/>
  <c r="AA144" i="2"/>
  <c r="AB144" i="2"/>
  <c r="AC144" i="2"/>
  <c r="AD144" i="2"/>
  <c r="AE144" i="2"/>
  <c r="AF144" i="2"/>
  <c r="D148" i="2"/>
  <c r="E148" i="2"/>
  <c r="F148" i="2"/>
  <c r="G148" i="2"/>
  <c r="H148" i="2"/>
  <c r="I148" i="2"/>
  <c r="J148" i="2"/>
  <c r="K148" i="2"/>
  <c r="L148" i="2"/>
  <c r="M148" i="2"/>
  <c r="N148" i="2"/>
  <c r="O148" i="2"/>
  <c r="P148" i="2"/>
  <c r="Q148" i="2"/>
  <c r="R148" i="2"/>
  <c r="S148" i="2"/>
  <c r="T148" i="2"/>
  <c r="U148" i="2"/>
  <c r="V148" i="2"/>
  <c r="W148" i="2"/>
  <c r="X148" i="2"/>
  <c r="Y148" i="2"/>
  <c r="Z148" i="2"/>
  <c r="AA148" i="2"/>
  <c r="AB148" i="2"/>
  <c r="AC148" i="2"/>
  <c r="AD148" i="2"/>
  <c r="AE148" i="2"/>
  <c r="AF148" i="2"/>
  <c r="D149" i="2"/>
  <c r="E149" i="2"/>
  <c r="F149" i="2"/>
  <c r="G149" i="2"/>
  <c r="H149" i="2"/>
  <c r="I149" i="2"/>
  <c r="J149" i="2"/>
  <c r="K149" i="2"/>
  <c r="L149" i="2"/>
  <c r="M149" i="2"/>
  <c r="N149" i="2"/>
  <c r="O149" i="2"/>
  <c r="P149" i="2"/>
  <c r="Q149" i="2"/>
  <c r="R149" i="2"/>
  <c r="S149" i="2"/>
  <c r="T149" i="2"/>
  <c r="U149" i="2"/>
  <c r="V149" i="2"/>
  <c r="W149" i="2"/>
  <c r="X149" i="2"/>
  <c r="Y149" i="2"/>
  <c r="Z149" i="2"/>
  <c r="AA149" i="2"/>
  <c r="AB149" i="2"/>
  <c r="AC149" i="2"/>
  <c r="AD149" i="2"/>
  <c r="AE149" i="2"/>
  <c r="AF149" i="2"/>
  <c r="D150" i="2"/>
  <c r="E150" i="2"/>
  <c r="F150" i="2"/>
  <c r="G150" i="2"/>
  <c r="H150" i="2"/>
  <c r="I150" i="2"/>
  <c r="J150" i="2"/>
  <c r="K150" i="2"/>
  <c r="L150" i="2"/>
  <c r="M150" i="2"/>
  <c r="N150" i="2"/>
  <c r="O150" i="2"/>
  <c r="P150" i="2"/>
  <c r="Q150" i="2"/>
  <c r="R150" i="2"/>
  <c r="S150" i="2"/>
  <c r="T150" i="2"/>
  <c r="U150" i="2"/>
  <c r="V150" i="2"/>
  <c r="W150" i="2"/>
  <c r="X150" i="2"/>
  <c r="Y150" i="2"/>
  <c r="Z150" i="2"/>
  <c r="AA150" i="2"/>
  <c r="AB150" i="2"/>
  <c r="AC150" i="2"/>
  <c r="AD150" i="2"/>
  <c r="AE150" i="2"/>
  <c r="AF150" i="2"/>
  <c r="D151" i="2"/>
  <c r="E151" i="2"/>
  <c r="F151" i="2"/>
  <c r="G151" i="2"/>
  <c r="H151" i="2"/>
  <c r="I151" i="2"/>
  <c r="J151" i="2"/>
  <c r="K151" i="2"/>
  <c r="L151" i="2"/>
  <c r="M151" i="2"/>
  <c r="N151" i="2"/>
  <c r="O151" i="2"/>
  <c r="P151" i="2"/>
  <c r="Q151" i="2"/>
  <c r="R151" i="2"/>
  <c r="S151" i="2"/>
  <c r="T151" i="2"/>
  <c r="U151" i="2"/>
  <c r="V151" i="2"/>
  <c r="W151" i="2"/>
  <c r="X151" i="2"/>
  <c r="Y151" i="2"/>
  <c r="Z151" i="2"/>
  <c r="AA151" i="2"/>
  <c r="AB151" i="2"/>
  <c r="AC151" i="2"/>
  <c r="AD151" i="2"/>
  <c r="AE151" i="2"/>
  <c r="AF151" i="2"/>
  <c r="D152" i="2"/>
  <c r="E152" i="2"/>
  <c r="F152" i="2"/>
  <c r="G152" i="2"/>
  <c r="H152" i="2"/>
  <c r="I152" i="2"/>
  <c r="J152" i="2"/>
  <c r="K152" i="2"/>
  <c r="L152" i="2"/>
  <c r="M152" i="2"/>
  <c r="N152" i="2"/>
  <c r="O152" i="2"/>
  <c r="P152" i="2"/>
  <c r="Q152" i="2"/>
  <c r="R152" i="2"/>
  <c r="S152" i="2"/>
  <c r="T152" i="2"/>
  <c r="U152" i="2"/>
  <c r="V152" i="2"/>
  <c r="W152" i="2"/>
  <c r="X152" i="2"/>
  <c r="Y152" i="2"/>
  <c r="Z152" i="2"/>
  <c r="AA152" i="2"/>
  <c r="AB152" i="2"/>
  <c r="AC152" i="2"/>
  <c r="AD152" i="2"/>
  <c r="AE152" i="2"/>
  <c r="AF152" i="2"/>
  <c r="D153" i="2"/>
  <c r="E153" i="2"/>
  <c r="F153" i="2"/>
  <c r="G153" i="2"/>
  <c r="H153" i="2"/>
  <c r="I153" i="2"/>
  <c r="J153" i="2"/>
  <c r="K153" i="2"/>
  <c r="L153" i="2"/>
  <c r="M153" i="2"/>
  <c r="N153" i="2"/>
  <c r="O153" i="2"/>
  <c r="P153" i="2"/>
  <c r="Q153" i="2"/>
  <c r="R153" i="2"/>
  <c r="S153" i="2"/>
  <c r="T153" i="2"/>
  <c r="U153" i="2"/>
  <c r="V153" i="2"/>
  <c r="W153" i="2"/>
  <c r="X153" i="2"/>
  <c r="Y153" i="2"/>
  <c r="Z153" i="2"/>
  <c r="AA153" i="2"/>
  <c r="AB153" i="2"/>
  <c r="AC153" i="2"/>
  <c r="AD153" i="2"/>
  <c r="AE153" i="2"/>
  <c r="AF153" i="2"/>
  <c r="D154" i="2"/>
  <c r="E154" i="2"/>
  <c r="F154" i="2"/>
  <c r="G154" i="2"/>
  <c r="H154" i="2"/>
  <c r="I154" i="2"/>
  <c r="J154" i="2"/>
  <c r="K154" i="2"/>
  <c r="L154" i="2"/>
  <c r="M154" i="2"/>
  <c r="N154" i="2"/>
  <c r="O154" i="2"/>
  <c r="P154" i="2"/>
  <c r="Q154" i="2"/>
  <c r="R154" i="2"/>
  <c r="S154" i="2"/>
  <c r="T154" i="2"/>
  <c r="U154" i="2"/>
  <c r="V154" i="2"/>
  <c r="W154" i="2"/>
  <c r="X154" i="2"/>
  <c r="Y154" i="2"/>
  <c r="Z154" i="2"/>
  <c r="AA154" i="2"/>
  <c r="AB154" i="2"/>
  <c r="AC154" i="2"/>
  <c r="AD154" i="2"/>
  <c r="AE154" i="2"/>
  <c r="AF154" i="2"/>
  <c r="D168" i="2"/>
  <c r="E168" i="2"/>
  <c r="F168" i="2"/>
  <c r="G168" i="2"/>
  <c r="H168" i="2"/>
  <c r="I168" i="2"/>
  <c r="J168" i="2"/>
  <c r="K168" i="2"/>
  <c r="L168" i="2"/>
  <c r="M168" i="2"/>
  <c r="N168" i="2"/>
  <c r="O168" i="2"/>
  <c r="P168" i="2"/>
  <c r="Q168" i="2"/>
  <c r="R168" i="2"/>
  <c r="S168" i="2"/>
  <c r="T168" i="2"/>
  <c r="U168" i="2"/>
  <c r="V168" i="2"/>
  <c r="W168" i="2"/>
  <c r="X168" i="2"/>
  <c r="Y168" i="2"/>
  <c r="Z168" i="2"/>
  <c r="AA168" i="2"/>
  <c r="AB168" i="2"/>
  <c r="AC168" i="2"/>
  <c r="AD168" i="2"/>
  <c r="AE168" i="2"/>
  <c r="AF168" i="2"/>
  <c r="D169" i="2"/>
  <c r="E169" i="2"/>
  <c r="F169" i="2"/>
  <c r="G169" i="2"/>
  <c r="H169" i="2"/>
  <c r="I169" i="2"/>
  <c r="J169" i="2"/>
  <c r="K169" i="2"/>
  <c r="L169" i="2"/>
  <c r="M169" i="2"/>
  <c r="N169" i="2"/>
  <c r="O169" i="2"/>
  <c r="P169" i="2"/>
  <c r="Q169" i="2"/>
  <c r="R169" i="2"/>
  <c r="S169" i="2"/>
  <c r="T169" i="2"/>
  <c r="U169" i="2"/>
  <c r="V169" i="2"/>
  <c r="W169" i="2"/>
  <c r="X169" i="2"/>
  <c r="Y169" i="2"/>
  <c r="Z169" i="2"/>
  <c r="AA169" i="2"/>
  <c r="AB169" i="2"/>
  <c r="AC169" i="2"/>
  <c r="AD169" i="2"/>
  <c r="AE169" i="2"/>
  <c r="AF169" i="2"/>
  <c r="D170" i="2"/>
  <c r="E170" i="2"/>
  <c r="F170" i="2"/>
  <c r="G170" i="2"/>
  <c r="H170" i="2"/>
  <c r="I170" i="2"/>
  <c r="J170" i="2"/>
  <c r="K170" i="2"/>
  <c r="L170" i="2"/>
  <c r="M170" i="2"/>
  <c r="N170" i="2"/>
  <c r="O170" i="2"/>
  <c r="P170" i="2"/>
  <c r="Q170" i="2"/>
  <c r="R170" i="2"/>
  <c r="S170" i="2"/>
  <c r="T170" i="2"/>
  <c r="U170" i="2"/>
  <c r="V170" i="2"/>
  <c r="W170" i="2"/>
  <c r="X170" i="2"/>
  <c r="Y170" i="2"/>
  <c r="Z170" i="2"/>
  <c r="AA170" i="2"/>
  <c r="AB170" i="2"/>
  <c r="AC170" i="2"/>
  <c r="AD170" i="2"/>
  <c r="AE170" i="2"/>
  <c r="AF170" i="2"/>
  <c r="D171" i="2"/>
  <c r="E171" i="2"/>
  <c r="F171" i="2"/>
  <c r="G171" i="2"/>
  <c r="H171" i="2"/>
  <c r="I171" i="2"/>
  <c r="J171" i="2"/>
  <c r="K171" i="2"/>
  <c r="L171" i="2"/>
  <c r="M171" i="2"/>
  <c r="N171" i="2"/>
  <c r="O171" i="2"/>
  <c r="P171" i="2"/>
  <c r="Q171" i="2"/>
  <c r="R171" i="2"/>
  <c r="S171" i="2"/>
  <c r="T171" i="2"/>
  <c r="U171" i="2"/>
  <c r="V171" i="2"/>
  <c r="W171" i="2"/>
  <c r="X171" i="2"/>
  <c r="Y171" i="2"/>
  <c r="Z171" i="2"/>
  <c r="AA171" i="2"/>
  <c r="AB171" i="2"/>
  <c r="AC171" i="2"/>
  <c r="AD171" i="2"/>
  <c r="AE171" i="2"/>
  <c r="AF171" i="2"/>
  <c r="D172" i="2"/>
  <c r="E172" i="2"/>
  <c r="F172" i="2"/>
  <c r="G172" i="2"/>
  <c r="H172" i="2"/>
  <c r="I172" i="2"/>
  <c r="J172" i="2"/>
  <c r="K172" i="2"/>
  <c r="L172" i="2"/>
  <c r="M172" i="2"/>
  <c r="N172" i="2"/>
  <c r="O172" i="2"/>
  <c r="P172" i="2"/>
  <c r="Q172" i="2"/>
  <c r="R172" i="2"/>
  <c r="S172" i="2"/>
  <c r="T172" i="2"/>
  <c r="U172" i="2"/>
  <c r="V172" i="2"/>
  <c r="W172" i="2"/>
  <c r="X172" i="2"/>
  <c r="Y172" i="2"/>
  <c r="Z172" i="2"/>
  <c r="AA172" i="2"/>
  <c r="AB172" i="2"/>
  <c r="AC172" i="2"/>
  <c r="AD172" i="2"/>
  <c r="AE172" i="2"/>
  <c r="AF172" i="2"/>
  <c r="D173" i="2"/>
  <c r="E173" i="2"/>
  <c r="F173" i="2"/>
  <c r="G173" i="2"/>
  <c r="H173" i="2"/>
  <c r="I173" i="2"/>
  <c r="J173" i="2"/>
  <c r="K173" i="2"/>
  <c r="L173" i="2"/>
  <c r="M173" i="2"/>
  <c r="N173" i="2"/>
  <c r="O173" i="2"/>
  <c r="P173" i="2"/>
  <c r="Q173" i="2"/>
  <c r="R173" i="2"/>
  <c r="S173" i="2"/>
  <c r="T173" i="2"/>
  <c r="U173" i="2"/>
  <c r="V173" i="2"/>
  <c r="W173" i="2"/>
  <c r="X173" i="2"/>
  <c r="Y173" i="2"/>
  <c r="Z173" i="2"/>
  <c r="AA173" i="2"/>
  <c r="AB173" i="2"/>
  <c r="AC173" i="2"/>
  <c r="AD173" i="2"/>
  <c r="AE173" i="2"/>
  <c r="AF173" i="2"/>
  <c r="D174" i="2"/>
  <c r="E174" i="2"/>
  <c r="F174" i="2"/>
  <c r="G174" i="2"/>
  <c r="H174" i="2"/>
  <c r="I174" i="2"/>
  <c r="J174" i="2"/>
  <c r="K174" i="2"/>
  <c r="L174" i="2"/>
  <c r="M174" i="2"/>
  <c r="N174" i="2"/>
  <c r="O174" i="2"/>
  <c r="P174" i="2"/>
  <c r="Q174" i="2"/>
  <c r="R174" i="2"/>
  <c r="S174" i="2"/>
  <c r="T174" i="2"/>
  <c r="U174" i="2"/>
  <c r="V174" i="2"/>
  <c r="W174" i="2"/>
  <c r="X174" i="2"/>
  <c r="Y174" i="2"/>
  <c r="Z174" i="2"/>
  <c r="AA174" i="2"/>
  <c r="AB174" i="2"/>
  <c r="AC174" i="2"/>
  <c r="AD174" i="2"/>
  <c r="AE174" i="2"/>
  <c r="AF174" i="2"/>
  <c r="D178" i="2"/>
  <c r="E178" i="2"/>
  <c r="F178" i="2"/>
  <c r="G178" i="2"/>
  <c r="H178" i="2"/>
  <c r="I178" i="2"/>
  <c r="J178" i="2"/>
  <c r="K178" i="2"/>
  <c r="L178" i="2"/>
  <c r="M178" i="2"/>
  <c r="N178" i="2"/>
  <c r="O178" i="2"/>
  <c r="P178" i="2"/>
  <c r="Q178" i="2"/>
  <c r="R178" i="2"/>
  <c r="S178" i="2"/>
  <c r="T178" i="2"/>
  <c r="U178" i="2"/>
  <c r="V178" i="2"/>
  <c r="W178" i="2"/>
  <c r="X178" i="2"/>
  <c r="Y178" i="2"/>
  <c r="Z178" i="2"/>
  <c r="AA178" i="2"/>
  <c r="AB178" i="2"/>
  <c r="AC178" i="2"/>
  <c r="AD178" i="2"/>
  <c r="AE178" i="2"/>
  <c r="AF178" i="2"/>
  <c r="D179" i="2"/>
  <c r="E179" i="2"/>
  <c r="F179" i="2"/>
  <c r="G179" i="2"/>
  <c r="H179" i="2"/>
  <c r="I179" i="2"/>
  <c r="J179" i="2"/>
  <c r="K179" i="2"/>
  <c r="L179" i="2"/>
  <c r="M179" i="2"/>
  <c r="N179" i="2"/>
  <c r="O179" i="2"/>
  <c r="P179" i="2"/>
  <c r="Q179" i="2"/>
  <c r="R179" i="2"/>
  <c r="S179" i="2"/>
  <c r="T179" i="2"/>
  <c r="U179" i="2"/>
  <c r="V179" i="2"/>
  <c r="W179" i="2"/>
  <c r="X179" i="2"/>
  <c r="Y179" i="2"/>
  <c r="Z179" i="2"/>
  <c r="AA179" i="2"/>
  <c r="AB179" i="2"/>
  <c r="AC179" i="2"/>
  <c r="AD179" i="2"/>
  <c r="AE179" i="2"/>
  <c r="AF179" i="2"/>
  <c r="D180" i="2"/>
  <c r="E180" i="2"/>
  <c r="F180" i="2"/>
  <c r="G180" i="2"/>
  <c r="H180" i="2"/>
  <c r="I180" i="2"/>
  <c r="J180" i="2"/>
  <c r="K180" i="2"/>
  <c r="L180" i="2"/>
  <c r="M180" i="2"/>
  <c r="N180" i="2"/>
  <c r="O180" i="2"/>
  <c r="P180" i="2"/>
  <c r="Q180" i="2"/>
  <c r="R180" i="2"/>
  <c r="S180" i="2"/>
  <c r="T180" i="2"/>
  <c r="U180" i="2"/>
  <c r="V180" i="2"/>
  <c r="W180" i="2"/>
  <c r="X180" i="2"/>
  <c r="Y180" i="2"/>
  <c r="Z180" i="2"/>
  <c r="AA180" i="2"/>
  <c r="AB180" i="2"/>
  <c r="AC180" i="2"/>
  <c r="AD180" i="2"/>
  <c r="AE180" i="2"/>
  <c r="AF180" i="2"/>
  <c r="D181" i="2"/>
  <c r="E181" i="2"/>
  <c r="F181" i="2"/>
  <c r="G181" i="2"/>
  <c r="H181" i="2"/>
  <c r="I181" i="2"/>
  <c r="J181" i="2"/>
  <c r="K181" i="2"/>
  <c r="L181" i="2"/>
  <c r="M181" i="2"/>
  <c r="N181" i="2"/>
  <c r="O181" i="2"/>
  <c r="P181" i="2"/>
  <c r="Q181" i="2"/>
  <c r="R181" i="2"/>
  <c r="S181" i="2"/>
  <c r="T181" i="2"/>
  <c r="U181" i="2"/>
  <c r="V181" i="2"/>
  <c r="W181" i="2"/>
  <c r="X181" i="2"/>
  <c r="Y181" i="2"/>
  <c r="Z181" i="2"/>
  <c r="AA181" i="2"/>
  <c r="AB181" i="2"/>
  <c r="AC181" i="2"/>
  <c r="AD181" i="2"/>
  <c r="AE181" i="2"/>
  <c r="AF181" i="2"/>
  <c r="D182" i="2"/>
  <c r="E182" i="2"/>
  <c r="F182" i="2"/>
  <c r="G182" i="2"/>
  <c r="H182" i="2"/>
  <c r="I182" i="2"/>
  <c r="J182" i="2"/>
  <c r="K182" i="2"/>
  <c r="L182" i="2"/>
  <c r="M182" i="2"/>
  <c r="N182" i="2"/>
  <c r="O182" i="2"/>
  <c r="P182" i="2"/>
  <c r="Q182" i="2"/>
  <c r="R182" i="2"/>
  <c r="S182" i="2"/>
  <c r="T182" i="2"/>
  <c r="U182" i="2"/>
  <c r="V182" i="2"/>
  <c r="W182" i="2"/>
  <c r="X182" i="2"/>
  <c r="Y182" i="2"/>
  <c r="Z182" i="2"/>
  <c r="AA182" i="2"/>
  <c r="AB182" i="2"/>
  <c r="AC182" i="2"/>
  <c r="AD182" i="2"/>
  <c r="AE182" i="2"/>
  <c r="AF182" i="2"/>
  <c r="D183" i="2"/>
  <c r="E183" i="2"/>
  <c r="F183" i="2"/>
  <c r="G183" i="2"/>
  <c r="H183" i="2"/>
  <c r="I183" i="2"/>
  <c r="J183" i="2"/>
  <c r="K183" i="2"/>
  <c r="L183" i="2"/>
  <c r="M183" i="2"/>
  <c r="N183" i="2"/>
  <c r="O183" i="2"/>
  <c r="P183" i="2"/>
  <c r="Q183" i="2"/>
  <c r="R183" i="2"/>
  <c r="S183" i="2"/>
  <c r="T183" i="2"/>
  <c r="U183" i="2"/>
  <c r="V183" i="2"/>
  <c r="W183" i="2"/>
  <c r="X183" i="2"/>
  <c r="Y183" i="2"/>
  <c r="Z183" i="2"/>
  <c r="AA183" i="2"/>
  <c r="AB183" i="2"/>
  <c r="AC183" i="2"/>
  <c r="AD183" i="2"/>
  <c r="AE183" i="2"/>
  <c r="AF183" i="2"/>
  <c r="D184" i="2"/>
  <c r="E184" i="2"/>
  <c r="F184" i="2"/>
  <c r="G184" i="2"/>
  <c r="H184" i="2"/>
  <c r="I184" i="2"/>
  <c r="J184" i="2"/>
  <c r="K184" i="2"/>
  <c r="L184" i="2"/>
  <c r="M184" i="2"/>
  <c r="N184" i="2"/>
  <c r="O184" i="2"/>
  <c r="P184" i="2"/>
  <c r="Q184" i="2"/>
  <c r="R184" i="2"/>
  <c r="S184" i="2"/>
  <c r="T184" i="2"/>
  <c r="U184" i="2"/>
  <c r="V184" i="2"/>
  <c r="W184" i="2"/>
  <c r="X184" i="2"/>
  <c r="Y184" i="2"/>
  <c r="Z184" i="2"/>
  <c r="AA184" i="2"/>
  <c r="AB184" i="2"/>
  <c r="AC184" i="2"/>
  <c r="AD184" i="2"/>
  <c r="AE184" i="2"/>
  <c r="AF184" i="2"/>
  <c r="D188" i="2"/>
  <c r="E188" i="2"/>
  <c r="F188" i="2"/>
  <c r="G188" i="2"/>
  <c r="H188" i="2"/>
  <c r="I188" i="2"/>
  <c r="J188" i="2"/>
  <c r="K188" i="2"/>
  <c r="L188" i="2"/>
  <c r="M188" i="2"/>
  <c r="N188" i="2"/>
  <c r="O188" i="2"/>
  <c r="P188" i="2"/>
  <c r="Q188" i="2"/>
  <c r="R188" i="2"/>
  <c r="S188" i="2"/>
  <c r="T188" i="2"/>
  <c r="U188" i="2"/>
  <c r="V188" i="2"/>
  <c r="W188" i="2"/>
  <c r="X188" i="2"/>
  <c r="Y188" i="2"/>
  <c r="Z188" i="2"/>
  <c r="AA188" i="2"/>
  <c r="AB188" i="2"/>
  <c r="AC188" i="2"/>
  <c r="AD188" i="2"/>
  <c r="AE188" i="2"/>
  <c r="AF188" i="2"/>
  <c r="D189" i="2"/>
  <c r="E189" i="2"/>
  <c r="F189" i="2"/>
  <c r="G189" i="2"/>
  <c r="H189" i="2"/>
  <c r="I189" i="2"/>
  <c r="J189" i="2"/>
  <c r="K189" i="2"/>
  <c r="L189" i="2"/>
  <c r="M189" i="2"/>
  <c r="N189" i="2"/>
  <c r="O189" i="2"/>
  <c r="P189" i="2"/>
  <c r="Q189" i="2"/>
  <c r="R189" i="2"/>
  <c r="S189" i="2"/>
  <c r="T189" i="2"/>
  <c r="U189" i="2"/>
  <c r="V189" i="2"/>
  <c r="W189" i="2"/>
  <c r="X189" i="2"/>
  <c r="Y189" i="2"/>
  <c r="Z189" i="2"/>
  <c r="AA189" i="2"/>
  <c r="AB189" i="2"/>
  <c r="AC189" i="2"/>
  <c r="AD189" i="2"/>
  <c r="AE189" i="2"/>
  <c r="AF189" i="2"/>
  <c r="D190" i="2"/>
  <c r="E190" i="2"/>
  <c r="F190" i="2"/>
  <c r="G190" i="2"/>
  <c r="H190" i="2"/>
  <c r="I190" i="2"/>
  <c r="J190" i="2"/>
  <c r="K190" i="2"/>
  <c r="L190" i="2"/>
  <c r="M190" i="2"/>
  <c r="N190" i="2"/>
  <c r="O190" i="2"/>
  <c r="P190" i="2"/>
  <c r="Q190" i="2"/>
  <c r="R190" i="2"/>
  <c r="S190" i="2"/>
  <c r="T190" i="2"/>
  <c r="U190" i="2"/>
  <c r="V190" i="2"/>
  <c r="W190" i="2"/>
  <c r="X190" i="2"/>
  <c r="Y190" i="2"/>
  <c r="Z190" i="2"/>
  <c r="AA190" i="2"/>
  <c r="AB190" i="2"/>
  <c r="AC190" i="2"/>
  <c r="AD190" i="2"/>
  <c r="AE190" i="2"/>
  <c r="AF190" i="2"/>
  <c r="D191" i="2"/>
  <c r="E191" i="2"/>
  <c r="F191" i="2"/>
  <c r="G191" i="2"/>
  <c r="H191" i="2"/>
  <c r="I191" i="2"/>
  <c r="J191" i="2"/>
  <c r="K191" i="2"/>
  <c r="L191" i="2"/>
  <c r="M191" i="2"/>
  <c r="N191" i="2"/>
  <c r="O191" i="2"/>
  <c r="P191" i="2"/>
  <c r="Q191" i="2"/>
  <c r="R191" i="2"/>
  <c r="S191" i="2"/>
  <c r="T191" i="2"/>
  <c r="U191" i="2"/>
  <c r="V191" i="2"/>
  <c r="W191" i="2"/>
  <c r="X191" i="2"/>
  <c r="Y191" i="2"/>
  <c r="Z191" i="2"/>
  <c r="AA191" i="2"/>
  <c r="AB191" i="2"/>
  <c r="AC191" i="2"/>
  <c r="AD191" i="2"/>
  <c r="AE191" i="2"/>
  <c r="AF191" i="2"/>
  <c r="D192" i="2"/>
  <c r="E192" i="2"/>
  <c r="F192" i="2"/>
  <c r="G192" i="2"/>
  <c r="H192" i="2"/>
  <c r="I192" i="2"/>
  <c r="J192" i="2"/>
  <c r="K192" i="2"/>
  <c r="L192" i="2"/>
  <c r="M192" i="2"/>
  <c r="N192" i="2"/>
  <c r="O192" i="2"/>
  <c r="P192" i="2"/>
  <c r="Q192" i="2"/>
  <c r="R192" i="2"/>
  <c r="S192" i="2"/>
  <c r="T192" i="2"/>
  <c r="U192" i="2"/>
  <c r="V192" i="2"/>
  <c r="W192" i="2"/>
  <c r="X192" i="2"/>
  <c r="Y192" i="2"/>
  <c r="Z192" i="2"/>
  <c r="AA192" i="2"/>
  <c r="AB192" i="2"/>
  <c r="AC192" i="2"/>
  <c r="AD192" i="2"/>
  <c r="AE192" i="2"/>
  <c r="AF192" i="2"/>
  <c r="D193" i="2"/>
  <c r="E193" i="2"/>
  <c r="F193" i="2"/>
  <c r="G193" i="2"/>
  <c r="H193" i="2"/>
  <c r="I193" i="2"/>
  <c r="J193" i="2"/>
  <c r="K193" i="2"/>
  <c r="L193" i="2"/>
  <c r="M193" i="2"/>
  <c r="N193" i="2"/>
  <c r="O193" i="2"/>
  <c r="P193" i="2"/>
  <c r="Q193" i="2"/>
  <c r="R193" i="2"/>
  <c r="S193" i="2"/>
  <c r="T193" i="2"/>
  <c r="U193" i="2"/>
  <c r="V193" i="2"/>
  <c r="W193" i="2"/>
  <c r="X193" i="2"/>
  <c r="Y193" i="2"/>
  <c r="Z193" i="2"/>
  <c r="AA193" i="2"/>
  <c r="AB193" i="2"/>
  <c r="AC193" i="2"/>
  <c r="AD193" i="2"/>
  <c r="AE193" i="2"/>
  <c r="AF193" i="2"/>
  <c r="D194" i="2"/>
  <c r="E194" i="2"/>
  <c r="F194" i="2"/>
  <c r="G194" i="2"/>
  <c r="H194" i="2"/>
  <c r="I194" i="2"/>
  <c r="J194" i="2"/>
  <c r="K194" i="2"/>
  <c r="L194" i="2"/>
  <c r="M194" i="2"/>
  <c r="N194" i="2"/>
  <c r="O194" i="2"/>
  <c r="P194" i="2"/>
  <c r="Q194" i="2"/>
  <c r="R194" i="2"/>
  <c r="S194" i="2"/>
  <c r="T194" i="2"/>
  <c r="U194" i="2"/>
  <c r="V194" i="2"/>
  <c r="W194" i="2"/>
  <c r="X194" i="2"/>
  <c r="Y194" i="2"/>
  <c r="Z194" i="2"/>
  <c r="AA194" i="2"/>
  <c r="AB194" i="2"/>
  <c r="AC194" i="2"/>
  <c r="AD194" i="2"/>
  <c r="AE194" i="2"/>
  <c r="AF194" i="2"/>
  <c r="D198" i="2"/>
  <c r="E198" i="2"/>
  <c r="F198" i="2"/>
  <c r="G198" i="2"/>
  <c r="H198" i="2"/>
  <c r="I198" i="2"/>
  <c r="J198" i="2"/>
  <c r="K198" i="2"/>
  <c r="L198" i="2"/>
  <c r="M198" i="2"/>
  <c r="N198" i="2"/>
  <c r="O198" i="2"/>
  <c r="P198" i="2"/>
  <c r="Q198" i="2"/>
  <c r="R198" i="2"/>
  <c r="S198" i="2"/>
  <c r="T198" i="2"/>
  <c r="U198" i="2"/>
  <c r="V198" i="2"/>
  <c r="W198" i="2"/>
  <c r="X198" i="2"/>
  <c r="Y198" i="2"/>
  <c r="Z198" i="2"/>
  <c r="AA198" i="2"/>
  <c r="AB198" i="2"/>
  <c r="AC198" i="2"/>
  <c r="AD198" i="2"/>
  <c r="AE198" i="2"/>
  <c r="AF198" i="2"/>
  <c r="D199" i="2"/>
  <c r="E199" i="2"/>
  <c r="F199" i="2"/>
  <c r="G199" i="2"/>
  <c r="H199" i="2"/>
  <c r="I199" i="2"/>
  <c r="J199" i="2"/>
  <c r="K199" i="2"/>
  <c r="L199" i="2"/>
  <c r="M199" i="2"/>
  <c r="N199" i="2"/>
  <c r="O199" i="2"/>
  <c r="P199" i="2"/>
  <c r="Q199" i="2"/>
  <c r="R199" i="2"/>
  <c r="S199" i="2"/>
  <c r="T199" i="2"/>
  <c r="U199" i="2"/>
  <c r="V199" i="2"/>
  <c r="W199" i="2"/>
  <c r="X199" i="2"/>
  <c r="Y199" i="2"/>
  <c r="Z199" i="2"/>
  <c r="AA199" i="2"/>
  <c r="AB199" i="2"/>
  <c r="AC199" i="2"/>
  <c r="AD199" i="2"/>
  <c r="AE199" i="2"/>
  <c r="AF199" i="2"/>
  <c r="D200" i="2"/>
  <c r="E200" i="2"/>
  <c r="F200" i="2"/>
  <c r="G200" i="2"/>
  <c r="H200" i="2"/>
  <c r="I200" i="2"/>
  <c r="J200" i="2"/>
  <c r="K200" i="2"/>
  <c r="L200" i="2"/>
  <c r="M200" i="2"/>
  <c r="N200" i="2"/>
  <c r="O200" i="2"/>
  <c r="P200" i="2"/>
  <c r="Q200" i="2"/>
  <c r="R200" i="2"/>
  <c r="S200" i="2"/>
  <c r="T200" i="2"/>
  <c r="U200" i="2"/>
  <c r="V200" i="2"/>
  <c r="W200" i="2"/>
  <c r="X200" i="2"/>
  <c r="Y200" i="2"/>
  <c r="Z200" i="2"/>
  <c r="AA200" i="2"/>
  <c r="AB200" i="2"/>
  <c r="AC200" i="2"/>
  <c r="AD200" i="2"/>
  <c r="AE200" i="2"/>
  <c r="AF200" i="2"/>
  <c r="D201" i="2"/>
  <c r="E201" i="2"/>
  <c r="F201" i="2"/>
  <c r="G201" i="2"/>
  <c r="H201" i="2"/>
  <c r="I201" i="2"/>
  <c r="J201" i="2"/>
  <c r="K201" i="2"/>
  <c r="L201" i="2"/>
  <c r="M201" i="2"/>
  <c r="N201" i="2"/>
  <c r="O201" i="2"/>
  <c r="P201" i="2"/>
  <c r="Q201" i="2"/>
  <c r="R201" i="2"/>
  <c r="S201" i="2"/>
  <c r="T201" i="2"/>
  <c r="U201" i="2"/>
  <c r="V201" i="2"/>
  <c r="W201" i="2"/>
  <c r="X201" i="2"/>
  <c r="Y201" i="2"/>
  <c r="Z201" i="2"/>
  <c r="AA201" i="2"/>
  <c r="AB201" i="2"/>
  <c r="AC201" i="2"/>
  <c r="AD201" i="2"/>
  <c r="AE201" i="2"/>
  <c r="AF201" i="2"/>
  <c r="D202" i="2"/>
  <c r="E202" i="2"/>
  <c r="F202" i="2"/>
  <c r="G202" i="2"/>
  <c r="H202" i="2"/>
  <c r="I202" i="2"/>
  <c r="J202" i="2"/>
  <c r="K202" i="2"/>
  <c r="L202" i="2"/>
  <c r="M202" i="2"/>
  <c r="N202" i="2"/>
  <c r="O202" i="2"/>
  <c r="P202" i="2"/>
  <c r="Q202" i="2"/>
  <c r="R202" i="2"/>
  <c r="S202" i="2"/>
  <c r="T202" i="2"/>
  <c r="U202" i="2"/>
  <c r="V202" i="2"/>
  <c r="W202" i="2"/>
  <c r="X202" i="2"/>
  <c r="Y202" i="2"/>
  <c r="Z202" i="2"/>
  <c r="AA202" i="2"/>
  <c r="AB202" i="2"/>
  <c r="AC202" i="2"/>
  <c r="AD202" i="2"/>
  <c r="AE202" i="2"/>
  <c r="AF202" i="2"/>
  <c r="D203" i="2"/>
  <c r="E203" i="2"/>
  <c r="F203" i="2"/>
  <c r="G203" i="2"/>
  <c r="H203" i="2"/>
  <c r="I203" i="2"/>
  <c r="J203" i="2"/>
  <c r="K203" i="2"/>
  <c r="L203" i="2"/>
  <c r="M203" i="2"/>
  <c r="N203" i="2"/>
  <c r="O203" i="2"/>
  <c r="P203" i="2"/>
  <c r="Q203" i="2"/>
  <c r="R203" i="2"/>
  <c r="S203" i="2"/>
  <c r="T203" i="2"/>
  <c r="U203" i="2"/>
  <c r="V203" i="2"/>
  <c r="W203" i="2"/>
  <c r="X203" i="2"/>
  <c r="Y203" i="2"/>
  <c r="Z203" i="2"/>
  <c r="AA203" i="2"/>
  <c r="AB203" i="2"/>
  <c r="AC203" i="2"/>
  <c r="AD203" i="2"/>
  <c r="AE203" i="2"/>
  <c r="AF203" i="2"/>
  <c r="D204" i="2"/>
  <c r="E204" i="2"/>
  <c r="F204" i="2"/>
  <c r="G204" i="2"/>
  <c r="H204" i="2"/>
  <c r="I204" i="2"/>
  <c r="J204" i="2"/>
  <c r="K204" i="2"/>
  <c r="L204" i="2"/>
  <c r="M204" i="2"/>
  <c r="N204" i="2"/>
  <c r="O204" i="2"/>
  <c r="P204" i="2"/>
  <c r="Q204" i="2"/>
  <c r="R204" i="2"/>
  <c r="S204" i="2"/>
  <c r="T204" i="2"/>
  <c r="U204" i="2"/>
  <c r="V204" i="2"/>
  <c r="W204" i="2"/>
  <c r="X204" i="2"/>
  <c r="Y204" i="2"/>
  <c r="Z204" i="2"/>
  <c r="AA204" i="2"/>
  <c r="AB204" i="2"/>
  <c r="AC204" i="2"/>
  <c r="AD204" i="2"/>
  <c r="AE204" i="2"/>
  <c r="AF204" i="2"/>
  <c r="D208" i="2"/>
  <c r="E208" i="2"/>
  <c r="F208" i="2"/>
  <c r="G208" i="2"/>
  <c r="H208" i="2"/>
  <c r="I208" i="2"/>
  <c r="J208" i="2"/>
  <c r="K208" i="2"/>
  <c r="L208" i="2"/>
  <c r="M208" i="2"/>
  <c r="N208" i="2"/>
  <c r="O208" i="2"/>
  <c r="P208" i="2"/>
  <c r="Q208" i="2"/>
  <c r="R208" i="2"/>
  <c r="S208" i="2"/>
  <c r="T208" i="2"/>
  <c r="U208" i="2"/>
  <c r="V208" i="2"/>
  <c r="W208" i="2"/>
  <c r="X208" i="2"/>
  <c r="Y208" i="2"/>
  <c r="Z208" i="2"/>
  <c r="AA208" i="2"/>
  <c r="AB208" i="2"/>
  <c r="AC208" i="2"/>
  <c r="AD208" i="2"/>
  <c r="AE208" i="2"/>
  <c r="AF208" i="2"/>
  <c r="D209" i="2"/>
  <c r="E209" i="2"/>
  <c r="F209" i="2"/>
  <c r="G209" i="2"/>
  <c r="H209" i="2"/>
  <c r="I209" i="2"/>
  <c r="J209" i="2"/>
  <c r="K209" i="2"/>
  <c r="L209" i="2"/>
  <c r="M209" i="2"/>
  <c r="N209" i="2"/>
  <c r="O209" i="2"/>
  <c r="P209" i="2"/>
  <c r="Q209" i="2"/>
  <c r="R209" i="2"/>
  <c r="S209" i="2"/>
  <c r="T209" i="2"/>
  <c r="U209" i="2"/>
  <c r="V209" i="2"/>
  <c r="W209" i="2"/>
  <c r="X209" i="2"/>
  <c r="Y209" i="2"/>
  <c r="Z209" i="2"/>
  <c r="AA209" i="2"/>
  <c r="AB209" i="2"/>
  <c r="AC209" i="2"/>
  <c r="AD209" i="2"/>
  <c r="AE209" i="2"/>
  <c r="AF209" i="2"/>
  <c r="D210" i="2"/>
  <c r="E210" i="2"/>
  <c r="F210" i="2"/>
  <c r="G210" i="2"/>
  <c r="H210" i="2"/>
  <c r="I210" i="2"/>
  <c r="J210" i="2"/>
  <c r="K210" i="2"/>
  <c r="L210" i="2"/>
  <c r="M210" i="2"/>
  <c r="N210" i="2"/>
  <c r="O210" i="2"/>
  <c r="P210" i="2"/>
  <c r="Q210" i="2"/>
  <c r="R210" i="2"/>
  <c r="S210" i="2"/>
  <c r="T210" i="2"/>
  <c r="U210" i="2"/>
  <c r="V210" i="2"/>
  <c r="W210" i="2"/>
  <c r="X210" i="2"/>
  <c r="Y210" i="2"/>
  <c r="Z210" i="2"/>
  <c r="AA210" i="2"/>
  <c r="AB210" i="2"/>
  <c r="AC210" i="2"/>
  <c r="AD210" i="2"/>
  <c r="AE210" i="2"/>
  <c r="AF210" i="2"/>
  <c r="D211" i="2"/>
  <c r="E211" i="2"/>
  <c r="F211" i="2"/>
  <c r="G211" i="2"/>
  <c r="H211" i="2"/>
  <c r="I211" i="2"/>
  <c r="J211" i="2"/>
  <c r="K211" i="2"/>
  <c r="L211" i="2"/>
  <c r="M211" i="2"/>
  <c r="N211" i="2"/>
  <c r="O211" i="2"/>
  <c r="P211" i="2"/>
  <c r="Q211" i="2"/>
  <c r="R211" i="2"/>
  <c r="S211" i="2"/>
  <c r="T211" i="2"/>
  <c r="U211" i="2"/>
  <c r="V211" i="2"/>
  <c r="W211" i="2"/>
  <c r="X211" i="2"/>
  <c r="Y211" i="2"/>
  <c r="Z211" i="2"/>
  <c r="AA211" i="2"/>
  <c r="AB211" i="2"/>
  <c r="AC211" i="2"/>
  <c r="AD211" i="2"/>
  <c r="AE211" i="2"/>
  <c r="AF211" i="2"/>
  <c r="D212" i="2"/>
  <c r="E212" i="2"/>
  <c r="F212" i="2"/>
  <c r="G212" i="2"/>
  <c r="H212" i="2"/>
  <c r="I212" i="2"/>
  <c r="J212" i="2"/>
  <c r="K212" i="2"/>
  <c r="L212" i="2"/>
  <c r="M212" i="2"/>
  <c r="N212" i="2"/>
  <c r="O212" i="2"/>
  <c r="P212" i="2"/>
  <c r="Q212" i="2"/>
  <c r="R212" i="2"/>
  <c r="S212" i="2"/>
  <c r="T212" i="2"/>
  <c r="U212" i="2"/>
  <c r="V212" i="2"/>
  <c r="W212" i="2"/>
  <c r="X212" i="2"/>
  <c r="Y212" i="2"/>
  <c r="Z212" i="2"/>
  <c r="AA212" i="2"/>
  <c r="AB212" i="2"/>
  <c r="AC212" i="2"/>
  <c r="AD212" i="2"/>
  <c r="AE212" i="2"/>
  <c r="AF212" i="2"/>
  <c r="D213" i="2"/>
  <c r="E213" i="2"/>
  <c r="F213" i="2"/>
  <c r="G213" i="2"/>
  <c r="H213" i="2"/>
  <c r="I213" i="2"/>
  <c r="J213" i="2"/>
  <c r="K213" i="2"/>
  <c r="L213" i="2"/>
  <c r="M213" i="2"/>
  <c r="N213" i="2"/>
  <c r="O213" i="2"/>
  <c r="P213" i="2"/>
  <c r="Q213" i="2"/>
  <c r="R213" i="2"/>
  <c r="S213" i="2"/>
  <c r="T213" i="2"/>
  <c r="U213" i="2"/>
  <c r="V213" i="2"/>
  <c r="W213" i="2"/>
  <c r="X213" i="2"/>
  <c r="Y213" i="2"/>
  <c r="Z213" i="2"/>
  <c r="AA213" i="2"/>
  <c r="AB213" i="2"/>
  <c r="AC213" i="2"/>
  <c r="AD213" i="2"/>
  <c r="AE213" i="2"/>
  <c r="AF213" i="2"/>
  <c r="D214" i="2"/>
  <c r="E214" i="2"/>
  <c r="F214" i="2"/>
  <c r="G214" i="2"/>
  <c r="H214" i="2"/>
  <c r="I214" i="2"/>
  <c r="J214" i="2"/>
  <c r="K214" i="2"/>
  <c r="L214" i="2"/>
  <c r="M214" i="2"/>
  <c r="N214" i="2"/>
  <c r="O214" i="2"/>
  <c r="P214" i="2"/>
  <c r="Q214" i="2"/>
  <c r="R214" i="2"/>
  <c r="S214" i="2"/>
  <c r="T214" i="2"/>
  <c r="U214" i="2"/>
  <c r="V214" i="2"/>
  <c r="W214" i="2"/>
  <c r="X214" i="2"/>
  <c r="Y214" i="2"/>
  <c r="Z214" i="2"/>
  <c r="AA214" i="2"/>
  <c r="AB214" i="2"/>
  <c r="AC214" i="2"/>
  <c r="AD214" i="2"/>
  <c r="AE214" i="2"/>
  <c r="AF214" i="2"/>
  <c r="D218" i="2"/>
  <c r="E218" i="2"/>
  <c r="F218" i="2"/>
  <c r="G218" i="2"/>
  <c r="H218" i="2"/>
  <c r="I218" i="2"/>
  <c r="J218" i="2"/>
  <c r="K218" i="2"/>
  <c r="L218" i="2"/>
  <c r="M218" i="2"/>
  <c r="N218" i="2"/>
  <c r="O218" i="2"/>
  <c r="P218" i="2"/>
  <c r="Q218" i="2"/>
  <c r="R218" i="2"/>
  <c r="S218" i="2"/>
  <c r="T218" i="2"/>
  <c r="U218" i="2"/>
  <c r="V218" i="2"/>
  <c r="W218" i="2"/>
  <c r="X218" i="2"/>
  <c r="Y218" i="2"/>
  <c r="Z218" i="2"/>
  <c r="AA218" i="2"/>
  <c r="AB218" i="2"/>
  <c r="AC218" i="2"/>
  <c r="AD218" i="2"/>
  <c r="AE218" i="2"/>
  <c r="AF218" i="2"/>
  <c r="D219" i="2"/>
  <c r="E219" i="2"/>
  <c r="F219" i="2"/>
  <c r="G219" i="2"/>
  <c r="H219" i="2"/>
  <c r="I219" i="2"/>
  <c r="J219" i="2"/>
  <c r="K219" i="2"/>
  <c r="L219" i="2"/>
  <c r="M219" i="2"/>
  <c r="N219" i="2"/>
  <c r="O219" i="2"/>
  <c r="P219" i="2"/>
  <c r="Q219" i="2"/>
  <c r="R219" i="2"/>
  <c r="S219" i="2"/>
  <c r="T219" i="2"/>
  <c r="U219" i="2"/>
  <c r="V219" i="2"/>
  <c r="W219" i="2"/>
  <c r="X219" i="2"/>
  <c r="Y219" i="2"/>
  <c r="Z219" i="2"/>
  <c r="AA219" i="2"/>
  <c r="AB219" i="2"/>
  <c r="AC219" i="2"/>
  <c r="AD219" i="2"/>
  <c r="AE219" i="2"/>
  <c r="AF219" i="2"/>
  <c r="D220" i="2"/>
  <c r="E220" i="2"/>
  <c r="F220" i="2"/>
  <c r="G220" i="2"/>
  <c r="H220" i="2"/>
  <c r="I220" i="2"/>
  <c r="J220" i="2"/>
  <c r="K220" i="2"/>
  <c r="L220" i="2"/>
  <c r="M220" i="2"/>
  <c r="N220" i="2"/>
  <c r="O220" i="2"/>
  <c r="P220" i="2"/>
  <c r="Q220" i="2"/>
  <c r="R220" i="2"/>
  <c r="S220" i="2"/>
  <c r="T220" i="2"/>
  <c r="U220" i="2"/>
  <c r="V220" i="2"/>
  <c r="W220" i="2"/>
  <c r="X220" i="2"/>
  <c r="Y220" i="2"/>
  <c r="Z220" i="2"/>
  <c r="AA220" i="2"/>
  <c r="AB220" i="2"/>
  <c r="AC220" i="2"/>
  <c r="AD220" i="2"/>
  <c r="AE220" i="2"/>
  <c r="AF220" i="2"/>
  <c r="D221" i="2"/>
  <c r="E221" i="2"/>
  <c r="F221" i="2"/>
  <c r="G221" i="2"/>
  <c r="H221" i="2"/>
  <c r="I221" i="2"/>
  <c r="J221" i="2"/>
  <c r="K221" i="2"/>
  <c r="L221" i="2"/>
  <c r="M221" i="2"/>
  <c r="N221" i="2"/>
  <c r="O221" i="2"/>
  <c r="P221" i="2"/>
  <c r="Q221" i="2"/>
  <c r="R221" i="2"/>
  <c r="S221" i="2"/>
  <c r="T221" i="2"/>
  <c r="U221" i="2"/>
  <c r="V221" i="2"/>
  <c r="W221" i="2"/>
  <c r="X221" i="2"/>
  <c r="Y221" i="2"/>
  <c r="Z221" i="2"/>
  <c r="AA221" i="2"/>
  <c r="AB221" i="2"/>
  <c r="AC221" i="2"/>
  <c r="AD221" i="2"/>
  <c r="AE221" i="2"/>
  <c r="AF221" i="2"/>
  <c r="D222" i="2"/>
  <c r="E222" i="2"/>
  <c r="F222" i="2"/>
  <c r="G222" i="2"/>
  <c r="H222" i="2"/>
  <c r="I222" i="2"/>
  <c r="J222" i="2"/>
  <c r="K222" i="2"/>
  <c r="L222" i="2"/>
  <c r="M222" i="2"/>
  <c r="N222" i="2"/>
  <c r="O222" i="2"/>
  <c r="P222" i="2"/>
  <c r="Q222" i="2"/>
  <c r="R222" i="2"/>
  <c r="S222" i="2"/>
  <c r="T222" i="2"/>
  <c r="U222" i="2"/>
  <c r="V222" i="2"/>
  <c r="W222" i="2"/>
  <c r="X222" i="2"/>
  <c r="Y222" i="2"/>
  <c r="Z222" i="2"/>
  <c r="AA222" i="2"/>
  <c r="AB222" i="2"/>
  <c r="AC222" i="2"/>
  <c r="AD222" i="2"/>
  <c r="AE222" i="2"/>
  <c r="AF222" i="2"/>
  <c r="D223" i="2"/>
  <c r="E223" i="2"/>
  <c r="F223" i="2"/>
  <c r="G223" i="2"/>
  <c r="H223" i="2"/>
  <c r="I223" i="2"/>
  <c r="J223" i="2"/>
  <c r="K223" i="2"/>
  <c r="L223" i="2"/>
  <c r="M223" i="2"/>
  <c r="N223" i="2"/>
  <c r="O223" i="2"/>
  <c r="P223" i="2"/>
  <c r="Q223" i="2"/>
  <c r="R223" i="2"/>
  <c r="S223" i="2"/>
  <c r="T223" i="2"/>
  <c r="U223" i="2"/>
  <c r="V223" i="2"/>
  <c r="W223" i="2"/>
  <c r="X223" i="2"/>
  <c r="Y223" i="2"/>
  <c r="Z223" i="2"/>
  <c r="AA223" i="2"/>
  <c r="AB223" i="2"/>
  <c r="AC223" i="2"/>
  <c r="AD223" i="2"/>
  <c r="AE223" i="2"/>
  <c r="AF223" i="2"/>
  <c r="D224" i="2"/>
  <c r="E224" i="2"/>
  <c r="F224" i="2"/>
  <c r="G224" i="2"/>
  <c r="H224" i="2"/>
  <c r="I224" i="2"/>
  <c r="J224" i="2"/>
  <c r="K224" i="2"/>
  <c r="L224" i="2"/>
  <c r="M224" i="2"/>
  <c r="N224" i="2"/>
  <c r="O224" i="2"/>
  <c r="P224" i="2"/>
  <c r="Q224" i="2"/>
  <c r="R224" i="2"/>
  <c r="S224" i="2"/>
  <c r="T224" i="2"/>
  <c r="U224" i="2"/>
  <c r="V224" i="2"/>
  <c r="W224" i="2"/>
  <c r="X224" i="2"/>
  <c r="Y224" i="2"/>
  <c r="Z224" i="2"/>
  <c r="AA224" i="2"/>
  <c r="AB224" i="2"/>
  <c r="AC224" i="2"/>
  <c r="AD224" i="2"/>
  <c r="AE224" i="2"/>
  <c r="AF224" i="2"/>
  <c r="D228" i="2"/>
  <c r="E228" i="2"/>
  <c r="F228" i="2"/>
  <c r="G228" i="2"/>
  <c r="H228" i="2"/>
  <c r="I228" i="2"/>
  <c r="J228" i="2"/>
  <c r="K228" i="2"/>
  <c r="L228" i="2"/>
  <c r="M228" i="2"/>
  <c r="N228" i="2"/>
  <c r="O228" i="2"/>
  <c r="P228" i="2"/>
  <c r="Q228" i="2"/>
  <c r="R228" i="2"/>
  <c r="S228" i="2"/>
  <c r="T228" i="2"/>
  <c r="U228" i="2"/>
  <c r="V228" i="2"/>
  <c r="W228" i="2"/>
  <c r="X228" i="2"/>
  <c r="Y228" i="2"/>
  <c r="Z228" i="2"/>
  <c r="AA228" i="2"/>
  <c r="AB228" i="2"/>
  <c r="AC228" i="2"/>
  <c r="AD228" i="2"/>
  <c r="AE228" i="2"/>
  <c r="AF228" i="2"/>
  <c r="D229" i="2"/>
  <c r="E229" i="2"/>
  <c r="F229" i="2"/>
  <c r="G229" i="2"/>
  <c r="H229" i="2"/>
  <c r="I229" i="2"/>
  <c r="J229" i="2"/>
  <c r="K229" i="2"/>
  <c r="L229" i="2"/>
  <c r="M229" i="2"/>
  <c r="N229" i="2"/>
  <c r="O229" i="2"/>
  <c r="P229" i="2"/>
  <c r="Q229" i="2"/>
  <c r="R229" i="2"/>
  <c r="S229" i="2"/>
  <c r="T229" i="2"/>
  <c r="U229" i="2"/>
  <c r="V229" i="2"/>
  <c r="W229" i="2"/>
  <c r="X229" i="2"/>
  <c r="Y229" i="2"/>
  <c r="Z229" i="2"/>
  <c r="AA229" i="2"/>
  <c r="AB229" i="2"/>
  <c r="AC229" i="2"/>
  <c r="AD229" i="2"/>
  <c r="AE229" i="2"/>
  <c r="AF229" i="2"/>
  <c r="D230" i="2"/>
  <c r="E230" i="2"/>
  <c r="F230" i="2"/>
  <c r="G230" i="2"/>
  <c r="H230" i="2"/>
  <c r="I230" i="2"/>
  <c r="J230" i="2"/>
  <c r="K230" i="2"/>
  <c r="L230" i="2"/>
  <c r="M230" i="2"/>
  <c r="N230" i="2"/>
  <c r="O230" i="2"/>
  <c r="P230" i="2"/>
  <c r="Q230" i="2"/>
  <c r="R230" i="2"/>
  <c r="S230" i="2"/>
  <c r="T230" i="2"/>
  <c r="U230" i="2"/>
  <c r="V230" i="2"/>
  <c r="W230" i="2"/>
  <c r="X230" i="2"/>
  <c r="Y230" i="2"/>
  <c r="Z230" i="2"/>
  <c r="AA230" i="2"/>
  <c r="AB230" i="2"/>
  <c r="AC230" i="2"/>
  <c r="AD230" i="2"/>
  <c r="AE230" i="2"/>
  <c r="AF230" i="2"/>
  <c r="D231" i="2"/>
  <c r="E231" i="2"/>
  <c r="F231" i="2"/>
  <c r="G231" i="2"/>
  <c r="H231" i="2"/>
  <c r="I231" i="2"/>
  <c r="J231" i="2"/>
  <c r="K231" i="2"/>
  <c r="L231" i="2"/>
  <c r="M231" i="2"/>
  <c r="N231" i="2"/>
  <c r="O231" i="2"/>
  <c r="P231" i="2"/>
  <c r="Q231" i="2"/>
  <c r="R231" i="2"/>
  <c r="S231" i="2"/>
  <c r="T231" i="2"/>
  <c r="U231" i="2"/>
  <c r="V231" i="2"/>
  <c r="W231" i="2"/>
  <c r="X231" i="2"/>
  <c r="Y231" i="2"/>
  <c r="Z231" i="2"/>
  <c r="AA231" i="2"/>
  <c r="AB231" i="2"/>
  <c r="AC231" i="2"/>
  <c r="AD231" i="2"/>
  <c r="AE231" i="2"/>
  <c r="AF231" i="2"/>
  <c r="D232" i="2"/>
  <c r="E232" i="2"/>
  <c r="F232" i="2"/>
  <c r="G232" i="2"/>
  <c r="H232" i="2"/>
  <c r="I232" i="2"/>
  <c r="J232" i="2"/>
  <c r="K232" i="2"/>
  <c r="L232" i="2"/>
  <c r="M232" i="2"/>
  <c r="N232" i="2"/>
  <c r="O232" i="2"/>
  <c r="P232" i="2"/>
  <c r="Q232" i="2"/>
  <c r="R232" i="2"/>
  <c r="S232" i="2"/>
  <c r="T232" i="2"/>
  <c r="U232" i="2"/>
  <c r="V232" i="2"/>
  <c r="W232" i="2"/>
  <c r="X232" i="2"/>
  <c r="Y232" i="2"/>
  <c r="Z232" i="2"/>
  <c r="AA232" i="2"/>
  <c r="AB232" i="2"/>
  <c r="AC232" i="2"/>
  <c r="AD232" i="2"/>
  <c r="AE232" i="2"/>
  <c r="AF232" i="2"/>
  <c r="D233" i="2"/>
  <c r="E233" i="2"/>
  <c r="F233" i="2"/>
  <c r="G233" i="2"/>
  <c r="H233" i="2"/>
  <c r="I233" i="2"/>
  <c r="J233" i="2"/>
  <c r="K233" i="2"/>
  <c r="L233" i="2"/>
  <c r="M233" i="2"/>
  <c r="N233" i="2"/>
  <c r="O233" i="2"/>
  <c r="P233" i="2"/>
  <c r="Q233" i="2"/>
  <c r="R233" i="2"/>
  <c r="S233" i="2"/>
  <c r="T233" i="2"/>
  <c r="U233" i="2"/>
  <c r="V233" i="2"/>
  <c r="W233" i="2"/>
  <c r="X233" i="2"/>
  <c r="Y233" i="2"/>
  <c r="Z233" i="2"/>
  <c r="AA233" i="2"/>
  <c r="AB233" i="2"/>
  <c r="AC233" i="2"/>
  <c r="AD233" i="2"/>
  <c r="AE233" i="2"/>
  <c r="AF233" i="2"/>
  <c r="D234" i="2"/>
  <c r="E234" i="2"/>
  <c r="F234" i="2"/>
  <c r="G234" i="2"/>
  <c r="H234" i="2"/>
  <c r="I234" i="2"/>
  <c r="J234" i="2"/>
  <c r="K234" i="2"/>
  <c r="L234" i="2"/>
  <c r="M234" i="2"/>
  <c r="N234" i="2"/>
  <c r="O234" i="2"/>
  <c r="P234" i="2"/>
  <c r="Q234" i="2"/>
  <c r="R234" i="2"/>
  <c r="S234" i="2"/>
  <c r="T234" i="2"/>
  <c r="U234" i="2"/>
  <c r="V234" i="2"/>
  <c r="W234" i="2"/>
  <c r="X234" i="2"/>
  <c r="Y234" i="2"/>
  <c r="Z234" i="2"/>
  <c r="AA234" i="2"/>
  <c r="AB234" i="2"/>
  <c r="AC234" i="2"/>
  <c r="AD234" i="2"/>
  <c r="AE234" i="2"/>
  <c r="AF234" i="2"/>
  <c r="D238" i="2"/>
  <c r="E238" i="2"/>
  <c r="F238" i="2"/>
  <c r="G238" i="2"/>
  <c r="H238" i="2"/>
  <c r="I238" i="2"/>
  <c r="J238" i="2"/>
  <c r="K238" i="2"/>
  <c r="L238" i="2"/>
  <c r="M238" i="2"/>
  <c r="N238" i="2"/>
  <c r="O238" i="2"/>
  <c r="P238" i="2"/>
  <c r="Q238" i="2"/>
  <c r="R238" i="2"/>
  <c r="S238" i="2"/>
  <c r="T238" i="2"/>
  <c r="U238" i="2"/>
  <c r="V238" i="2"/>
  <c r="W238" i="2"/>
  <c r="X238" i="2"/>
  <c r="Y238" i="2"/>
  <c r="Z238" i="2"/>
  <c r="AA238" i="2"/>
  <c r="AB238" i="2"/>
  <c r="AC238" i="2"/>
  <c r="AD238" i="2"/>
  <c r="AE238" i="2"/>
  <c r="AF238" i="2"/>
  <c r="D239" i="2"/>
  <c r="E239" i="2"/>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D240" i="2"/>
  <c r="E240" i="2"/>
  <c r="F240" i="2"/>
  <c r="G240" i="2"/>
  <c r="H240" i="2"/>
  <c r="I240" i="2"/>
  <c r="J240" i="2"/>
  <c r="K240" i="2"/>
  <c r="L240" i="2"/>
  <c r="M240" i="2"/>
  <c r="N240" i="2"/>
  <c r="O240" i="2"/>
  <c r="P240" i="2"/>
  <c r="Q240" i="2"/>
  <c r="R240" i="2"/>
  <c r="S240" i="2"/>
  <c r="T240" i="2"/>
  <c r="U240" i="2"/>
  <c r="V240" i="2"/>
  <c r="W240" i="2"/>
  <c r="X240" i="2"/>
  <c r="Y240" i="2"/>
  <c r="Z240" i="2"/>
  <c r="AA240" i="2"/>
  <c r="AB240" i="2"/>
  <c r="AC240" i="2"/>
  <c r="AD240" i="2"/>
  <c r="AE240" i="2"/>
  <c r="AF240" i="2"/>
  <c r="D241" i="2"/>
  <c r="E241" i="2"/>
  <c r="F241" i="2"/>
  <c r="G241" i="2"/>
  <c r="H241" i="2"/>
  <c r="I241" i="2"/>
  <c r="J241" i="2"/>
  <c r="K241" i="2"/>
  <c r="L241" i="2"/>
  <c r="M241" i="2"/>
  <c r="N241" i="2"/>
  <c r="O241" i="2"/>
  <c r="P241" i="2"/>
  <c r="Q241" i="2"/>
  <c r="R241" i="2"/>
  <c r="S241" i="2"/>
  <c r="T241" i="2"/>
  <c r="U241" i="2"/>
  <c r="V241" i="2"/>
  <c r="W241" i="2"/>
  <c r="X241" i="2"/>
  <c r="Y241" i="2"/>
  <c r="Z241" i="2"/>
  <c r="AA241" i="2"/>
  <c r="AB241" i="2"/>
  <c r="AC241" i="2"/>
  <c r="AD241" i="2"/>
  <c r="AE241" i="2"/>
  <c r="AF241" i="2"/>
  <c r="D242" i="2"/>
  <c r="E242" i="2"/>
  <c r="F242" i="2"/>
  <c r="G242" i="2"/>
  <c r="H242" i="2"/>
  <c r="I242" i="2"/>
  <c r="J242" i="2"/>
  <c r="K242" i="2"/>
  <c r="L242" i="2"/>
  <c r="M242" i="2"/>
  <c r="N242" i="2"/>
  <c r="O242" i="2"/>
  <c r="P242" i="2"/>
  <c r="Q242" i="2"/>
  <c r="R242" i="2"/>
  <c r="S242" i="2"/>
  <c r="T242" i="2"/>
  <c r="U242" i="2"/>
  <c r="V242" i="2"/>
  <c r="W242" i="2"/>
  <c r="X242" i="2"/>
  <c r="Y242" i="2"/>
  <c r="Z242" i="2"/>
  <c r="AA242" i="2"/>
  <c r="AB242" i="2"/>
  <c r="AC242" i="2"/>
  <c r="AD242" i="2"/>
  <c r="AE242" i="2"/>
  <c r="AF242" i="2"/>
  <c r="D243" i="2"/>
  <c r="E243" i="2"/>
  <c r="F243" i="2"/>
  <c r="G243" i="2"/>
  <c r="H243" i="2"/>
  <c r="I243" i="2"/>
  <c r="J243" i="2"/>
  <c r="K243" i="2"/>
  <c r="L243" i="2"/>
  <c r="M243" i="2"/>
  <c r="N243" i="2"/>
  <c r="O243" i="2"/>
  <c r="P243" i="2"/>
  <c r="Q243" i="2"/>
  <c r="R243" i="2"/>
  <c r="S243" i="2"/>
  <c r="T243" i="2"/>
  <c r="U243" i="2"/>
  <c r="V243" i="2"/>
  <c r="W243" i="2"/>
  <c r="X243" i="2"/>
  <c r="Y243" i="2"/>
  <c r="Z243" i="2"/>
  <c r="AA243" i="2"/>
  <c r="AB243" i="2"/>
  <c r="AC243" i="2"/>
  <c r="AD243" i="2"/>
  <c r="AE243" i="2"/>
  <c r="AF243" i="2"/>
  <c r="D244" i="2"/>
  <c r="E244" i="2"/>
  <c r="F244" i="2"/>
  <c r="G244" i="2"/>
  <c r="H244" i="2"/>
  <c r="I244" i="2"/>
  <c r="J244" i="2"/>
  <c r="K244" i="2"/>
  <c r="L244" i="2"/>
  <c r="M244" i="2"/>
  <c r="N244" i="2"/>
  <c r="O244" i="2"/>
  <c r="P244" i="2"/>
  <c r="Q244" i="2"/>
  <c r="R244" i="2"/>
  <c r="S244" i="2"/>
  <c r="T244" i="2"/>
  <c r="U244" i="2"/>
  <c r="V244" i="2"/>
  <c r="W244" i="2"/>
  <c r="X244" i="2"/>
  <c r="Y244" i="2"/>
  <c r="Z244" i="2"/>
  <c r="AA244" i="2"/>
  <c r="AB244" i="2"/>
  <c r="AC244" i="2"/>
  <c r="AD244" i="2"/>
  <c r="AE244" i="2"/>
  <c r="AF244" i="2"/>
  <c r="D248" i="2"/>
  <c r="E248" i="2"/>
  <c r="F248" i="2"/>
  <c r="G248" i="2"/>
  <c r="H248" i="2"/>
  <c r="I248" i="2"/>
  <c r="J248" i="2"/>
  <c r="K248" i="2"/>
  <c r="L248" i="2"/>
  <c r="M248" i="2"/>
  <c r="N248" i="2"/>
  <c r="O248" i="2"/>
  <c r="P248" i="2"/>
  <c r="Q248" i="2"/>
  <c r="R248" i="2"/>
  <c r="S248" i="2"/>
  <c r="T248" i="2"/>
  <c r="U248" i="2"/>
  <c r="V248" i="2"/>
  <c r="W248" i="2"/>
  <c r="X248" i="2"/>
  <c r="Y248" i="2"/>
  <c r="Z248" i="2"/>
  <c r="AA248" i="2"/>
  <c r="AB248" i="2"/>
  <c r="AC248" i="2"/>
  <c r="AD248" i="2"/>
  <c r="AE248" i="2"/>
  <c r="AF248" i="2"/>
  <c r="D249" i="2"/>
  <c r="E249" i="2"/>
  <c r="F249" i="2"/>
  <c r="G249" i="2"/>
  <c r="H249" i="2"/>
  <c r="I249" i="2"/>
  <c r="J249" i="2"/>
  <c r="K249" i="2"/>
  <c r="L249" i="2"/>
  <c r="M249" i="2"/>
  <c r="N249" i="2"/>
  <c r="O249" i="2"/>
  <c r="P249" i="2"/>
  <c r="Q249" i="2"/>
  <c r="R249" i="2"/>
  <c r="S249" i="2"/>
  <c r="T249" i="2"/>
  <c r="U249" i="2"/>
  <c r="V249" i="2"/>
  <c r="W249" i="2"/>
  <c r="X249" i="2"/>
  <c r="Y249" i="2"/>
  <c r="Z249" i="2"/>
  <c r="AA249" i="2"/>
  <c r="AB249" i="2"/>
  <c r="AC249" i="2"/>
  <c r="AD249" i="2"/>
  <c r="AE249" i="2"/>
  <c r="AF249" i="2"/>
  <c r="D250" i="2"/>
  <c r="E250" i="2"/>
  <c r="F250" i="2"/>
  <c r="G250" i="2"/>
  <c r="H250" i="2"/>
  <c r="I250" i="2"/>
  <c r="J250" i="2"/>
  <c r="K250" i="2"/>
  <c r="L250" i="2"/>
  <c r="M250" i="2"/>
  <c r="N250" i="2"/>
  <c r="O250" i="2"/>
  <c r="P250" i="2"/>
  <c r="Q250" i="2"/>
  <c r="R250" i="2"/>
  <c r="S250" i="2"/>
  <c r="T250" i="2"/>
  <c r="U250" i="2"/>
  <c r="V250" i="2"/>
  <c r="W250" i="2"/>
  <c r="X250" i="2"/>
  <c r="Y250" i="2"/>
  <c r="Z250" i="2"/>
  <c r="AA250" i="2"/>
  <c r="AB250" i="2"/>
  <c r="AC250" i="2"/>
  <c r="AD250" i="2"/>
  <c r="AE250" i="2"/>
  <c r="AF250" i="2"/>
  <c r="D251" i="2"/>
  <c r="E251" i="2"/>
  <c r="F251" i="2"/>
  <c r="G251" i="2"/>
  <c r="H251" i="2"/>
  <c r="I251" i="2"/>
  <c r="J251" i="2"/>
  <c r="K251" i="2"/>
  <c r="L251" i="2"/>
  <c r="M251" i="2"/>
  <c r="N251" i="2"/>
  <c r="O251" i="2"/>
  <c r="P251" i="2"/>
  <c r="Q251" i="2"/>
  <c r="R251" i="2"/>
  <c r="S251" i="2"/>
  <c r="T251" i="2"/>
  <c r="U251" i="2"/>
  <c r="V251" i="2"/>
  <c r="W251" i="2"/>
  <c r="X251" i="2"/>
  <c r="Y251" i="2"/>
  <c r="Z251" i="2"/>
  <c r="AA251" i="2"/>
  <c r="AB251" i="2"/>
  <c r="AC251" i="2"/>
  <c r="AD251" i="2"/>
  <c r="AE251" i="2"/>
  <c r="AF251" i="2"/>
  <c r="D252" i="2"/>
  <c r="E252" i="2"/>
  <c r="F252" i="2"/>
  <c r="G252" i="2"/>
  <c r="H252" i="2"/>
  <c r="I252" i="2"/>
  <c r="J252" i="2"/>
  <c r="K252" i="2"/>
  <c r="L252" i="2"/>
  <c r="M252" i="2"/>
  <c r="N252" i="2"/>
  <c r="O252" i="2"/>
  <c r="P252" i="2"/>
  <c r="Q252" i="2"/>
  <c r="R252" i="2"/>
  <c r="S252" i="2"/>
  <c r="T252" i="2"/>
  <c r="U252" i="2"/>
  <c r="V252" i="2"/>
  <c r="W252" i="2"/>
  <c r="X252" i="2"/>
  <c r="Y252" i="2"/>
  <c r="Z252" i="2"/>
  <c r="AA252" i="2"/>
  <c r="AB252" i="2"/>
  <c r="AC252" i="2"/>
  <c r="AD252" i="2"/>
  <c r="AE252" i="2"/>
  <c r="AF252" i="2"/>
  <c r="D253" i="2"/>
  <c r="E253" i="2"/>
  <c r="F253" i="2"/>
  <c r="G253" i="2"/>
  <c r="H253" i="2"/>
  <c r="I253" i="2"/>
  <c r="J253" i="2"/>
  <c r="K253" i="2"/>
  <c r="L253" i="2"/>
  <c r="M253" i="2"/>
  <c r="N253" i="2"/>
  <c r="O253" i="2"/>
  <c r="P253" i="2"/>
  <c r="Q253" i="2"/>
  <c r="R253" i="2"/>
  <c r="S253" i="2"/>
  <c r="T253" i="2"/>
  <c r="U253" i="2"/>
  <c r="V253" i="2"/>
  <c r="W253" i="2"/>
  <c r="X253" i="2"/>
  <c r="Y253" i="2"/>
  <c r="Z253" i="2"/>
  <c r="AA253" i="2"/>
  <c r="AB253" i="2"/>
  <c r="AC253" i="2"/>
  <c r="AD253" i="2"/>
  <c r="AE253" i="2"/>
  <c r="AF253" i="2"/>
  <c r="D254" i="2"/>
  <c r="E254" i="2"/>
  <c r="F254" i="2"/>
  <c r="G254" i="2"/>
  <c r="H254" i="2"/>
  <c r="I254" i="2"/>
  <c r="J254" i="2"/>
  <c r="K254" i="2"/>
  <c r="L254" i="2"/>
  <c r="M254" i="2"/>
  <c r="N254" i="2"/>
  <c r="O254" i="2"/>
  <c r="P254" i="2"/>
  <c r="Q254" i="2"/>
  <c r="R254" i="2"/>
  <c r="S254" i="2"/>
  <c r="T254" i="2"/>
  <c r="U254" i="2"/>
  <c r="V254" i="2"/>
  <c r="W254" i="2"/>
  <c r="X254" i="2"/>
  <c r="Y254" i="2"/>
  <c r="Z254" i="2"/>
  <c r="AA254" i="2"/>
  <c r="AB254" i="2"/>
  <c r="AC254" i="2"/>
  <c r="AD254" i="2"/>
  <c r="AE254" i="2"/>
  <c r="AF254" i="2"/>
  <c r="D258" i="2"/>
  <c r="E258" i="2"/>
  <c r="F258" i="2"/>
  <c r="G258" i="2"/>
  <c r="H258" i="2"/>
  <c r="I258" i="2"/>
  <c r="J258" i="2"/>
  <c r="K258" i="2"/>
  <c r="L258" i="2"/>
  <c r="M258" i="2"/>
  <c r="N258" i="2"/>
  <c r="O258" i="2"/>
  <c r="P258" i="2"/>
  <c r="Q258" i="2"/>
  <c r="R258" i="2"/>
  <c r="S258" i="2"/>
  <c r="T258" i="2"/>
  <c r="U258" i="2"/>
  <c r="V258" i="2"/>
  <c r="W258" i="2"/>
  <c r="X258" i="2"/>
  <c r="Y258" i="2"/>
  <c r="Z258" i="2"/>
  <c r="AA258" i="2"/>
  <c r="AB258" i="2"/>
  <c r="AC258" i="2"/>
  <c r="AD258" i="2"/>
  <c r="AE258" i="2"/>
  <c r="AF258" i="2"/>
  <c r="D259" i="2"/>
  <c r="E259" i="2"/>
  <c r="F259" i="2"/>
  <c r="G259" i="2"/>
  <c r="H259" i="2"/>
  <c r="I259" i="2"/>
  <c r="J259" i="2"/>
  <c r="K259" i="2"/>
  <c r="L259" i="2"/>
  <c r="M259" i="2"/>
  <c r="N259" i="2"/>
  <c r="O259" i="2"/>
  <c r="P259" i="2"/>
  <c r="Q259" i="2"/>
  <c r="R259" i="2"/>
  <c r="S259" i="2"/>
  <c r="T259" i="2"/>
  <c r="U259" i="2"/>
  <c r="V259" i="2"/>
  <c r="W259" i="2"/>
  <c r="X259" i="2"/>
  <c r="Y259" i="2"/>
  <c r="Z259" i="2"/>
  <c r="AA259" i="2"/>
  <c r="AB259" i="2"/>
  <c r="AC259" i="2"/>
  <c r="AD259" i="2"/>
  <c r="AE259" i="2"/>
  <c r="AF259" i="2"/>
  <c r="D260" i="2"/>
  <c r="E260" i="2"/>
  <c r="F260" i="2"/>
  <c r="G260" i="2"/>
  <c r="H260" i="2"/>
  <c r="I260" i="2"/>
  <c r="J260" i="2"/>
  <c r="K260" i="2"/>
  <c r="L260" i="2"/>
  <c r="M260" i="2"/>
  <c r="N260" i="2"/>
  <c r="O260" i="2"/>
  <c r="P260" i="2"/>
  <c r="Q260" i="2"/>
  <c r="R260" i="2"/>
  <c r="S260" i="2"/>
  <c r="T260" i="2"/>
  <c r="U260" i="2"/>
  <c r="V260" i="2"/>
  <c r="W260" i="2"/>
  <c r="X260" i="2"/>
  <c r="Y260" i="2"/>
  <c r="Z260" i="2"/>
  <c r="AA260" i="2"/>
  <c r="AB260" i="2"/>
  <c r="AC260" i="2"/>
  <c r="AD260" i="2"/>
  <c r="AE260" i="2"/>
  <c r="AF260" i="2"/>
  <c r="D261" i="2"/>
  <c r="E261" i="2"/>
  <c r="F261" i="2"/>
  <c r="G261" i="2"/>
  <c r="H261" i="2"/>
  <c r="I261" i="2"/>
  <c r="J261" i="2"/>
  <c r="K261" i="2"/>
  <c r="L261" i="2"/>
  <c r="M261" i="2"/>
  <c r="N261" i="2"/>
  <c r="O261" i="2"/>
  <c r="P261" i="2"/>
  <c r="Q261" i="2"/>
  <c r="R261" i="2"/>
  <c r="S261" i="2"/>
  <c r="T261" i="2"/>
  <c r="U261" i="2"/>
  <c r="V261" i="2"/>
  <c r="W261" i="2"/>
  <c r="X261" i="2"/>
  <c r="Y261" i="2"/>
  <c r="Z261" i="2"/>
  <c r="AA261" i="2"/>
  <c r="AB261" i="2"/>
  <c r="AC261" i="2"/>
  <c r="AD261" i="2"/>
  <c r="AE261" i="2"/>
  <c r="AF261" i="2"/>
  <c r="D262" i="2"/>
  <c r="E262" i="2"/>
  <c r="F262" i="2"/>
  <c r="G262" i="2"/>
  <c r="H262" i="2"/>
  <c r="I262" i="2"/>
  <c r="J262" i="2"/>
  <c r="K262" i="2"/>
  <c r="L262" i="2"/>
  <c r="M262" i="2"/>
  <c r="N262" i="2"/>
  <c r="O262" i="2"/>
  <c r="P262" i="2"/>
  <c r="Q262" i="2"/>
  <c r="R262" i="2"/>
  <c r="S262" i="2"/>
  <c r="T262" i="2"/>
  <c r="U262" i="2"/>
  <c r="V262" i="2"/>
  <c r="W262" i="2"/>
  <c r="X262" i="2"/>
  <c r="Y262" i="2"/>
  <c r="Z262" i="2"/>
  <c r="AA262" i="2"/>
  <c r="AB262" i="2"/>
  <c r="AC262" i="2"/>
  <c r="AD262" i="2"/>
  <c r="AE262" i="2"/>
  <c r="AF262" i="2"/>
  <c r="D263" i="2"/>
  <c r="E263" i="2"/>
  <c r="F263" i="2"/>
  <c r="G263" i="2"/>
  <c r="H263" i="2"/>
  <c r="I263" i="2"/>
  <c r="J263" i="2"/>
  <c r="K263" i="2"/>
  <c r="L263" i="2"/>
  <c r="M263" i="2"/>
  <c r="N263" i="2"/>
  <c r="O263" i="2"/>
  <c r="P263" i="2"/>
  <c r="Q263" i="2"/>
  <c r="R263" i="2"/>
  <c r="S263" i="2"/>
  <c r="T263" i="2"/>
  <c r="U263" i="2"/>
  <c r="V263" i="2"/>
  <c r="W263" i="2"/>
  <c r="X263" i="2"/>
  <c r="Y263" i="2"/>
  <c r="Z263" i="2"/>
  <c r="AA263" i="2"/>
  <c r="AB263" i="2"/>
  <c r="AC263" i="2"/>
  <c r="AD263" i="2"/>
  <c r="AE263" i="2"/>
  <c r="AF263" i="2"/>
  <c r="D264" i="2"/>
  <c r="E264" i="2"/>
  <c r="F264" i="2"/>
  <c r="G264" i="2"/>
  <c r="H264" i="2"/>
  <c r="I264" i="2"/>
  <c r="J264" i="2"/>
  <c r="K264" i="2"/>
  <c r="L264" i="2"/>
  <c r="M264" i="2"/>
  <c r="N264" i="2"/>
  <c r="O264" i="2"/>
  <c r="P264" i="2"/>
  <c r="Q264" i="2"/>
  <c r="R264" i="2"/>
  <c r="S264" i="2"/>
  <c r="T264" i="2"/>
  <c r="U264" i="2"/>
  <c r="V264" i="2"/>
  <c r="W264" i="2"/>
  <c r="X264" i="2"/>
  <c r="Y264" i="2"/>
  <c r="Z264" i="2"/>
  <c r="AA264" i="2"/>
  <c r="AB264" i="2"/>
  <c r="AC264" i="2"/>
  <c r="AD264" i="2"/>
  <c r="AE264" i="2"/>
  <c r="AF264" i="2"/>
  <c r="D268" i="2"/>
  <c r="E268" i="2"/>
  <c r="F268" i="2"/>
  <c r="G268" i="2"/>
  <c r="H268" i="2"/>
  <c r="I268" i="2"/>
  <c r="J268" i="2"/>
  <c r="K268" i="2"/>
  <c r="L268" i="2"/>
  <c r="M268" i="2"/>
  <c r="N268" i="2"/>
  <c r="O268" i="2"/>
  <c r="P268" i="2"/>
  <c r="Q268" i="2"/>
  <c r="R268" i="2"/>
  <c r="S268" i="2"/>
  <c r="T268" i="2"/>
  <c r="U268" i="2"/>
  <c r="V268" i="2"/>
  <c r="W268" i="2"/>
  <c r="X268" i="2"/>
  <c r="Y268" i="2"/>
  <c r="Z268" i="2"/>
  <c r="AA268" i="2"/>
  <c r="AB268" i="2"/>
  <c r="AC268" i="2"/>
  <c r="AD268" i="2"/>
  <c r="AE268" i="2"/>
  <c r="AF268" i="2"/>
  <c r="D269" i="2"/>
  <c r="E269" i="2"/>
  <c r="F269" i="2"/>
  <c r="G269" i="2"/>
  <c r="H269" i="2"/>
  <c r="I269" i="2"/>
  <c r="J269" i="2"/>
  <c r="K269" i="2"/>
  <c r="L269" i="2"/>
  <c r="M269" i="2"/>
  <c r="N269" i="2"/>
  <c r="O269" i="2"/>
  <c r="P269" i="2"/>
  <c r="Q269" i="2"/>
  <c r="R269" i="2"/>
  <c r="S269" i="2"/>
  <c r="T269" i="2"/>
  <c r="U269" i="2"/>
  <c r="V269" i="2"/>
  <c r="W269" i="2"/>
  <c r="X269" i="2"/>
  <c r="Y269" i="2"/>
  <c r="Z269" i="2"/>
  <c r="AA269" i="2"/>
  <c r="AB269" i="2"/>
  <c r="AC269" i="2"/>
  <c r="AD269" i="2"/>
  <c r="AE269" i="2"/>
  <c r="AF269" i="2"/>
  <c r="D270" i="2"/>
  <c r="E270" i="2"/>
  <c r="F270" i="2"/>
  <c r="G270" i="2"/>
  <c r="H270" i="2"/>
  <c r="I270" i="2"/>
  <c r="J270" i="2"/>
  <c r="K270" i="2"/>
  <c r="L270" i="2"/>
  <c r="M270" i="2"/>
  <c r="N270" i="2"/>
  <c r="O270" i="2"/>
  <c r="P270" i="2"/>
  <c r="Q270" i="2"/>
  <c r="R270" i="2"/>
  <c r="S270" i="2"/>
  <c r="T270" i="2"/>
  <c r="U270" i="2"/>
  <c r="V270" i="2"/>
  <c r="W270" i="2"/>
  <c r="X270" i="2"/>
  <c r="Y270" i="2"/>
  <c r="Z270" i="2"/>
  <c r="AA270" i="2"/>
  <c r="AB270" i="2"/>
  <c r="AC270" i="2"/>
  <c r="AD270" i="2"/>
  <c r="AE270" i="2"/>
  <c r="AF270" i="2"/>
  <c r="D271" i="2"/>
  <c r="E271" i="2"/>
  <c r="F271" i="2"/>
  <c r="G271" i="2"/>
  <c r="H271" i="2"/>
  <c r="I271" i="2"/>
  <c r="J271" i="2"/>
  <c r="K271" i="2"/>
  <c r="L271" i="2"/>
  <c r="M271" i="2"/>
  <c r="N271" i="2"/>
  <c r="O271" i="2"/>
  <c r="P271" i="2"/>
  <c r="Q271" i="2"/>
  <c r="R271" i="2"/>
  <c r="S271" i="2"/>
  <c r="T271" i="2"/>
  <c r="U271" i="2"/>
  <c r="V271" i="2"/>
  <c r="W271" i="2"/>
  <c r="X271" i="2"/>
  <c r="Y271" i="2"/>
  <c r="Z271" i="2"/>
  <c r="AA271" i="2"/>
  <c r="AB271" i="2"/>
  <c r="AC271" i="2"/>
  <c r="AD271" i="2"/>
  <c r="AE271" i="2"/>
  <c r="AF271" i="2"/>
  <c r="D272" i="2"/>
  <c r="E272" i="2"/>
  <c r="F272" i="2"/>
  <c r="G272" i="2"/>
  <c r="H272" i="2"/>
  <c r="I272" i="2"/>
  <c r="J272" i="2"/>
  <c r="K272" i="2"/>
  <c r="L272" i="2"/>
  <c r="M272" i="2"/>
  <c r="N272" i="2"/>
  <c r="O272" i="2"/>
  <c r="P272" i="2"/>
  <c r="Q272" i="2"/>
  <c r="R272" i="2"/>
  <c r="S272" i="2"/>
  <c r="T272" i="2"/>
  <c r="U272" i="2"/>
  <c r="V272" i="2"/>
  <c r="W272" i="2"/>
  <c r="X272" i="2"/>
  <c r="Y272" i="2"/>
  <c r="Z272" i="2"/>
  <c r="AA272" i="2"/>
  <c r="AB272" i="2"/>
  <c r="AC272" i="2"/>
  <c r="AD272" i="2"/>
  <c r="AE272" i="2"/>
  <c r="AF272" i="2"/>
  <c r="D273" i="2"/>
  <c r="E273" i="2"/>
  <c r="F273" i="2"/>
  <c r="G273" i="2"/>
  <c r="H273" i="2"/>
  <c r="I273" i="2"/>
  <c r="J273" i="2"/>
  <c r="K273" i="2"/>
  <c r="L273" i="2"/>
  <c r="M273" i="2"/>
  <c r="N273" i="2"/>
  <c r="O273" i="2"/>
  <c r="P273" i="2"/>
  <c r="Q273" i="2"/>
  <c r="R273" i="2"/>
  <c r="S273" i="2"/>
  <c r="T273" i="2"/>
  <c r="U273" i="2"/>
  <c r="V273" i="2"/>
  <c r="W273" i="2"/>
  <c r="X273" i="2"/>
  <c r="Y273" i="2"/>
  <c r="Z273" i="2"/>
  <c r="AA273" i="2"/>
  <c r="AB273" i="2"/>
  <c r="AC273" i="2"/>
  <c r="AD273" i="2"/>
  <c r="AE273" i="2"/>
  <c r="AF273" i="2"/>
  <c r="D274" i="2"/>
  <c r="E274" i="2"/>
  <c r="F274" i="2"/>
  <c r="G274" i="2"/>
  <c r="H274" i="2"/>
  <c r="I274" i="2"/>
  <c r="J274" i="2"/>
  <c r="K274" i="2"/>
  <c r="L274" i="2"/>
  <c r="M274" i="2"/>
  <c r="N274" i="2"/>
  <c r="O274" i="2"/>
  <c r="P274" i="2"/>
  <c r="Q274" i="2"/>
  <c r="R274" i="2"/>
  <c r="S274" i="2"/>
  <c r="T274" i="2"/>
  <c r="U274" i="2"/>
  <c r="V274" i="2"/>
  <c r="W274" i="2"/>
  <c r="X274" i="2"/>
  <c r="Y274" i="2"/>
  <c r="Z274" i="2"/>
  <c r="AA274" i="2"/>
  <c r="AB274" i="2"/>
  <c r="AC274" i="2"/>
  <c r="AD274" i="2"/>
  <c r="AE274" i="2"/>
  <c r="AF274" i="2"/>
  <c r="D278" i="2"/>
  <c r="E278" i="2"/>
  <c r="F278" i="2"/>
  <c r="G278" i="2"/>
  <c r="H278" i="2"/>
  <c r="I278" i="2"/>
  <c r="J278" i="2"/>
  <c r="K278" i="2"/>
  <c r="L278" i="2"/>
  <c r="M278" i="2"/>
  <c r="N278" i="2"/>
  <c r="O278" i="2"/>
  <c r="P278" i="2"/>
  <c r="Q278" i="2"/>
  <c r="R278" i="2"/>
  <c r="S278" i="2"/>
  <c r="T278" i="2"/>
  <c r="U278" i="2"/>
  <c r="V278" i="2"/>
  <c r="W278" i="2"/>
  <c r="X278" i="2"/>
  <c r="Y278" i="2"/>
  <c r="Z278" i="2"/>
  <c r="AA278" i="2"/>
  <c r="AB278" i="2"/>
  <c r="AC278" i="2"/>
  <c r="AD278" i="2"/>
  <c r="AE278" i="2"/>
  <c r="AF278" i="2"/>
  <c r="D279" i="2"/>
  <c r="E279" i="2"/>
  <c r="F279" i="2"/>
  <c r="G279" i="2"/>
  <c r="H279" i="2"/>
  <c r="I279" i="2"/>
  <c r="J279" i="2"/>
  <c r="K279" i="2"/>
  <c r="L279" i="2"/>
  <c r="M279" i="2"/>
  <c r="N279" i="2"/>
  <c r="O279" i="2"/>
  <c r="P279" i="2"/>
  <c r="Q279" i="2"/>
  <c r="R279" i="2"/>
  <c r="S279" i="2"/>
  <c r="T279" i="2"/>
  <c r="U279" i="2"/>
  <c r="V279" i="2"/>
  <c r="W279" i="2"/>
  <c r="X279" i="2"/>
  <c r="Y279" i="2"/>
  <c r="Z279" i="2"/>
  <c r="AA279" i="2"/>
  <c r="AB279" i="2"/>
  <c r="AC279" i="2"/>
  <c r="AD279" i="2"/>
  <c r="AE279" i="2"/>
  <c r="AF279" i="2"/>
  <c r="D280" i="2"/>
  <c r="E280" i="2"/>
  <c r="F280" i="2"/>
  <c r="G280" i="2"/>
  <c r="H280" i="2"/>
  <c r="I280" i="2"/>
  <c r="J280" i="2"/>
  <c r="K280" i="2"/>
  <c r="L280" i="2"/>
  <c r="M280" i="2"/>
  <c r="N280" i="2"/>
  <c r="O280" i="2"/>
  <c r="P280" i="2"/>
  <c r="Q280" i="2"/>
  <c r="R280" i="2"/>
  <c r="S280" i="2"/>
  <c r="T280" i="2"/>
  <c r="U280" i="2"/>
  <c r="V280" i="2"/>
  <c r="W280" i="2"/>
  <c r="X280" i="2"/>
  <c r="Y280" i="2"/>
  <c r="Z280" i="2"/>
  <c r="AA280" i="2"/>
  <c r="AB280" i="2"/>
  <c r="AC280" i="2"/>
  <c r="AD280" i="2"/>
  <c r="AE280" i="2"/>
  <c r="AF280" i="2"/>
  <c r="D281" i="2"/>
  <c r="E281" i="2"/>
  <c r="F281" i="2"/>
  <c r="G281" i="2"/>
  <c r="H281" i="2"/>
  <c r="I281" i="2"/>
  <c r="J281" i="2"/>
  <c r="K281" i="2"/>
  <c r="L281" i="2"/>
  <c r="M281" i="2"/>
  <c r="N281" i="2"/>
  <c r="O281" i="2"/>
  <c r="P281" i="2"/>
  <c r="Q281" i="2"/>
  <c r="R281" i="2"/>
  <c r="S281" i="2"/>
  <c r="T281" i="2"/>
  <c r="U281" i="2"/>
  <c r="V281" i="2"/>
  <c r="W281" i="2"/>
  <c r="X281" i="2"/>
  <c r="Y281" i="2"/>
  <c r="Z281" i="2"/>
  <c r="AA281" i="2"/>
  <c r="AB281" i="2"/>
  <c r="AC281" i="2"/>
  <c r="AD281" i="2"/>
  <c r="AE281" i="2"/>
  <c r="AF281" i="2"/>
  <c r="D282" i="2"/>
  <c r="E282" i="2"/>
  <c r="F282" i="2"/>
  <c r="G282" i="2"/>
  <c r="H282" i="2"/>
  <c r="I282" i="2"/>
  <c r="J282" i="2"/>
  <c r="K282" i="2"/>
  <c r="L282" i="2"/>
  <c r="M282" i="2"/>
  <c r="N282" i="2"/>
  <c r="O282" i="2"/>
  <c r="P282" i="2"/>
  <c r="Q282" i="2"/>
  <c r="R282" i="2"/>
  <c r="S282" i="2"/>
  <c r="T282" i="2"/>
  <c r="U282" i="2"/>
  <c r="V282" i="2"/>
  <c r="W282" i="2"/>
  <c r="X282" i="2"/>
  <c r="Y282" i="2"/>
  <c r="Z282" i="2"/>
  <c r="AA282" i="2"/>
  <c r="AB282" i="2"/>
  <c r="AC282" i="2"/>
  <c r="AD282" i="2"/>
  <c r="AE282" i="2"/>
  <c r="AF282" i="2"/>
  <c r="D283" i="2"/>
  <c r="E283" i="2"/>
  <c r="F283" i="2"/>
  <c r="G283" i="2"/>
  <c r="H283" i="2"/>
  <c r="I283" i="2"/>
  <c r="J283" i="2"/>
  <c r="K283" i="2"/>
  <c r="L283" i="2"/>
  <c r="M283" i="2"/>
  <c r="N283" i="2"/>
  <c r="O283" i="2"/>
  <c r="P283" i="2"/>
  <c r="Q283" i="2"/>
  <c r="R283" i="2"/>
  <c r="S283" i="2"/>
  <c r="T283" i="2"/>
  <c r="U283" i="2"/>
  <c r="V283" i="2"/>
  <c r="W283" i="2"/>
  <c r="X283" i="2"/>
  <c r="Y283" i="2"/>
  <c r="Z283" i="2"/>
  <c r="AA283" i="2"/>
  <c r="AB283" i="2"/>
  <c r="AC283" i="2"/>
  <c r="AD283" i="2"/>
  <c r="AE283" i="2"/>
  <c r="AF283" i="2"/>
  <c r="D284" i="2"/>
  <c r="E284" i="2"/>
  <c r="F284" i="2"/>
  <c r="G284" i="2"/>
  <c r="H284" i="2"/>
  <c r="I284" i="2"/>
  <c r="J284" i="2"/>
  <c r="K284" i="2"/>
  <c r="L284" i="2"/>
  <c r="M284" i="2"/>
  <c r="N284" i="2"/>
  <c r="O284" i="2"/>
  <c r="P284" i="2"/>
  <c r="Q284" i="2"/>
  <c r="R284" i="2"/>
  <c r="S284" i="2"/>
  <c r="T284" i="2"/>
  <c r="U284" i="2"/>
  <c r="V284" i="2"/>
  <c r="W284" i="2"/>
  <c r="X284" i="2"/>
  <c r="Y284" i="2"/>
  <c r="Z284" i="2"/>
  <c r="AA284" i="2"/>
  <c r="AB284" i="2"/>
  <c r="AC284" i="2"/>
  <c r="AD284" i="2"/>
  <c r="AE284" i="2"/>
  <c r="AF284" i="2"/>
  <c r="D288" i="2"/>
  <c r="E288" i="2"/>
  <c r="F288" i="2"/>
  <c r="G288" i="2"/>
  <c r="H288" i="2"/>
  <c r="I288" i="2"/>
  <c r="J288" i="2"/>
  <c r="K288" i="2"/>
  <c r="L288" i="2"/>
  <c r="M288" i="2"/>
  <c r="N288" i="2"/>
  <c r="O288" i="2"/>
  <c r="P288" i="2"/>
  <c r="Q288" i="2"/>
  <c r="R288" i="2"/>
  <c r="S288" i="2"/>
  <c r="T288" i="2"/>
  <c r="U288" i="2"/>
  <c r="V288" i="2"/>
  <c r="W288" i="2"/>
  <c r="X288" i="2"/>
  <c r="Y288" i="2"/>
  <c r="Z288" i="2"/>
  <c r="AA288" i="2"/>
  <c r="AB288" i="2"/>
  <c r="AC288" i="2"/>
  <c r="AD288" i="2"/>
  <c r="AE288" i="2"/>
  <c r="AF288" i="2"/>
  <c r="D289" i="2"/>
  <c r="E289" i="2"/>
  <c r="F289" i="2"/>
  <c r="G289" i="2"/>
  <c r="H289" i="2"/>
  <c r="I289" i="2"/>
  <c r="J289" i="2"/>
  <c r="K289" i="2"/>
  <c r="L289" i="2"/>
  <c r="M289" i="2"/>
  <c r="N289" i="2"/>
  <c r="O289" i="2"/>
  <c r="P289" i="2"/>
  <c r="Q289" i="2"/>
  <c r="R289" i="2"/>
  <c r="S289" i="2"/>
  <c r="T289" i="2"/>
  <c r="U289" i="2"/>
  <c r="V289" i="2"/>
  <c r="W289" i="2"/>
  <c r="X289" i="2"/>
  <c r="Y289" i="2"/>
  <c r="Z289" i="2"/>
  <c r="AA289" i="2"/>
  <c r="AB289" i="2"/>
  <c r="AC289" i="2"/>
  <c r="AD289" i="2"/>
  <c r="AE289" i="2"/>
  <c r="AF289" i="2"/>
  <c r="D290" i="2"/>
  <c r="E290" i="2"/>
  <c r="F290" i="2"/>
  <c r="G290" i="2"/>
  <c r="H290" i="2"/>
  <c r="I290" i="2"/>
  <c r="J290" i="2"/>
  <c r="K290" i="2"/>
  <c r="L290" i="2"/>
  <c r="M290" i="2"/>
  <c r="N290" i="2"/>
  <c r="O290" i="2"/>
  <c r="P290" i="2"/>
  <c r="Q290" i="2"/>
  <c r="R290" i="2"/>
  <c r="S290" i="2"/>
  <c r="T290" i="2"/>
  <c r="U290" i="2"/>
  <c r="V290" i="2"/>
  <c r="W290" i="2"/>
  <c r="X290" i="2"/>
  <c r="Y290" i="2"/>
  <c r="Z290" i="2"/>
  <c r="AA290" i="2"/>
  <c r="AB290" i="2"/>
  <c r="AC290" i="2"/>
  <c r="AD290" i="2"/>
  <c r="AE290" i="2"/>
  <c r="AF290" i="2"/>
  <c r="D291" i="2"/>
  <c r="E291" i="2"/>
  <c r="F291" i="2"/>
  <c r="G291" i="2"/>
  <c r="H291" i="2"/>
  <c r="I291" i="2"/>
  <c r="J291" i="2"/>
  <c r="K291" i="2"/>
  <c r="L291" i="2"/>
  <c r="M291" i="2"/>
  <c r="N291" i="2"/>
  <c r="O291" i="2"/>
  <c r="P291" i="2"/>
  <c r="Q291" i="2"/>
  <c r="R291" i="2"/>
  <c r="S291" i="2"/>
  <c r="T291" i="2"/>
  <c r="U291" i="2"/>
  <c r="V291" i="2"/>
  <c r="W291" i="2"/>
  <c r="X291" i="2"/>
  <c r="Y291" i="2"/>
  <c r="Z291" i="2"/>
  <c r="AA291" i="2"/>
  <c r="AB291" i="2"/>
  <c r="AC291" i="2"/>
  <c r="AD291" i="2"/>
  <c r="AE291" i="2"/>
  <c r="AF291" i="2"/>
  <c r="D292" i="2"/>
  <c r="E292" i="2"/>
  <c r="F292" i="2"/>
  <c r="G292" i="2"/>
  <c r="H292" i="2"/>
  <c r="I292" i="2"/>
  <c r="J292" i="2"/>
  <c r="K292" i="2"/>
  <c r="L292" i="2"/>
  <c r="M292" i="2"/>
  <c r="N292" i="2"/>
  <c r="O292" i="2"/>
  <c r="P292" i="2"/>
  <c r="Q292" i="2"/>
  <c r="R292" i="2"/>
  <c r="S292" i="2"/>
  <c r="T292" i="2"/>
  <c r="U292" i="2"/>
  <c r="V292" i="2"/>
  <c r="W292" i="2"/>
  <c r="X292" i="2"/>
  <c r="Y292" i="2"/>
  <c r="Z292" i="2"/>
  <c r="AA292" i="2"/>
  <c r="AB292" i="2"/>
  <c r="AC292" i="2"/>
  <c r="AD292" i="2"/>
  <c r="AE292" i="2"/>
  <c r="AF292" i="2"/>
  <c r="D293" i="2"/>
  <c r="E293" i="2"/>
  <c r="F293" i="2"/>
  <c r="G293" i="2"/>
  <c r="H293" i="2"/>
  <c r="I293" i="2"/>
  <c r="J293" i="2"/>
  <c r="K293" i="2"/>
  <c r="L293" i="2"/>
  <c r="M293" i="2"/>
  <c r="N293" i="2"/>
  <c r="O293" i="2"/>
  <c r="P293" i="2"/>
  <c r="Q293" i="2"/>
  <c r="R293" i="2"/>
  <c r="S293" i="2"/>
  <c r="T293" i="2"/>
  <c r="U293" i="2"/>
  <c r="V293" i="2"/>
  <c r="W293" i="2"/>
  <c r="X293" i="2"/>
  <c r="Y293" i="2"/>
  <c r="Z293" i="2"/>
  <c r="AA293" i="2"/>
  <c r="AB293" i="2"/>
  <c r="AC293" i="2"/>
  <c r="AD293" i="2"/>
  <c r="AE293" i="2"/>
  <c r="AF293" i="2"/>
  <c r="D294" i="2"/>
  <c r="E294" i="2"/>
  <c r="F294" i="2"/>
  <c r="G294" i="2"/>
  <c r="H294" i="2"/>
  <c r="I294" i="2"/>
  <c r="J294" i="2"/>
  <c r="K294" i="2"/>
  <c r="L294" i="2"/>
  <c r="M294" i="2"/>
  <c r="N294" i="2"/>
  <c r="O294" i="2"/>
  <c r="P294" i="2"/>
  <c r="Q294" i="2"/>
  <c r="R294" i="2"/>
  <c r="S294" i="2"/>
  <c r="T294" i="2"/>
  <c r="U294" i="2"/>
  <c r="V294" i="2"/>
  <c r="W294" i="2"/>
  <c r="X294" i="2"/>
  <c r="Y294" i="2"/>
  <c r="Z294" i="2"/>
  <c r="AA294" i="2"/>
  <c r="AB294" i="2"/>
  <c r="AC294" i="2"/>
  <c r="AD294" i="2"/>
  <c r="AE294" i="2"/>
  <c r="AF294" i="2"/>
  <c r="D300" i="2"/>
  <c r="E300" i="2"/>
  <c r="F300" i="2"/>
  <c r="G300" i="2"/>
  <c r="H300" i="2"/>
  <c r="I300" i="2"/>
  <c r="J300" i="2"/>
  <c r="K300" i="2"/>
  <c r="L300" i="2"/>
  <c r="M300" i="2"/>
  <c r="N300" i="2"/>
  <c r="O300" i="2"/>
  <c r="P300" i="2"/>
  <c r="Q300" i="2"/>
  <c r="R300" i="2"/>
  <c r="S300" i="2"/>
  <c r="T300" i="2"/>
  <c r="U300" i="2"/>
  <c r="V300" i="2"/>
  <c r="W300" i="2"/>
  <c r="X300" i="2"/>
  <c r="Y300" i="2"/>
  <c r="Z300" i="2"/>
  <c r="AA300" i="2"/>
  <c r="AB300" i="2"/>
  <c r="AC300" i="2"/>
  <c r="AD300" i="2"/>
  <c r="AE300" i="2"/>
  <c r="AF300" i="2"/>
  <c r="D301" i="2"/>
  <c r="E301" i="2"/>
  <c r="F301" i="2"/>
  <c r="G301" i="2"/>
  <c r="H301" i="2"/>
  <c r="I301" i="2"/>
  <c r="J301" i="2"/>
  <c r="K301" i="2"/>
  <c r="L301" i="2"/>
  <c r="M301" i="2"/>
  <c r="N301" i="2"/>
  <c r="O301" i="2"/>
  <c r="P301" i="2"/>
  <c r="Q301" i="2"/>
  <c r="R301" i="2"/>
  <c r="S301" i="2"/>
  <c r="T301" i="2"/>
  <c r="U301" i="2"/>
  <c r="V301" i="2"/>
  <c r="W301" i="2"/>
  <c r="X301" i="2"/>
  <c r="Y301" i="2"/>
  <c r="Z301" i="2"/>
  <c r="AA301" i="2"/>
  <c r="AB301" i="2"/>
  <c r="AC301" i="2"/>
  <c r="AD301" i="2"/>
  <c r="AE301" i="2"/>
  <c r="AF301" i="2"/>
  <c r="D302" i="2"/>
  <c r="E302" i="2"/>
  <c r="F302" i="2"/>
  <c r="G302" i="2"/>
  <c r="H302" i="2"/>
  <c r="I302" i="2"/>
  <c r="J302" i="2"/>
  <c r="K302" i="2"/>
  <c r="L302" i="2"/>
  <c r="M302" i="2"/>
  <c r="N302" i="2"/>
  <c r="O302" i="2"/>
  <c r="P302" i="2"/>
  <c r="Q302" i="2"/>
  <c r="R302" i="2"/>
  <c r="S302" i="2"/>
  <c r="T302" i="2"/>
  <c r="U302" i="2"/>
  <c r="V302" i="2"/>
  <c r="W302" i="2"/>
  <c r="X302" i="2"/>
  <c r="Y302" i="2"/>
  <c r="Z302" i="2"/>
  <c r="AA302" i="2"/>
  <c r="AB302" i="2"/>
  <c r="AC302" i="2"/>
  <c r="AD302" i="2"/>
  <c r="AE302" i="2"/>
  <c r="AF302" i="2"/>
  <c r="D303" i="2"/>
  <c r="E303" i="2"/>
  <c r="F303" i="2"/>
  <c r="G303" i="2"/>
  <c r="H303" i="2"/>
  <c r="I303" i="2"/>
  <c r="J303" i="2"/>
  <c r="K303" i="2"/>
  <c r="L303" i="2"/>
  <c r="M303" i="2"/>
  <c r="N303" i="2"/>
  <c r="O303" i="2"/>
  <c r="P303" i="2"/>
  <c r="Q303" i="2"/>
  <c r="R303" i="2"/>
  <c r="S303" i="2"/>
  <c r="T303" i="2"/>
  <c r="U303" i="2"/>
  <c r="V303" i="2"/>
  <c r="W303" i="2"/>
  <c r="X303" i="2"/>
  <c r="Y303" i="2"/>
  <c r="Z303" i="2"/>
  <c r="AA303" i="2"/>
  <c r="AB303" i="2"/>
  <c r="AC303" i="2"/>
  <c r="AD303" i="2"/>
  <c r="AE303" i="2"/>
  <c r="AF303" i="2"/>
  <c r="D304" i="2"/>
  <c r="E304" i="2"/>
  <c r="F304" i="2"/>
  <c r="G304" i="2"/>
  <c r="H304" i="2"/>
  <c r="I304" i="2"/>
  <c r="J304" i="2"/>
  <c r="K304" i="2"/>
  <c r="L304" i="2"/>
  <c r="M304" i="2"/>
  <c r="N304" i="2"/>
  <c r="O304" i="2"/>
  <c r="P304" i="2"/>
  <c r="Q304" i="2"/>
  <c r="R304" i="2"/>
  <c r="S304" i="2"/>
  <c r="T304" i="2"/>
  <c r="U304" i="2"/>
  <c r="V304" i="2"/>
  <c r="W304" i="2"/>
  <c r="X304" i="2"/>
  <c r="Y304" i="2"/>
  <c r="Z304" i="2"/>
  <c r="AA304" i="2"/>
  <c r="AB304" i="2"/>
  <c r="AC304" i="2"/>
  <c r="AD304" i="2"/>
  <c r="AE304" i="2"/>
  <c r="AF304" i="2"/>
  <c r="D305" i="2"/>
  <c r="E305" i="2"/>
  <c r="F305" i="2"/>
  <c r="G305" i="2"/>
  <c r="H305" i="2"/>
  <c r="I305" i="2"/>
  <c r="J305" i="2"/>
  <c r="K305" i="2"/>
  <c r="L305" i="2"/>
  <c r="M305" i="2"/>
  <c r="N305" i="2"/>
  <c r="O305" i="2"/>
  <c r="P305" i="2"/>
  <c r="Q305" i="2"/>
  <c r="R305" i="2"/>
  <c r="S305" i="2"/>
  <c r="T305" i="2"/>
  <c r="U305" i="2"/>
  <c r="V305" i="2"/>
  <c r="W305" i="2"/>
  <c r="X305" i="2"/>
  <c r="Y305" i="2"/>
  <c r="Z305" i="2"/>
  <c r="AA305" i="2"/>
  <c r="AB305" i="2"/>
  <c r="AC305" i="2"/>
  <c r="AD305" i="2"/>
  <c r="AE305" i="2"/>
  <c r="AF305" i="2"/>
  <c r="D306" i="2"/>
  <c r="E306" i="2"/>
  <c r="F306" i="2"/>
  <c r="G306" i="2"/>
  <c r="H306" i="2"/>
  <c r="I306" i="2"/>
  <c r="J306" i="2"/>
  <c r="K306" i="2"/>
  <c r="L306" i="2"/>
  <c r="M306" i="2"/>
  <c r="N306" i="2"/>
  <c r="O306" i="2"/>
  <c r="P306" i="2"/>
  <c r="Q306" i="2"/>
  <c r="R306" i="2"/>
  <c r="S306" i="2"/>
  <c r="T306" i="2"/>
  <c r="U306" i="2"/>
  <c r="V306" i="2"/>
  <c r="W306" i="2"/>
  <c r="X306" i="2"/>
  <c r="Y306" i="2"/>
  <c r="Z306" i="2"/>
  <c r="AA306" i="2"/>
  <c r="AB306" i="2"/>
  <c r="AC306" i="2"/>
  <c r="AD306" i="2"/>
  <c r="AE306" i="2"/>
  <c r="AF306" i="2"/>
  <c r="C306" i="2"/>
  <c r="C305" i="2"/>
  <c r="C304" i="2"/>
  <c r="C303" i="2"/>
  <c r="C302" i="2"/>
  <c r="C301" i="2"/>
  <c r="C300" i="2"/>
  <c r="C294" i="2"/>
  <c r="C293" i="2"/>
  <c r="C292" i="2"/>
  <c r="C291" i="2"/>
  <c r="C290" i="2"/>
  <c r="C289" i="2"/>
  <c r="C288" i="2"/>
  <c r="C284" i="2"/>
  <c r="C283" i="2"/>
  <c r="C282" i="2"/>
  <c r="C281" i="2"/>
  <c r="C280" i="2"/>
  <c r="C279" i="2"/>
  <c r="C278" i="2"/>
  <c r="C274" i="2"/>
  <c r="C273" i="2"/>
  <c r="C272" i="2"/>
  <c r="C271" i="2"/>
  <c r="C270" i="2"/>
  <c r="C269" i="2"/>
  <c r="C268" i="2"/>
  <c r="C264" i="2"/>
  <c r="C263" i="2"/>
  <c r="C262" i="2"/>
  <c r="C261" i="2"/>
  <c r="C260" i="2"/>
  <c r="C259" i="2"/>
  <c r="C258" i="2"/>
  <c r="C254" i="2"/>
  <c r="C253" i="2"/>
  <c r="C252" i="2"/>
  <c r="C251" i="2"/>
  <c r="C250" i="2"/>
  <c r="C249" i="2"/>
  <c r="C248" i="2"/>
  <c r="C244" i="2"/>
  <c r="C243" i="2"/>
  <c r="C242" i="2"/>
  <c r="C241" i="2"/>
  <c r="C240" i="2"/>
  <c r="C239" i="2"/>
  <c r="C238" i="2"/>
  <c r="C234" i="2"/>
  <c r="C233" i="2"/>
  <c r="C232" i="2"/>
  <c r="C231" i="2"/>
  <c r="C230" i="2"/>
  <c r="C229" i="2"/>
  <c r="C228" i="2"/>
  <c r="C224" i="2"/>
  <c r="C223" i="2"/>
  <c r="C222" i="2"/>
  <c r="C221" i="2"/>
  <c r="C220" i="2"/>
  <c r="C219" i="2"/>
  <c r="C218" i="2"/>
  <c r="C214" i="2"/>
  <c r="C213" i="2"/>
  <c r="C212" i="2"/>
  <c r="C211" i="2"/>
  <c r="C210" i="2"/>
  <c r="C209" i="2"/>
  <c r="C208" i="2"/>
  <c r="C204" i="2"/>
  <c r="C203" i="2"/>
  <c r="C202" i="2"/>
  <c r="C201" i="2"/>
  <c r="C200" i="2"/>
  <c r="C199" i="2"/>
  <c r="C198" i="2"/>
  <c r="C194" i="2"/>
  <c r="C193" i="2"/>
  <c r="C192" i="2"/>
  <c r="C191" i="2"/>
  <c r="C190" i="2"/>
  <c r="C189" i="2"/>
  <c r="C188" i="2"/>
  <c r="C184" i="2"/>
  <c r="C183" i="2"/>
  <c r="C182" i="2"/>
  <c r="C181" i="2"/>
  <c r="C180" i="2"/>
  <c r="C179" i="2"/>
  <c r="C178" i="2"/>
  <c r="C174" i="2"/>
  <c r="C173" i="2"/>
  <c r="C172" i="2"/>
  <c r="C171" i="2"/>
  <c r="C170" i="2"/>
  <c r="C169" i="2"/>
  <c r="C168" i="2"/>
  <c r="D114" i="2"/>
  <c r="E114" i="2"/>
  <c r="F114" i="2"/>
  <c r="G114" i="2"/>
  <c r="H114" i="2"/>
  <c r="I114" i="2"/>
  <c r="J114" i="2"/>
  <c r="K114" i="2"/>
  <c r="L114" i="2"/>
  <c r="M114" i="2"/>
  <c r="N114" i="2"/>
  <c r="O114" i="2"/>
  <c r="P114" i="2"/>
  <c r="Q114" i="2"/>
  <c r="R114" i="2"/>
  <c r="S114" i="2"/>
  <c r="T114" i="2"/>
  <c r="U114" i="2"/>
  <c r="V114" i="2"/>
  <c r="W114" i="2"/>
  <c r="X114" i="2"/>
  <c r="Y114" i="2"/>
  <c r="Z114" i="2"/>
  <c r="AA114" i="2"/>
  <c r="AB114" i="2"/>
  <c r="AC114" i="2"/>
  <c r="AD114" i="2"/>
  <c r="AE114" i="2"/>
  <c r="AF114" i="2"/>
  <c r="AG114" i="2"/>
  <c r="D110" i="2"/>
  <c r="E110" i="2"/>
  <c r="F110" i="2"/>
  <c r="G110" i="2"/>
  <c r="H110" i="2"/>
  <c r="I110" i="2"/>
  <c r="J110" i="2"/>
  <c r="K110" i="2"/>
  <c r="L110" i="2"/>
  <c r="M110" i="2"/>
  <c r="N110" i="2"/>
  <c r="O110" i="2"/>
  <c r="P110" i="2"/>
  <c r="Q110" i="2"/>
  <c r="R110" i="2"/>
  <c r="S110" i="2"/>
  <c r="T110" i="2"/>
  <c r="U110" i="2"/>
  <c r="V110" i="2"/>
  <c r="W110" i="2"/>
  <c r="X110" i="2"/>
  <c r="Y110" i="2"/>
  <c r="Z110" i="2"/>
  <c r="AA110" i="2"/>
  <c r="AB110" i="2"/>
  <c r="AC110" i="2"/>
  <c r="AD110" i="2"/>
  <c r="AE110" i="2"/>
  <c r="AF110" i="2"/>
  <c r="AG110" i="2"/>
  <c r="C114" i="2"/>
  <c r="C110" i="2"/>
  <c r="D101" i="2"/>
  <c r="E101" i="2"/>
  <c r="F101" i="2"/>
  <c r="G101" i="2"/>
  <c r="H101" i="2"/>
  <c r="I101" i="2"/>
  <c r="J101" i="2"/>
  <c r="K101" i="2"/>
  <c r="L101" i="2"/>
  <c r="M101" i="2"/>
  <c r="N101" i="2"/>
  <c r="O101" i="2"/>
  <c r="P101" i="2"/>
  <c r="Q101" i="2"/>
  <c r="R101" i="2"/>
  <c r="S101" i="2"/>
  <c r="T101" i="2"/>
  <c r="U101" i="2"/>
  <c r="V101" i="2"/>
  <c r="W101" i="2"/>
  <c r="X101" i="2"/>
  <c r="Y101" i="2"/>
  <c r="Z101" i="2"/>
  <c r="AA101" i="2"/>
  <c r="AB101" i="2"/>
  <c r="AC101" i="2"/>
  <c r="AD101" i="2"/>
  <c r="AE101" i="2"/>
  <c r="AF101" i="2"/>
  <c r="AG101" i="2"/>
  <c r="D106" i="2"/>
  <c r="E106" i="2"/>
  <c r="F106" i="2"/>
  <c r="G106" i="2"/>
  <c r="H106" i="2"/>
  <c r="I106" i="2"/>
  <c r="J106" i="2"/>
  <c r="K106" i="2"/>
  <c r="L106" i="2"/>
  <c r="M106" i="2"/>
  <c r="N106" i="2"/>
  <c r="O106" i="2"/>
  <c r="P106" i="2"/>
  <c r="Q106" i="2"/>
  <c r="R106" i="2"/>
  <c r="S106" i="2"/>
  <c r="T106" i="2"/>
  <c r="U106" i="2"/>
  <c r="V106" i="2"/>
  <c r="W106" i="2"/>
  <c r="X106" i="2"/>
  <c r="Y106" i="2"/>
  <c r="Z106" i="2"/>
  <c r="AA106" i="2"/>
  <c r="AB106" i="2"/>
  <c r="AC106" i="2"/>
  <c r="AD106" i="2"/>
  <c r="AE106" i="2"/>
  <c r="AF106" i="2"/>
  <c r="AG106" i="2"/>
  <c r="D107" i="2"/>
  <c r="E107" i="2"/>
  <c r="F107" i="2"/>
  <c r="G107" i="2"/>
  <c r="H107" i="2"/>
  <c r="I107" i="2"/>
  <c r="J107" i="2"/>
  <c r="K107" i="2"/>
  <c r="L107" i="2"/>
  <c r="M107" i="2"/>
  <c r="N107" i="2"/>
  <c r="O107" i="2"/>
  <c r="P107" i="2"/>
  <c r="Q107" i="2"/>
  <c r="R107" i="2"/>
  <c r="S107" i="2"/>
  <c r="T107" i="2"/>
  <c r="U107" i="2"/>
  <c r="V107" i="2"/>
  <c r="W107" i="2"/>
  <c r="X107" i="2"/>
  <c r="Y107" i="2"/>
  <c r="Z107" i="2"/>
  <c r="AA107" i="2"/>
  <c r="AB107" i="2"/>
  <c r="AC107" i="2"/>
  <c r="AD107" i="2"/>
  <c r="AE107" i="2"/>
  <c r="AF107" i="2"/>
  <c r="AG107" i="2"/>
  <c r="C107" i="2"/>
  <c r="C106" i="2"/>
  <c r="C101" i="2"/>
  <c r="D94" i="2"/>
  <c r="E94" i="2"/>
  <c r="F94" i="2"/>
  <c r="G94" i="2"/>
  <c r="H94" i="2"/>
  <c r="I94" i="2"/>
  <c r="J94" i="2"/>
  <c r="K94" i="2"/>
  <c r="L94" i="2"/>
  <c r="M94" i="2"/>
  <c r="N94" i="2"/>
  <c r="O94" i="2"/>
  <c r="P94" i="2"/>
  <c r="Q94" i="2"/>
  <c r="R94" i="2"/>
  <c r="S94" i="2"/>
  <c r="T94" i="2"/>
  <c r="U94" i="2"/>
  <c r="V94" i="2"/>
  <c r="W94" i="2"/>
  <c r="X94" i="2"/>
  <c r="Y94" i="2"/>
  <c r="Z94" i="2"/>
  <c r="AA94" i="2"/>
  <c r="AB94" i="2"/>
  <c r="AC94" i="2"/>
  <c r="AD94" i="2"/>
  <c r="AE94" i="2"/>
  <c r="AF94" i="2"/>
  <c r="AG94" i="2"/>
  <c r="D95" i="2"/>
  <c r="E95" i="2"/>
  <c r="F95" i="2"/>
  <c r="G95" i="2"/>
  <c r="H95" i="2"/>
  <c r="I95" i="2"/>
  <c r="J95" i="2"/>
  <c r="K95" i="2"/>
  <c r="L95" i="2"/>
  <c r="M95" i="2"/>
  <c r="N95" i="2"/>
  <c r="O95" i="2"/>
  <c r="P95" i="2"/>
  <c r="Q95" i="2"/>
  <c r="R95" i="2"/>
  <c r="S95" i="2"/>
  <c r="T95" i="2"/>
  <c r="U95" i="2"/>
  <c r="V95" i="2"/>
  <c r="W95" i="2"/>
  <c r="X95" i="2"/>
  <c r="Y95" i="2"/>
  <c r="Z95" i="2"/>
  <c r="AA95" i="2"/>
  <c r="AB95" i="2"/>
  <c r="AC95" i="2"/>
  <c r="AD95" i="2"/>
  <c r="AE95" i="2"/>
  <c r="AF95" i="2"/>
  <c r="AG95" i="2"/>
  <c r="D96" i="2"/>
  <c r="E96" i="2"/>
  <c r="F96" i="2"/>
  <c r="G96" i="2"/>
  <c r="H96" i="2"/>
  <c r="I96" i="2"/>
  <c r="J96" i="2"/>
  <c r="K96" i="2"/>
  <c r="L96" i="2"/>
  <c r="M96" i="2"/>
  <c r="N96" i="2"/>
  <c r="O96" i="2"/>
  <c r="P96" i="2"/>
  <c r="Q96" i="2"/>
  <c r="R96" i="2"/>
  <c r="S96" i="2"/>
  <c r="T96" i="2"/>
  <c r="U96" i="2"/>
  <c r="V96" i="2"/>
  <c r="W96" i="2"/>
  <c r="X96" i="2"/>
  <c r="Y96" i="2"/>
  <c r="Z96" i="2"/>
  <c r="AA96" i="2"/>
  <c r="AB96" i="2"/>
  <c r="AC96" i="2"/>
  <c r="AD96" i="2"/>
  <c r="AE96" i="2"/>
  <c r="AF96" i="2"/>
  <c r="AG96" i="2"/>
  <c r="D97" i="2"/>
  <c r="E97" i="2"/>
  <c r="F97" i="2"/>
  <c r="G97" i="2"/>
  <c r="H97" i="2"/>
  <c r="I97" i="2"/>
  <c r="J97" i="2"/>
  <c r="K97" i="2"/>
  <c r="L97" i="2"/>
  <c r="M97" i="2"/>
  <c r="N97" i="2"/>
  <c r="O97" i="2"/>
  <c r="P97" i="2"/>
  <c r="Q97" i="2"/>
  <c r="R97" i="2"/>
  <c r="S97" i="2"/>
  <c r="T97" i="2"/>
  <c r="U97" i="2"/>
  <c r="V97" i="2"/>
  <c r="W97" i="2"/>
  <c r="X97" i="2"/>
  <c r="Y97" i="2"/>
  <c r="Z97" i="2"/>
  <c r="AA97" i="2"/>
  <c r="AB97" i="2"/>
  <c r="AC97" i="2"/>
  <c r="AD97" i="2"/>
  <c r="AE97" i="2"/>
  <c r="AF97" i="2"/>
  <c r="AG97" i="2"/>
  <c r="C95" i="2"/>
  <c r="C96" i="2"/>
  <c r="C97" i="2"/>
  <c r="C94" i="2"/>
  <c r="D89" i="2"/>
  <c r="E89" i="2"/>
  <c r="F89" i="2"/>
  <c r="G89" i="2"/>
  <c r="H89" i="2"/>
  <c r="I89" i="2"/>
  <c r="J89" i="2"/>
  <c r="K89" i="2"/>
  <c r="L89" i="2"/>
  <c r="M89" i="2"/>
  <c r="N89" i="2"/>
  <c r="O89" i="2"/>
  <c r="P89" i="2"/>
  <c r="Q89" i="2"/>
  <c r="R89" i="2"/>
  <c r="S89" i="2"/>
  <c r="T89" i="2"/>
  <c r="U89" i="2"/>
  <c r="V89" i="2"/>
  <c r="W89" i="2"/>
  <c r="X89" i="2"/>
  <c r="Y89" i="2"/>
  <c r="Z89" i="2"/>
  <c r="AA89" i="2"/>
  <c r="AB89" i="2"/>
  <c r="AC89" i="2"/>
  <c r="AD89" i="2"/>
  <c r="AE89" i="2"/>
  <c r="AF89" i="2"/>
  <c r="AG89" i="2"/>
  <c r="D90" i="2"/>
  <c r="E90" i="2"/>
  <c r="F90" i="2"/>
  <c r="G90" i="2"/>
  <c r="H90" i="2"/>
  <c r="I90" i="2"/>
  <c r="J90" i="2"/>
  <c r="K90" i="2"/>
  <c r="L90" i="2"/>
  <c r="M90" i="2"/>
  <c r="N90" i="2"/>
  <c r="O90" i="2"/>
  <c r="P90" i="2"/>
  <c r="Q90" i="2"/>
  <c r="R90" i="2"/>
  <c r="S90" i="2"/>
  <c r="T90" i="2"/>
  <c r="U90" i="2"/>
  <c r="V90" i="2"/>
  <c r="W90" i="2"/>
  <c r="X90" i="2"/>
  <c r="Y90" i="2"/>
  <c r="Z90" i="2"/>
  <c r="AA90" i="2"/>
  <c r="AB90" i="2"/>
  <c r="AC90" i="2"/>
  <c r="AD90" i="2"/>
  <c r="AE90" i="2"/>
  <c r="AF90" i="2"/>
  <c r="AG90" i="2"/>
  <c r="D91" i="2"/>
  <c r="E91" i="2"/>
  <c r="F91" i="2"/>
  <c r="G91" i="2"/>
  <c r="H91" i="2"/>
  <c r="I91" i="2"/>
  <c r="J91" i="2"/>
  <c r="K91" i="2"/>
  <c r="L91" i="2"/>
  <c r="M91" i="2"/>
  <c r="N91" i="2"/>
  <c r="O91" i="2"/>
  <c r="P91" i="2"/>
  <c r="Q91" i="2"/>
  <c r="R91" i="2"/>
  <c r="S91" i="2"/>
  <c r="T91" i="2"/>
  <c r="U91" i="2"/>
  <c r="V91" i="2"/>
  <c r="W91" i="2"/>
  <c r="X91" i="2"/>
  <c r="Y91" i="2"/>
  <c r="Z91" i="2"/>
  <c r="AA91" i="2"/>
  <c r="AB91" i="2"/>
  <c r="AC91" i="2"/>
  <c r="AD91" i="2"/>
  <c r="AE91" i="2"/>
  <c r="AF91" i="2"/>
  <c r="AG91" i="2"/>
  <c r="D92" i="2"/>
  <c r="E92" i="2"/>
  <c r="F92" i="2"/>
  <c r="G92" i="2"/>
  <c r="H92" i="2"/>
  <c r="I92" i="2"/>
  <c r="J92" i="2"/>
  <c r="K92" i="2"/>
  <c r="L92" i="2"/>
  <c r="M92" i="2"/>
  <c r="N92" i="2"/>
  <c r="O92" i="2"/>
  <c r="P92" i="2"/>
  <c r="Q92" i="2"/>
  <c r="R92" i="2"/>
  <c r="S92" i="2"/>
  <c r="T92" i="2"/>
  <c r="U92" i="2"/>
  <c r="V92" i="2"/>
  <c r="W92" i="2"/>
  <c r="X92" i="2"/>
  <c r="Y92" i="2"/>
  <c r="Z92" i="2"/>
  <c r="AA92" i="2"/>
  <c r="AB92" i="2"/>
  <c r="AC92" i="2"/>
  <c r="AD92" i="2"/>
  <c r="AE92" i="2"/>
  <c r="AF92" i="2"/>
  <c r="AG92" i="2"/>
  <c r="C90" i="2"/>
  <c r="C91" i="2"/>
  <c r="C92" i="2"/>
  <c r="C89" i="2"/>
  <c r="D71" i="2"/>
  <c r="E71" i="2"/>
  <c r="F71" i="2"/>
  <c r="G71" i="2"/>
  <c r="H71" i="2"/>
  <c r="I71" i="2"/>
  <c r="J71" i="2"/>
  <c r="K71" i="2"/>
  <c r="L71" i="2"/>
  <c r="M71" i="2"/>
  <c r="N71" i="2"/>
  <c r="O71" i="2"/>
  <c r="P71" i="2"/>
  <c r="Q71" i="2"/>
  <c r="R71" i="2"/>
  <c r="S71" i="2"/>
  <c r="T71" i="2"/>
  <c r="U71" i="2"/>
  <c r="V71" i="2"/>
  <c r="W71" i="2"/>
  <c r="X71" i="2"/>
  <c r="Y71" i="2"/>
  <c r="Z71" i="2"/>
  <c r="AA71" i="2"/>
  <c r="AB71" i="2"/>
  <c r="AC71" i="2"/>
  <c r="AD71" i="2"/>
  <c r="AE71" i="2"/>
  <c r="AF71" i="2"/>
  <c r="AG71" i="2"/>
  <c r="D73" i="2"/>
  <c r="D72" i="2" s="1"/>
  <c r="E73" i="2"/>
  <c r="E72" i="2" s="1"/>
  <c r="F73" i="2"/>
  <c r="F72" i="2" s="1"/>
  <c r="G73" i="2"/>
  <c r="G72" i="2" s="1"/>
  <c r="H73" i="2"/>
  <c r="H72" i="2" s="1"/>
  <c r="I73" i="2"/>
  <c r="I72" i="2" s="1"/>
  <c r="J73" i="2"/>
  <c r="J72" i="2" s="1"/>
  <c r="K73" i="2"/>
  <c r="K72" i="2" s="1"/>
  <c r="L73" i="2"/>
  <c r="L72" i="2" s="1"/>
  <c r="M73" i="2"/>
  <c r="M72" i="2" s="1"/>
  <c r="N73" i="2"/>
  <c r="N72" i="2" s="1"/>
  <c r="O73" i="2"/>
  <c r="O72" i="2" s="1"/>
  <c r="P73" i="2"/>
  <c r="P72" i="2" s="1"/>
  <c r="Q73" i="2"/>
  <c r="Q72" i="2" s="1"/>
  <c r="R73" i="2"/>
  <c r="R72" i="2" s="1"/>
  <c r="S73" i="2"/>
  <c r="S72" i="2" s="1"/>
  <c r="T73" i="2"/>
  <c r="T72" i="2" s="1"/>
  <c r="U73" i="2"/>
  <c r="U72" i="2" s="1"/>
  <c r="V73" i="2"/>
  <c r="V72" i="2" s="1"/>
  <c r="W73" i="2"/>
  <c r="W72" i="2" s="1"/>
  <c r="X73" i="2"/>
  <c r="X72" i="2" s="1"/>
  <c r="Y73" i="2"/>
  <c r="Y72" i="2" s="1"/>
  <c r="Z73" i="2"/>
  <c r="Z72" i="2" s="1"/>
  <c r="AA73" i="2"/>
  <c r="AA72" i="2" s="1"/>
  <c r="AB73" i="2"/>
  <c r="AB72" i="2" s="1"/>
  <c r="AC73" i="2"/>
  <c r="AC72" i="2" s="1"/>
  <c r="AD73" i="2"/>
  <c r="AD72" i="2" s="1"/>
  <c r="AE73" i="2"/>
  <c r="AE72" i="2" s="1"/>
  <c r="AF73" i="2"/>
  <c r="AF72" i="2" s="1"/>
  <c r="AG73" i="2"/>
  <c r="AG72" i="2" s="1"/>
  <c r="D75" i="2"/>
  <c r="E75" i="2"/>
  <c r="F75" i="2"/>
  <c r="G75" i="2"/>
  <c r="H75" i="2"/>
  <c r="I75" i="2"/>
  <c r="J75" i="2"/>
  <c r="K75" i="2"/>
  <c r="L75" i="2"/>
  <c r="M75" i="2"/>
  <c r="N75" i="2"/>
  <c r="O75" i="2"/>
  <c r="P75" i="2"/>
  <c r="Q75" i="2"/>
  <c r="R75" i="2"/>
  <c r="S75" i="2"/>
  <c r="T75" i="2"/>
  <c r="U75" i="2"/>
  <c r="V75" i="2"/>
  <c r="W75" i="2"/>
  <c r="X75" i="2"/>
  <c r="Y75" i="2"/>
  <c r="Z75" i="2"/>
  <c r="AA75" i="2"/>
  <c r="AB75" i="2"/>
  <c r="AC75" i="2"/>
  <c r="AD75" i="2"/>
  <c r="AE75" i="2"/>
  <c r="AF75" i="2"/>
  <c r="AG75" i="2"/>
  <c r="D77" i="2"/>
  <c r="D76" i="2" s="1"/>
  <c r="E77" i="2"/>
  <c r="E76" i="2" s="1"/>
  <c r="F77" i="2"/>
  <c r="F76" i="2" s="1"/>
  <c r="G77" i="2"/>
  <c r="G76" i="2" s="1"/>
  <c r="H77" i="2"/>
  <c r="H76" i="2" s="1"/>
  <c r="I77" i="2"/>
  <c r="I76" i="2" s="1"/>
  <c r="J77" i="2"/>
  <c r="J76" i="2" s="1"/>
  <c r="K77" i="2"/>
  <c r="K76" i="2" s="1"/>
  <c r="L77" i="2"/>
  <c r="L76" i="2" s="1"/>
  <c r="M77" i="2"/>
  <c r="M76" i="2" s="1"/>
  <c r="N77" i="2"/>
  <c r="N76" i="2" s="1"/>
  <c r="O77" i="2"/>
  <c r="O76" i="2" s="1"/>
  <c r="P77" i="2"/>
  <c r="P76" i="2" s="1"/>
  <c r="Q77" i="2"/>
  <c r="Q76" i="2" s="1"/>
  <c r="R77" i="2"/>
  <c r="R76" i="2" s="1"/>
  <c r="S77" i="2"/>
  <c r="S76" i="2" s="1"/>
  <c r="T77" i="2"/>
  <c r="T76" i="2" s="1"/>
  <c r="U77" i="2"/>
  <c r="U76" i="2" s="1"/>
  <c r="V77" i="2"/>
  <c r="V76" i="2" s="1"/>
  <c r="W77" i="2"/>
  <c r="W76" i="2" s="1"/>
  <c r="X77" i="2"/>
  <c r="X76" i="2" s="1"/>
  <c r="Y77" i="2"/>
  <c r="Y76" i="2" s="1"/>
  <c r="Z77" i="2"/>
  <c r="Z76" i="2" s="1"/>
  <c r="AA77" i="2"/>
  <c r="AA76" i="2" s="1"/>
  <c r="AB77" i="2"/>
  <c r="AB76" i="2" s="1"/>
  <c r="AC77" i="2"/>
  <c r="AC76" i="2" s="1"/>
  <c r="AD77" i="2"/>
  <c r="AD76" i="2" s="1"/>
  <c r="AE77" i="2"/>
  <c r="AE76" i="2" s="1"/>
  <c r="AF77" i="2"/>
  <c r="AF76" i="2" s="1"/>
  <c r="AG77" i="2"/>
  <c r="AG76" i="2" s="1"/>
  <c r="C77" i="2"/>
  <c r="C75" i="2"/>
  <c r="C71" i="2"/>
  <c r="C73" i="2"/>
  <c r="D46" i="2"/>
  <c r="E46" i="2"/>
  <c r="F46" i="2"/>
  <c r="G46" i="2"/>
  <c r="H46" i="2"/>
  <c r="I46" i="2"/>
  <c r="J46" i="2"/>
  <c r="K46" i="2"/>
  <c r="L46" i="2"/>
  <c r="M46" i="2"/>
  <c r="N46" i="2"/>
  <c r="O46" i="2"/>
  <c r="P46" i="2"/>
  <c r="Q46" i="2"/>
  <c r="R46" i="2"/>
  <c r="S46" i="2"/>
  <c r="T46" i="2"/>
  <c r="U46" i="2"/>
  <c r="V46" i="2"/>
  <c r="W46" i="2"/>
  <c r="X46" i="2"/>
  <c r="Y46" i="2"/>
  <c r="Z46" i="2"/>
  <c r="AA46" i="2"/>
  <c r="AB46" i="2"/>
  <c r="AC46" i="2"/>
  <c r="AD46" i="2"/>
  <c r="AE46" i="2"/>
  <c r="AF46" i="2"/>
  <c r="AG46" i="2"/>
  <c r="D47" i="2"/>
  <c r="E47" i="2"/>
  <c r="F47" i="2"/>
  <c r="G47" i="2"/>
  <c r="H47" i="2"/>
  <c r="I47" i="2"/>
  <c r="J47" i="2"/>
  <c r="K47" i="2"/>
  <c r="L47" i="2"/>
  <c r="M47" i="2"/>
  <c r="N47" i="2"/>
  <c r="O47" i="2"/>
  <c r="P47" i="2"/>
  <c r="Q47" i="2"/>
  <c r="R47" i="2"/>
  <c r="S47" i="2"/>
  <c r="T47" i="2"/>
  <c r="U47" i="2"/>
  <c r="V47" i="2"/>
  <c r="W47" i="2"/>
  <c r="X47" i="2"/>
  <c r="Y47" i="2"/>
  <c r="Z47" i="2"/>
  <c r="AA47" i="2"/>
  <c r="AB47" i="2"/>
  <c r="AC47" i="2"/>
  <c r="AD47" i="2"/>
  <c r="AE47" i="2"/>
  <c r="AF47" i="2"/>
  <c r="AG47" i="2"/>
  <c r="D48" i="2"/>
  <c r="E48" i="2"/>
  <c r="F48" i="2"/>
  <c r="G48" i="2"/>
  <c r="H48" i="2"/>
  <c r="I48" i="2"/>
  <c r="J48" i="2"/>
  <c r="K48" i="2"/>
  <c r="L48" i="2"/>
  <c r="M48" i="2"/>
  <c r="N48" i="2"/>
  <c r="O48" i="2"/>
  <c r="P48" i="2"/>
  <c r="Q48" i="2"/>
  <c r="R48" i="2"/>
  <c r="S48" i="2"/>
  <c r="T48" i="2"/>
  <c r="U48" i="2"/>
  <c r="V48" i="2"/>
  <c r="W48" i="2"/>
  <c r="X48" i="2"/>
  <c r="Y48" i="2"/>
  <c r="Z48" i="2"/>
  <c r="AA48" i="2"/>
  <c r="AB48" i="2"/>
  <c r="AC48" i="2"/>
  <c r="AD48" i="2"/>
  <c r="AE48" i="2"/>
  <c r="AF48" i="2"/>
  <c r="AG48" i="2"/>
  <c r="D49" i="2"/>
  <c r="E49" i="2"/>
  <c r="F49" i="2"/>
  <c r="G49" i="2"/>
  <c r="H49" i="2"/>
  <c r="I49" i="2"/>
  <c r="J49" i="2"/>
  <c r="K49" i="2"/>
  <c r="L49" i="2"/>
  <c r="M49" i="2"/>
  <c r="N49" i="2"/>
  <c r="O49" i="2"/>
  <c r="P49" i="2"/>
  <c r="Q49" i="2"/>
  <c r="R49" i="2"/>
  <c r="S49" i="2"/>
  <c r="T49" i="2"/>
  <c r="U49" i="2"/>
  <c r="V49" i="2"/>
  <c r="W49" i="2"/>
  <c r="X49" i="2"/>
  <c r="Y49" i="2"/>
  <c r="Z49" i="2"/>
  <c r="AA49" i="2"/>
  <c r="AB49" i="2"/>
  <c r="AC49" i="2"/>
  <c r="AD49" i="2"/>
  <c r="AE49" i="2"/>
  <c r="AF49" i="2"/>
  <c r="AG49" i="2"/>
  <c r="D50" i="2"/>
  <c r="E50" i="2"/>
  <c r="F50" i="2"/>
  <c r="G50" i="2"/>
  <c r="H50" i="2"/>
  <c r="I50" i="2"/>
  <c r="J50" i="2"/>
  <c r="K50" i="2"/>
  <c r="L50" i="2"/>
  <c r="M50" i="2"/>
  <c r="N50" i="2"/>
  <c r="O50" i="2"/>
  <c r="P50" i="2"/>
  <c r="Q50" i="2"/>
  <c r="R50" i="2"/>
  <c r="S50" i="2"/>
  <c r="T50" i="2"/>
  <c r="U50" i="2"/>
  <c r="V50" i="2"/>
  <c r="W50" i="2"/>
  <c r="X50" i="2"/>
  <c r="Y50" i="2"/>
  <c r="Z50" i="2"/>
  <c r="AA50" i="2"/>
  <c r="AB50" i="2"/>
  <c r="AC50" i="2"/>
  <c r="AD50" i="2"/>
  <c r="AE50" i="2"/>
  <c r="AF50" i="2"/>
  <c r="AG50" i="2"/>
  <c r="D51" i="2"/>
  <c r="E51" i="2"/>
  <c r="F51" i="2"/>
  <c r="G51" i="2"/>
  <c r="H51" i="2"/>
  <c r="I51" i="2"/>
  <c r="J51" i="2"/>
  <c r="K51" i="2"/>
  <c r="L51" i="2"/>
  <c r="M51" i="2"/>
  <c r="N51" i="2"/>
  <c r="O51" i="2"/>
  <c r="P51" i="2"/>
  <c r="Q51" i="2"/>
  <c r="R51" i="2"/>
  <c r="S51" i="2"/>
  <c r="T51" i="2"/>
  <c r="U51" i="2"/>
  <c r="V51" i="2"/>
  <c r="W51" i="2"/>
  <c r="X51" i="2"/>
  <c r="Y51" i="2"/>
  <c r="Z51" i="2"/>
  <c r="AA51" i="2"/>
  <c r="AB51" i="2"/>
  <c r="AC51" i="2"/>
  <c r="AD51" i="2"/>
  <c r="AE51" i="2"/>
  <c r="AF51" i="2"/>
  <c r="AG51" i="2"/>
  <c r="D52" i="2"/>
  <c r="E52" i="2"/>
  <c r="F52" i="2"/>
  <c r="G52" i="2"/>
  <c r="H52" i="2"/>
  <c r="I52" i="2"/>
  <c r="J52" i="2"/>
  <c r="K52" i="2"/>
  <c r="L52" i="2"/>
  <c r="M52" i="2"/>
  <c r="N52" i="2"/>
  <c r="O52" i="2"/>
  <c r="P52" i="2"/>
  <c r="Q52" i="2"/>
  <c r="R52" i="2"/>
  <c r="S52" i="2"/>
  <c r="T52" i="2"/>
  <c r="U52" i="2"/>
  <c r="V52" i="2"/>
  <c r="W52" i="2"/>
  <c r="X52" i="2"/>
  <c r="Y52" i="2"/>
  <c r="Z52" i="2"/>
  <c r="AA52" i="2"/>
  <c r="AB52" i="2"/>
  <c r="AC52" i="2"/>
  <c r="AD52" i="2"/>
  <c r="AE52" i="2"/>
  <c r="AF52" i="2"/>
  <c r="AG52" i="2"/>
  <c r="D53" i="2"/>
  <c r="E53" i="2"/>
  <c r="F53" i="2"/>
  <c r="G53" i="2"/>
  <c r="H53" i="2"/>
  <c r="I53" i="2"/>
  <c r="J53" i="2"/>
  <c r="K53" i="2"/>
  <c r="L53" i="2"/>
  <c r="M53" i="2"/>
  <c r="N53" i="2"/>
  <c r="O53" i="2"/>
  <c r="P53" i="2"/>
  <c r="Q53" i="2"/>
  <c r="R53" i="2"/>
  <c r="S53" i="2"/>
  <c r="T53" i="2"/>
  <c r="U53" i="2"/>
  <c r="V53" i="2"/>
  <c r="W53" i="2"/>
  <c r="X53" i="2"/>
  <c r="Y53" i="2"/>
  <c r="Z53" i="2"/>
  <c r="AA53" i="2"/>
  <c r="AB53" i="2"/>
  <c r="AC53" i="2"/>
  <c r="AD53" i="2"/>
  <c r="AE53" i="2"/>
  <c r="AF53" i="2"/>
  <c r="AG53" i="2"/>
  <c r="D54" i="2"/>
  <c r="E54" i="2"/>
  <c r="F54" i="2"/>
  <c r="G54" i="2"/>
  <c r="H54" i="2"/>
  <c r="I54" i="2"/>
  <c r="J54" i="2"/>
  <c r="K54" i="2"/>
  <c r="L54" i="2"/>
  <c r="M54" i="2"/>
  <c r="N54" i="2"/>
  <c r="O54" i="2"/>
  <c r="P54" i="2"/>
  <c r="Q54" i="2"/>
  <c r="R54" i="2"/>
  <c r="S54" i="2"/>
  <c r="T54" i="2"/>
  <c r="U54" i="2"/>
  <c r="V54" i="2"/>
  <c r="W54" i="2"/>
  <c r="X54" i="2"/>
  <c r="Y54" i="2"/>
  <c r="Z54" i="2"/>
  <c r="AA54" i="2"/>
  <c r="AB54" i="2"/>
  <c r="AC54" i="2"/>
  <c r="AD54" i="2"/>
  <c r="AE54" i="2"/>
  <c r="AF54" i="2"/>
  <c r="AG54" i="2"/>
  <c r="D55" i="2"/>
  <c r="E55" i="2"/>
  <c r="F55" i="2"/>
  <c r="G55" i="2"/>
  <c r="H55" i="2"/>
  <c r="I55" i="2"/>
  <c r="J55" i="2"/>
  <c r="K55" i="2"/>
  <c r="L55" i="2"/>
  <c r="M55" i="2"/>
  <c r="N55" i="2"/>
  <c r="O55" i="2"/>
  <c r="P55" i="2"/>
  <c r="Q55" i="2"/>
  <c r="R55" i="2"/>
  <c r="S55" i="2"/>
  <c r="T55" i="2"/>
  <c r="U55" i="2"/>
  <c r="V55" i="2"/>
  <c r="W55" i="2"/>
  <c r="X55" i="2"/>
  <c r="Y55" i="2"/>
  <c r="Z55" i="2"/>
  <c r="AA55" i="2"/>
  <c r="AB55" i="2"/>
  <c r="AC55" i="2"/>
  <c r="AD55" i="2"/>
  <c r="AE55" i="2"/>
  <c r="AF55" i="2"/>
  <c r="AG55" i="2"/>
  <c r="D56" i="2"/>
  <c r="E56" i="2"/>
  <c r="F56" i="2"/>
  <c r="G56" i="2"/>
  <c r="H56" i="2"/>
  <c r="I56" i="2"/>
  <c r="J56" i="2"/>
  <c r="K56" i="2"/>
  <c r="L56" i="2"/>
  <c r="M56" i="2"/>
  <c r="N56" i="2"/>
  <c r="O56" i="2"/>
  <c r="P56" i="2"/>
  <c r="Q56" i="2"/>
  <c r="R56" i="2"/>
  <c r="S56" i="2"/>
  <c r="T56" i="2"/>
  <c r="U56" i="2"/>
  <c r="V56" i="2"/>
  <c r="W56" i="2"/>
  <c r="X56" i="2"/>
  <c r="Y56" i="2"/>
  <c r="Z56" i="2"/>
  <c r="AA56" i="2"/>
  <c r="AB56" i="2"/>
  <c r="AC56" i="2"/>
  <c r="AD56" i="2"/>
  <c r="AE56" i="2"/>
  <c r="AF56" i="2"/>
  <c r="AG56" i="2"/>
  <c r="D57" i="2"/>
  <c r="E57" i="2"/>
  <c r="F57" i="2"/>
  <c r="G57" i="2"/>
  <c r="H57" i="2"/>
  <c r="I57" i="2"/>
  <c r="J57" i="2"/>
  <c r="K57" i="2"/>
  <c r="L57" i="2"/>
  <c r="M57" i="2"/>
  <c r="N57" i="2"/>
  <c r="O57" i="2"/>
  <c r="P57" i="2"/>
  <c r="Q57" i="2"/>
  <c r="R57" i="2"/>
  <c r="S57" i="2"/>
  <c r="T57" i="2"/>
  <c r="U57" i="2"/>
  <c r="V57" i="2"/>
  <c r="W57" i="2"/>
  <c r="X57" i="2"/>
  <c r="Y57" i="2"/>
  <c r="Z57" i="2"/>
  <c r="AA57" i="2"/>
  <c r="AB57" i="2"/>
  <c r="AC57" i="2"/>
  <c r="AD57" i="2"/>
  <c r="AE57" i="2"/>
  <c r="AF57" i="2"/>
  <c r="AG57" i="2"/>
  <c r="D58" i="2"/>
  <c r="E58" i="2"/>
  <c r="F58" i="2"/>
  <c r="G58" i="2"/>
  <c r="H58" i="2"/>
  <c r="I58" i="2"/>
  <c r="J58" i="2"/>
  <c r="K58" i="2"/>
  <c r="L58" i="2"/>
  <c r="M58" i="2"/>
  <c r="N58" i="2"/>
  <c r="O58" i="2"/>
  <c r="P58" i="2"/>
  <c r="Q58" i="2"/>
  <c r="R58" i="2"/>
  <c r="S58" i="2"/>
  <c r="T58" i="2"/>
  <c r="U58" i="2"/>
  <c r="V58" i="2"/>
  <c r="W58" i="2"/>
  <c r="X58" i="2"/>
  <c r="Y58" i="2"/>
  <c r="Z58" i="2"/>
  <c r="AA58" i="2"/>
  <c r="AB58" i="2"/>
  <c r="AC58" i="2"/>
  <c r="AD58" i="2"/>
  <c r="AE58" i="2"/>
  <c r="AF58" i="2"/>
  <c r="AG58" i="2"/>
  <c r="D59" i="2"/>
  <c r="E59" i="2"/>
  <c r="F59" i="2"/>
  <c r="G59" i="2"/>
  <c r="H59" i="2"/>
  <c r="I59" i="2"/>
  <c r="J59" i="2"/>
  <c r="K59" i="2"/>
  <c r="L59" i="2"/>
  <c r="M59" i="2"/>
  <c r="N59" i="2"/>
  <c r="O59" i="2"/>
  <c r="P59" i="2"/>
  <c r="Q59" i="2"/>
  <c r="R59" i="2"/>
  <c r="S59" i="2"/>
  <c r="T59" i="2"/>
  <c r="U59" i="2"/>
  <c r="V59" i="2"/>
  <c r="W59" i="2"/>
  <c r="X59" i="2"/>
  <c r="Y59" i="2"/>
  <c r="Z59" i="2"/>
  <c r="AA59" i="2"/>
  <c r="AB59" i="2"/>
  <c r="AC59" i="2"/>
  <c r="AD59" i="2"/>
  <c r="AE59" i="2"/>
  <c r="AF59" i="2"/>
  <c r="AG59" i="2"/>
  <c r="D60" i="2"/>
  <c r="E60" i="2"/>
  <c r="F60" i="2"/>
  <c r="G60" i="2"/>
  <c r="H60" i="2"/>
  <c r="I60" i="2"/>
  <c r="J60" i="2"/>
  <c r="K60" i="2"/>
  <c r="L60" i="2"/>
  <c r="M60" i="2"/>
  <c r="N60" i="2"/>
  <c r="O60" i="2"/>
  <c r="P60" i="2"/>
  <c r="Q60" i="2"/>
  <c r="R60" i="2"/>
  <c r="S60" i="2"/>
  <c r="T60" i="2"/>
  <c r="U60" i="2"/>
  <c r="V60" i="2"/>
  <c r="W60" i="2"/>
  <c r="X60" i="2"/>
  <c r="Y60" i="2"/>
  <c r="Z60" i="2"/>
  <c r="AA60" i="2"/>
  <c r="AB60" i="2"/>
  <c r="AC60" i="2"/>
  <c r="AD60" i="2"/>
  <c r="AE60" i="2"/>
  <c r="AF60" i="2"/>
  <c r="AG60" i="2"/>
  <c r="D61" i="2"/>
  <c r="E61" i="2"/>
  <c r="F61" i="2"/>
  <c r="G61" i="2"/>
  <c r="H61" i="2"/>
  <c r="I61" i="2"/>
  <c r="J61" i="2"/>
  <c r="K61" i="2"/>
  <c r="L61" i="2"/>
  <c r="M61" i="2"/>
  <c r="N61" i="2"/>
  <c r="O61" i="2"/>
  <c r="P61" i="2"/>
  <c r="Q61" i="2"/>
  <c r="R61" i="2"/>
  <c r="S61" i="2"/>
  <c r="T61" i="2"/>
  <c r="U61" i="2"/>
  <c r="V61" i="2"/>
  <c r="W61" i="2"/>
  <c r="X61" i="2"/>
  <c r="Y61" i="2"/>
  <c r="Z61" i="2"/>
  <c r="AA61" i="2"/>
  <c r="AB61" i="2"/>
  <c r="AC61" i="2"/>
  <c r="AD61" i="2"/>
  <c r="AE61" i="2"/>
  <c r="AF61" i="2"/>
  <c r="AG61" i="2"/>
  <c r="D62" i="2"/>
  <c r="E62" i="2"/>
  <c r="F62" i="2"/>
  <c r="G62" i="2"/>
  <c r="H62" i="2"/>
  <c r="I62" i="2"/>
  <c r="J62" i="2"/>
  <c r="K62" i="2"/>
  <c r="L62" i="2"/>
  <c r="M62" i="2"/>
  <c r="N62" i="2"/>
  <c r="O62" i="2"/>
  <c r="P62" i="2"/>
  <c r="Q62" i="2"/>
  <c r="R62" i="2"/>
  <c r="S62" i="2"/>
  <c r="T62" i="2"/>
  <c r="U62" i="2"/>
  <c r="V62" i="2"/>
  <c r="W62" i="2"/>
  <c r="X62" i="2"/>
  <c r="Y62" i="2"/>
  <c r="Z62" i="2"/>
  <c r="AA62" i="2"/>
  <c r="AB62" i="2"/>
  <c r="AC62" i="2"/>
  <c r="AD62" i="2"/>
  <c r="AE62" i="2"/>
  <c r="AF62" i="2"/>
  <c r="AG62" i="2"/>
  <c r="D63" i="2"/>
  <c r="E63" i="2"/>
  <c r="F63" i="2"/>
  <c r="G63" i="2"/>
  <c r="H63" i="2"/>
  <c r="I63" i="2"/>
  <c r="J63" i="2"/>
  <c r="K63" i="2"/>
  <c r="L63" i="2"/>
  <c r="M63" i="2"/>
  <c r="N63" i="2"/>
  <c r="O63" i="2"/>
  <c r="P63" i="2"/>
  <c r="Q63" i="2"/>
  <c r="R63" i="2"/>
  <c r="S63" i="2"/>
  <c r="T63" i="2"/>
  <c r="U63" i="2"/>
  <c r="V63" i="2"/>
  <c r="W63" i="2"/>
  <c r="X63" i="2"/>
  <c r="Y63" i="2"/>
  <c r="Z63" i="2"/>
  <c r="AA63" i="2"/>
  <c r="AB63" i="2"/>
  <c r="AC63" i="2"/>
  <c r="AD63" i="2"/>
  <c r="AE63" i="2"/>
  <c r="AF63" i="2"/>
  <c r="AG63" i="2"/>
  <c r="D64" i="2"/>
  <c r="E64" i="2"/>
  <c r="F64" i="2"/>
  <c r="G64" i="2"/>
  <c r="H64" i="2"/>
  <c r="I64" i="2"/>
  <c r="J64" i="2"/>
  <c r="K64" i="2"/>
  <c r="L64" i="2"/>
  <c r="M64" i="2"/>
  <c r="N64" i="2"/>
  <c r="O64" i="2"/>
  <c r="P64" i="2"/>
  <c r="Q64" i="2"/>
  <c r="R64" i="2"/>
  <c r="S64" i="2"/>
  <c r="T64" i="2"/>
  <c r="U64" i="2"/>
  <c r="V64" i="2"/>
  <c r="W64" i="2"/>
  <c r="X64" i="2"/>
  <c r="Y64" i="2"/>
  <c r="Z64" i="2"/>
  <c r="AA64" i="2"/>
  <c r="AB64" i="2"/>
  <c r="AC64" i="2"/>
  <c r="AD64" i="2"/>
  <c r="AE64" i="2"/>
  <c r="AF64" i="2"/>
  <c r="AG64" i="2"/>
  <c r="D65" i="2"/>
  <c r="E65" i="2"/>
  <c r="F65" i="2"/>
  <c r="G65" i="2"/>
  <c r="H65" i="2"/>
  <c r="I65" i="2"/>
  <c r="J65" i="2"/>
  <c r="K65" i="2"/>
  <c r="L65" i="2"/>
  <c r="M65" i="2"/>
  <c r="N65" i="2"/>
  <c r="O65" i="2"/>
  <c r="P65" i="2"/>
  <c r="Q65" i="2"/>
  <c r="R65" i="2"/>
  <c r="S65" i="2"/>
  <c r="T65" i="2"/>
  <c r="U65" i="2"/>
  <c r="V65" i="2"/>
  <c r="W65" i="2"/>
  <c r="X65" i="2"/>
  <c r="Y65" i="2"/>
  <c r="Z65" i="2"/>
  <c r="AA65" i="2"/>
  <c r="AB65" i="2"/>
  <c r="AC65" i="2"/>
  <c r="AD65" i="2"/>
  <c r="AE65" i="2"/>
  <c r="AF65" i="2"/>
  <c r="AG65" i="2"/>
  <c r="D66" i="2"/>
  <c r="E66" i="2"/>
  <c r="F66" i="2"/>
  <c r="G66" i="2"/>
  <c r="H66" i="2"/>
  <c r="I66" i="2"/>
  <c r="J66" i="2"/>
  <c r="K66" i="2"/>
  <c r="L66" i="2"/>
  <c r="M66" i="2"/>
  <c r="N66" i="2"/>
  <c r="O66" i="2"/>
  <c r="P66" i="2"/>
  <c r="Q66" i="2"/>
  <c r="R66" i="2"/>
  <c r="S66" i="2"/>
  <c r="T66" i="2"/>
  <c r="U66" i="2"/>
  <c r="V66" i="2"/>
  <c r="W66" i="2"/>
  <c r="X66" i="2"/>
  <c r="Y66" i="2"/>
  <c r="Z66" i="2"/>
  <c r="AA66" i="2"/>
  <c r="AB66" i="2"/>
  <c r="AC66" i="2"/>
  <c r="AD66" i="2"/>
  <c r="AE66" i="2"/>
  <c r="AF66" i="2"/>
  <c r="AG66" i="2"/>
  <c r="D67" i="2"/>
  <c r="E67" i="2"/>
  <c r="F67" i="2"/>
  <c r="G67" i="2"/>
  <c r="H67" i="2"/>
  <c r="I67" i="2"/>
  <c r="J67" i="2"/>
  <c r="K67" i="2"/>
  <c r="L67" i="2"/>
  <c r="M67" i="2"/>
  <c r="N67" i="2"/>
  <c r="O67" i="2"/>
  <c r="P67" i="2"/>
  <c r="Q67" i="2"/>
  <c r="R67" i="2"/>
  <c r="S67" i="2"/>
  <c r="T67" i="2"/>
  <c r="U67" i="2"/>
  <c r="V67" i="2"/>
  <c r="W67" i="2"/>
  <c r="X67" i="2"/>
  <c r="Y67" i="2"/>
  <c r="Z67" i="2"/>
  <c r="AA67" i="2"/>
  <c r="AB67" i="2"/>
  <c r="AC67" i="2"/>
  <c r="AD67" i="2"/>
  <c r="AE67" i="2"/>
  <c r="AF67" i="2"/>
  <c r="AG67" i="2"/>
  <c r="D68" i="2"/>
  <c r="E68" i="2"/>
  <c r="F68" i="2"/>
  <c r="G68" i="2"/>
  <c r="H68" i="2"/>
  <c r="I68" i="2"/>
  <c r="J68" i="2"/>
  <c r="K68" i="2"/>
  <c r="L68" i="2"/>
  <c r="M68" i="2"/>
  <c r="N68" i="2"/>
  <c r="O68" i="2"/>
  <c r="P68" i="2"/>
  <c r="Q68" i="2"/>
  <c r="R68" i="2"/>
  <c r="S68" i="2"/>
  <c r="T68" i="2"/>
  <c r="U68" i="2"/>
  <c r="V68" i="2"/>
  <c r="W68" i="2"/>
  <c r="X68" i="2"/>
  <c r="Y68" i="2"/>
  <c r="Z68" i="2"/>
  <c r="AA68" i="2"/>
  <c r="AB68" i="2"/>
  <c r="AC68" i="2"/>
  <c r="AD68" i="2"/>
  <c r="AE68" i="2"/>
  <c r="AF68" i="2"/>
  <c r="AG68" i="2"/>
  <c r="D69" i="2"/>
  <c r="E69" i="2"/>
  <c r="F69" i="2"/>
  <c r="G69" i="2"/>
  <c r="H69" i="2"/>
  <c r="I69" i="2"/>
  <c r="J69" i="2"/>
  <c r="K69" i="2"/>
  <c r="L69" i="2"/>
  <c r="M69" i="2"/>
  <c r="N69" i="2"/>
  <c r="O69" i="2"/>
  <c r="P69" i="2"/>
  <c r="Q69" i="2"/>
  <c r="R69" i="2"/>
  <c r="S69" i="2"/>
  <c r="T69" i="2"/>
  <c r="U69" i="2"/>
  <c r="V69" i="2"/>
  <c r="W69" i="2"/>
  <c r="X69" i="2"/>
  <c r="Y69" i="2"/>
  <c r="Z69" i="2"/>
  <c r="AA69" i="2"/>
  <c r="AB69" i="2"/>
  <c r="AC69" i="2"/>
  <c r="AD69" i="2"/>
  <c r="AE69" i="2"/>
  <c r="AF69" i="2"/>
  <c r="AG69" i="2"/>
  <c r="C51" i="2"/>
  <c r="C58" i="2"/>
  <c r="C61" i="2"/>
  <c r="C47" i="2"/>
  <c r="C68" i="2"/>
  <c r="C67" i="2"/>
  <c r="C66" i="2"/>
  <c r="C65" i="2"/>
  <c r="C64" i="2"/>
  <c r="C63" i="2"/>
  <c r="C60" i="2"/>
  <c r="C57" i="2"/>
  <c r="C56" i="2"/>
  <c r="C55" i="2"/>
  <c r="C54" i="2"/>
  <c r="C53" i="2"/>
  <c r="C50" i="2"/>
  <c r="C49" i="2"/>
  <c r="C46" i="2"/>
  <c r="D38" i="2"/>
  <c r="E38" i="2"/>
  <c r="F38" i="2"/>
  <c r="G38" i="2"/>
  <c r="H38" i="2"/>
  <c r="I38" i="2"/>
  <c r="J38" i="2"/>
  <c r="K38" i="2"/>
  <c r="L38" i="2"/>
  <c r="M38" i="2"/>
  <c r="N38" i="2"/>
  <c r="O38" i="2"/>
  <c r="P38" i="2"/>
  <c r="Q38" i="2"/>
  <c r="R38" i="2"/>
  <c r="S38" i="2"/>
  <c r="T38" i="2"/>
  <c r="U38" i="2"/>
  <c r="V38" i="2"/>
  <c r="W38" i="2"/>
  <c r="X38" i="2"/>
  <c r="Y38" i="2"/>
  <c r="Z38" i="2"/>
  <c r="AA38" i="2"/>
  <c r="AB38" i="2"/>
  <c r="AC38" i="2"/>
  <c r="AD38" i="2"/>
  <c r="AE38" i="2"/>
  <c r="AF38" i="2"/>
  <c r="AG38" i="2"/>
  <c r="D39" i="2"/>
  <c r="E39" i="2"/>
  <c r="F39" i="2"/>
  <c r="G39" i="2"/>
  <c r="H39" i="2"/>
  <c r="I39" i="2"/>
  <c r="J39" i="2"/>
  <c r="K39" i="2"/>
  <c r="L39" i="2"/>
  <c r="M39" i="2"/>
  <c r="N39" i="2"/>
  <c r="O39" i="2"/>
  <c r="P39" i="2"/>
  <c r="Q39" i="2"/>
  <c r="R39" i="2"/>
  <c r="S39" i="2"/>
  <c r="T39" i="2"/>
  <c r="U39" i="2"/>
  <c r="V39" i="2"/>
  <c r="W39" i="2"/>
  <c r="X39" i="2"/>
  <c r="Y39" i="2"/>
  <c r="Z39" i="2"/>
  <c r="AA39" i="2"/>
  <c r="AB39" i="2"/>
  <c r="AC39" i="2"/>
  <c r="AD39" i="2"/>
  <c r="AE39" i="2"/>
  <c r="AF39" i="2"/>
  <c r="AG39" i="2"/>
  <c r="D41" i="2"/>
  <c r="E41" i="2"/>
  <c r="F41" i="2"/>
  <c r="G41" i="2"/>
  <c r="H41" i="2"/>
  <c r="I41" i="2"/>
  <c r="J41" i="2"/>
  <c r="K41" i="2"/>
  <c r="L41" i="2"/>
  <c r="M41" i="2"/>
  <c r="N41" i="2"/>
  <c r="O41" i="2"/>
  <c r="P41" i="2"/>
  <c r="Q41" i="2"/>
  <c r="R41" i="2"/>
  <c r="S41" i="2"/>
  <c r="T41" i="2"/>
  <c r="U41" i="2"/>
  <c r="V41" i="2"/>
  <c r="W41" i="2"/>
  <c r="X41" i="2"/>
  <c r="Y41" i="2"/>
  <c r="Z41" i="2"/>
  <c r="AA41" i="2"/>
  <c r="AB41" i="2"/>
  <c r="AC41" i="2"/>
  <c r="AD41" i="2"/>
  <c r="AE41" i="2"/>
  <c r="AF41" i="2"/>
  <c r="AG41" i="2"/>
  <c r="D42" i="2"/>
  <c r="E42" i="2"/>
  <c r="F42" i="2"/>
  <c r="G42" i="2"/>
  <c r="H42" i="2"/>
  <c r="I42" i="2"/>
  <c r="J42" i="2"/>
  <c r="K42" i="2"/>
  <c r="L42" i="2"/>
  <c r="M42" i="2"/>
  <c r="N42" i="2"/>
  <c r="O42" i="2"/>
  <c r="P42" i="2"/>
  <c r="Q42" i="2"/>
  <c r="R42" i="2"/>
  <c r="S42" i="2"/>
  <c r="T42" i="2"/>
  <c r="U42" i="2"/>
  <c r="V42" i="2"/>
  <c r="W42" i="2"/>
  <c r="X42" i="2"/>
  <c r="Y42" i="2"/>
  <c r="Z42" i="2"/>
  <c r="AA42" i="2"/>
  <c r="AB42" i="2"/>
  <c r="AC42" i="2"/>
  <c r="AD42" i="2"/>
  <c r="AE42" i="2"/>
  <c r="AF42" i="2"/>
  <c r="AG42" i="2"/>
  <c r="C41" i="2"/>
  <c r="C42" i="2"/>
  <c r="C39" i="2"/>
  <c r="C31" i="2"/>
  <c r="C30" i="2"/>
  <c r="D30" i="2"/>
  <c r="E30" i="2"/>
  <c r="F30" i="2"/>
  <c r="G30" i="2"/>
  <c r="H30" i="2"/>
  <c r="I30" i="2"/>
  <c r="J30" i="2"/>
  <c r="K30" i="2"/>
  <c r="L30" i="2"/>
  <c r="M30" i="2"/>
  <c r="N30" i="2"/>
  <c r="O30" i="2"/>
  <c r="P30" i="2"/>
  <c r="Q30" i="2"/>
  <c r="R30" i="2"/>
  <c r="S30" i="2"/>
  <c r="T30" i="2"/>
  <c r="U30" i="2"/>
  <c r="V30" i="2"/>
  <c r="W30" i="2"/>
  <c r="X30" i="2"/>
  <c r="Y30" i="2"/>
  <c r="Z30" i="2"/>
  <c r="AA30" i="2"/>
  <c r="AB30" i="2"/>
  <c r="AC30" i="2"/>
  <c r="AD30" i="2"/>
  <c r="AE30" i="2"/>
  <c r="AF30" i="2"/>
  <c r="AG30" i="2"/>
  <c r="D31" i="2"/>
  <c r="E31" i="2"/>
  <c r="F31" i="2"/>
  <c r="G31" i="2"/>
  <c r="H31" i="2"/>
  <c r="I31" i="2"/>
  <c r="J31" i="2"/>
  <c r="K31" i="2"/>
  <c r="L31" i="2"/>
  <c r="M31" i="2"/>
  <c r="N31" i="2"/>
  <c r="O31" i="2"/>
  <c r="P31" i="2"/>
  <c r="Q31" i="2"/>
  <c r="R31" i="2"/>
  <c r="S31" i="2"/>
  <c r="T31" i="2"/>
  <c r="U31" i="2"/>
  <c r="V31" i="2"/>
  <c r="W31" i="2"/>
  <c r="X31" i="2"/>
  <c r="Y31" i="2"/>
  <c r="Z31" i="2"/>
  <c r="AA31" i="2"/>
  <c r="AB31" i="2"/>
  <c r="AC31" i="2"/>
  <c r="AD31" i="2"/>
  <c r="AE31" i="2"/>
  <c r="AF31" i="2"/>
  <c r="AG31" i="2"/>
  <c r="D27" i="2"/>
  <c r="E27" i="2"/>
  <c r="F27" i="2"/>
  <c r="G27" i="2"/>
  <c r="H27" i="2"/>
  <c r="I27" i="2"/>
  <c r="J27" i="2"/>
  <c r="K27" i="2"/>
  <c r="L27" i="2"/>
  <c r="M27" i="2"/>
  <c r="N27" i="2"/>
  <c r="O27" i="2"/>
  <c r="P27" i="2"/>
  <c r="Q27" i="2"/>
  <c r="R27" i="2"/>
  <c r="S27" i="2"/>
  <c r="T27" i="2"/>
  <c r="U27" i="2"/>
  <c r="V27" i="2"/>
  <c r="W27" i="2"/>
  <c r="X27" i="2"/>
  <c r="Y27" i="2"/>
  <c r="Z27" i="2"/>
  <c r="AA27" i="2"/>
  <c r="AB27" i="2"/>
  <c r="AC27" i="2"/>
  <c r="AD27" i="2"/>
  <c r="AE27" i="2"/>
  <c r="AF27" i="2"/>
  <c r="AG27" i="2"/>
  <c r="D28" i="2"/>
  <c r="E28" i="2"/>
  <c r="F28" i="2"/>
  <c r="G28" i="2"/>
  <c r="H28" i="2"/>
  <c r="I28" i="2"/>
  <c r="J28" i="2"/>
  <c r="K28" i="2"/>
  <c r="L28" i="2"/>
  <c r="M28" i="2"/>
  <c r="N28" i="2"/>
  <c r="O28" i="2"/>
  <c r="P28" i="2"/>
  <c r="Q28" i="2"/>
  <c r="R28" i="2"/>
  <c r="S28" i="2"/>
  <c r="T28" i="2"/>
  <c r="U28" i="2"/>
  <c r="V28" i="2"/>
  <c r="W28" i="2"/>
  <c r="X28" i="2"/>
  <c r="Y28" i="2"/>
  <c r="Z28" i="2"/>
  <c r="AA28" i="2"/>
  <c r="AB28" i="2"/>
  <c r="AC28" i="2"/>
  <c r="AD28" i="2"/>
  <c r="AE28" i="2"/>
  <c r="AF28" i="2"/>
  <c r="AG28" i="2"/>
  <c r="C28" i="2"/>
  <c r="C24" i="2"/>
  <c r="C139" i="2"/>
  <c r="C140" i="2"/>
  <c r="C141" i="2"/>
  <c r="C142" i="2"/>
  <c r="C143" i="2"/>
  <c r="C144" i="2"/>
  <c r="C138" i="2"/>
  <c r="C151" i="2"/>
  <c r="C152" i="2"/>
  <c r="C153" i="2"/>
  <c r="C154" i="2"/>
  <c r="C148" i="2"/>
  <c r="C149" i="2"/>
  <c r="C150" i="2"/>
  <c r="T285" i="2" l="1"/>
  <c r="P275" i="2"/>
  <c r="T225" i="2"/>
  <c r="P235" i="2"/>
  <c r="T245" i="2"/>
  <c r="D285" i="2"/>
  <c r="D245" i="2"/>
  <c r="D225" i="2"/>
  <c r="AG235" i="2"/>
  <c r="AF275" i="2"/>
  <c r="AF235" i="2"/>
  <c r="AG245" i="2"/>
  <c r="AG225" i="2"/>
  <c r="AD285" i="2"/>
  <c r="Z285" i="2"/>
  <c r="V285" i="2"/>
  <c r="R285" i="2"/>
  <c r="N285" i="2"/>
  <c r="J285" i="2"/>
  <c r="F285" i="2"/>
  <c r="N245" i="2"/>
  <c r="J245" i="2"/>
  <c r="F245" i="2"/>
  <c r="AB285" i="2"/>
  <c r="L285" i="2"/>
  <c r="X275" i="2"/>
  <c r="H275" i="2"/>
  <c r="AB245" i="2"/>
  <c r="L245" i="2"/>
  <c r="X235" i="2"/>
  <c r="H235" i="2"/>
  <c r="AB225" i="2"/>
  <c r="L225" i="2"/>
  <c r="P285" i="2"/>
  <c r="AB275" i="2"/>
  <c r="T275" i="2"/>
  <c r="D275" i="2"/>
  <c r="AF245" i="2"/>
  <c r="X245" i="2"/>
  <c r="P245" i="2"/>
  <c r="H245" i="2"/>
  <c r="AB235" i="2"/>
  <c r="T235" i="2"/>
  <c r="L235" i="2"/>
  <c r="D235" i="2"/>
  <c r="AF225" i="2"/>
  <c r="X225" i="2"/>
  <c r="P225" i="2"/>
  <c r="H225" i="2"/>
  <c r="X285" i="2"/>
  <c r="H285" i="2"/>
  <c r="L275" i="2"/>
  <c r="AF285" i="2"/>
  <c r="AD245" i="2"/>
  <c r="Z245" i="2"/>
  <c r="V245" i="2"/>
  <c r="R245" i="2"/>
  <c r="J225" i="2"/>
  <c r="F225" i="2"/>
  <c r="AD225" i="2"/>
  <c r="Z225" i="2"/>
  <c r="V225" i="2"/>
  <c r="R225" i="2"/>
  <c r="N225" i="2"/>
  <c r="AG285" i="2"/>
  <c r="R275" i="2"/>
  <c r="N275" i="2"/>
  <c r="J275" i="2"/>
  <c r="F275" i="2"/>
  <c r="AD275" i="2"/>
  <c r="Z275" i="2"/>
  <c r="V275" i="2"/>
  <c r="AD235" i="2"/>
  <c r="Z235" i="2"/>
  <c r="V235" i="2"/>
  <c r="R235" i="2"/>
  <c r="N235" i="2"/>
  <c r="J235" i="2"/>
  <c r="F235" i="2"/>
  <c r="AG275" i="2"/>
  <c r="AG128" i="2"/>
  <c r="AE285" i="2"/>
  <c r="AC285" i="2"/>
  <c r="AA285" i="2"/>
  <c r="Y285" i="2"/>
  <c r="W285" i="2"/>
  <c r="U285" i="2"/>
  <c r="S285" i="2"/>
  <c r="Q285" i="2"/>
  <c r="O285" i="2"/>
  <c r="M285" i="2"/>
  <c r="K285" i="2"/>
  <c r="I285" i="2"/>
  <c r="G285" i="2"/>
  <c r="E285" i="2"/>
  <c r="AE275" i="2"/>
  <c r="AC275" i="2"/>
  <c r="AA275" i="2"/>
  <c r="Y275" i="2"/>
  <c r="W275" i="2"/>
  <c r="U275" i="2"/>
  <c r="S275" i="2"/>
  <c r="Q275" i="2"/>
  <c r="O275" i="2"/>
  <c r="M275" i="2"/>
  <c r="K275" i="2"/>
  <c r="I275" i="2"/>
  <c r="G275" i="2"/>
  <c r="E275" i="2"/>
  <c r="AE245" i="2"/>
  <c r="AC245" i="2"/>
  <c r="AA245" i="2"/>
  <c r="Y245" i="2"/>
  <c r="W245" i="2"/>
  <c r="U245" i="2"/>
  <c r="S245" i="2"/>
  <c r="Q245" i="2"/>
  <c r="O245" i="2"/>
  <c r="M245" i="2"/>
  <c r="K245" i="2"/>
  <c r="I245" i="2"/>
  <c r="G245" i="2"/>
  <c r="E245" i="2"/>
  <c r="AE235" i="2"/>
  <c r="AC235" i="2"/>
  <c r="AA235" i="2"/>
  <c r="Y235" i="2"/>
  <c r="W235" i="2"/>
  <c r="U235" i="2"/>
  <c r="S235" i="2"/>
  <c r="Q235" i="2"/>
  <c r="O235" i="2"/>
  <c r="M235" i="2"/>
  <c r="K235" i="2"/>
  <c r="I235" i="2"/>
  <c r="G235" i="2"/>
  <c r="E235" i="2"/>
  <c r="AE225" i="2"/>
  <c r="AC225" i="2"/>
  <c r="AA225" i="2"/>
  <c r="Y225" i="2"/>
  <c r="W225" i="2"/>
  <c r="U225" i="2"/>
  <c r="S225" i="2"/>
  <c r="Q225" i="2"/>
  <c r="O225" i="2"/>
  <c r="M225" i="2"/>
  <c r="K225" i="2"/>
  <c r="I225" i="2"/>
  <c r="G225" i="2"/>
  <c r="E225" i="2"/>
  <c r="AG133" i="2"/>
  <c r="AG131" i="2"/>
  <c r="AG129" i="2"/>
  <c r="AG134" i="2"/>
  <c r="AG132" i="2"/>
  <c r="AG130" i="2"/>
  <c r="AG105" i="2"/>
  <c r="AE105" i="2"/>
  <c r="AC105" i="2"/>
  <c r="AA105" i="2"/>
  <c r="Y105" i="2"/>
  <c r="W105" i="2"/>
  <c r="W324" i="2" s="1"/>
  <c r="U105" i="2"/>
  <c r="U333" i="2" s="1"/>
  <c r="S105" i="2"/>
  <c r="S324" i="2" s="1"/>
  <c r="Q105" i="2"/>
  <c r="Q324" i="2" s="1"/>
  <c r="O105" i="2"/>
  <c r="O324" i="2" s="1"/>
  <c r="M105" i="2"/>
  <c r="M333" i="2" s="1"/>
  <c r="K105" i="2"/>
  <c r="K324" i="2" s="1"/>
  <c r="I105" i="2"/>
  <c r="I333" i="2" s="1"/>
  <c r="G105" i="2"/>
  <c r="E105" i="2"/>
  <c r="E333" i="2" s="1"/>
  <c r="AG102" i="2"/>
  <c r="AE102" i="2"/>
  <c r="AC102" i="2"/>
  <c r="AA102" i="2"/>
  <c r="Y102" i="2"/>
  <c r="W102" i="2"/>
  <c r="U102" i="2"/>
  <c r="S102" i="2"/>
  <c r="Q102" i="2"/>
  <c r="O102" i="2"/>
  <c r="M102" i="2"/>
  <c r="K102" i="2"/>
  <c r="I102" i="2"/>
  <c r="G102" i="2"/>
  <c r="E102" i="2"/>
  <c r="AG99" i="2"/>
  <c r="AE99" i="2"/>
  <c r="AC99" i="2"/>
  <c r="AA99" i="2"/>
  <c r="Y99" i="2"/>
  <c r="W99" i="2"/>
  <c r="U99" i="2"/>
  <c r="S99" i="2"/>
  <c r="Q99" i="2"/>
  <c r="O99" i="2"/>
  <c r="M99" i="2"/>
  <c r="K99" i="2"/>
  <c r="I99" i="2"/>
  <c r="G99" i="2"/>
  <c r="E99" i="2"/>
  <c r="AF105" i="2"/>
  <c r="AD105" i="2"/>
  <c r="AB105" i="2"/>
  <c r="Z105" i="2"/>
  <c r="X105" i="2"/>
  <c r="V105" i="2"/>
  <c r="T105" i="2"/>
  <c r="R105" i="2"/>
  <c r="R324" i="2" s="1"/>
  <c r="P105" i="2"/>
  <c r="P324" i="2" s="1"/>
  <c r="N105" i="2"/>
  <c r="N324" i="2" s="1"/>
  <c r="L105" i="2"/>
  <c r="L324" i="2" s="1"/>
  <c r="J105" i="2"/>
  <c r="J324" i="2" s="1"/>
  <c r="H105" i="2"/>
  <c r="H324" i="2" s="1"/>
  <c r="F105" i="2"/>
  <c r="F324" i="2" s="1"/>
  <c r="D105" i="2"/>
  <c r="D333" i="2" s="1"/>
  <c r="AF102" i="2"/>
  <c r="AD102" i="2"/>
  <c r="AB102" i="2"/>
  <c r="Z102" i="2"/>
  <c r="X102" i="2"/>
  <c r="V102" i="2"/>
  <c r="T102" i="2"/>
  <c r="R102" i="2"/>
  <c r="P102" i="2"/>
  <c r="N102" i="2"/>
  <c r="L102" i="2"/>
  <c r="J102" i="2"/>
  <c r="H102" i="2"/>
  <c r="F102" i="2"/>
  <c r="D102" i="2"/>
  <c r="AF99" i="2"/>
  <c r="AD99" i="2"/>
  <c r="AB99" i="2"/>
  <c r="Z99" i="2"/>
  <c r="X99" i="2"/>
  <c r="V99" i="2"/>
  <c r="T99" i="2"/>
  <c r="R99" i="2"/>
  <c r="P99" i="2"/>
  <c r="N99" i="2"/>
  <c r="L99" i="2"/>
  <c r="J99" i="2"/>
  <c r="H99" i="2"/>
  <c r="F99" i="2"/>
  <c r="D99" i="2"/>
  <c r="C374" i="2"/>
  <c r="C375" i="2"/>
  <c r="C376" i="2"/>
  <c r="C377" i="2"/>
  <c r="C378" i="2"/>
  <c r="C379" i="2"/>
  <c r="C380" i="2"/>
  <c r="C381" i="2"/>
  <c r="C382" i="2"/>
  <c r="C373" i="2"/>
  <c r="C342" i="2"/>
  <c r="C343" i="2"/>
  <c r="C344" i="2"/>
  <c r="C345" i="2"/>
  <c r="C346" i="2"/>
  <c r="C347" i="2"/>
  <c r="C348" i="2"/>
  <c r="C349" i="2"/>
  <c r="C350" i="2"/>
  <c r="C341" i="2"/>
  <c r="C130" i="2"/>
  <c r="C27" i="2"/>
  <c r="D24" i="2"/>
  <c r="E24" i="2"/>
  <c r="F24" i="2"/>
  <c r="G24" i="2"/>
  <c r="H24" i="2"/>
  <c r="I24" i="2"/>
  <c r="J24" i="2"/>
  <c r="K24" i="2"/>
  <c r="L24" i="2"/>
  <c r="M24" i="2"/>
  <c r="N24" i="2"/>
  <c r="O24" i="2"/>
  <c r="P24" i="2"/>
  <c r="Q24" i="2"/>
  <c r="R24" i="2"/>
  <c r="S24" i="2"/>
  <c r="T24" i="2"/>
  <c r="U24" i="2"/>
  <c r="V24" i="2"/>
  <c r="W24" i="2"/>
  <c r="X24" i="2"/>
  <c r="Y24" i="2"/>
  <c r="Z24" i="2"/>
  <c r="AA24" i="2"/>
  <c r="AB24" i="2"/>
  <c r="AC24" i="2"/>
  <c r="AD24" i="2"/>
  <c r="AE24" i="2"/>
  <c r="AF24" i="2"/>
  <c r="AG24" i="2"/>
  <c r="D25" i="2"/>
  <c r="E25" i="2"/>
  <c r="F25" i="2"/>
  <c r="G25" i="2"/>
  <c r="H25" i="2"/>
  <c r="I25" i="2"/>
  <c r="J25" i="2"/>
  <c r="K25" i="2"/>
  <c r="L25" i="2"/>
  <c r="M25" i="2"/>
  <c r="N25" i="2"/>
  <c r="O25" i="2"/>
  <c r="P25" i="2"/>
  <c r="Q25" i="2"/>
  <c r="R25" i="2"/>
  <c r="S25" i="2"/>
  <c r="T25" i="2"/>
  <c r="U25" i="2"/>
  <c r="V25" i="2"/>
  <c r="W25" i="2"/>
  <c r="X25" i="2"/>
  <c r="Y25" i="2"/>
  <c r="Z25" i="2"/>
  <c r="AA25" i="2"/>
  <c r="AB25" i="2"/>
  <c r="AC25" i="2"/>
  <c r="AD25" i="2"/>
  <c r="AE25" i="2"/>
  <c r="AF25" i="2"/>
  <c r="AG25" i="2"/>
  <c r="C25" i="2"/>
  <c r="D84" i="2"/>
  <c r="E84" i="2"/>
  <c r="F84" i="2"/>
  <c r="G84" i="2"/>
  <c r="H84" i="2"/>
  <c r="I84" i="2"/>
  <c r="J84" i="2"/>
  <c r="K84" i="2"/>
  <c r="L84" i="2"/>
  <c r="M84" i="2"/>
  <c r="N84" i="2"/>
  <c r="O84" i="2"/>
  <c r="P84" i="2"/>
  <c r="Q84" i="2"/>
  <c r="R84" i="2"/>
  <c r="S84" i="2"/>
  <c r="T84" i="2"/>
  <c r="U84" i="2"/>
  <c r="V84" i="2"/>
  <c r="W84" i="2"/>
  <c r="X84" i="2"/>
  <c r="Y84" i="2"/>
  <c r="Z84" i="2"/>
  <c r="AA84" i="2"/>
  <c r="AB84" i="2"/>
  <c r="AC84" i="2"/>
  <c r="AD84" i="2"/>
  <c r="AE84" i="2"/>
  <c r="AF84" i="2"/>
  <c r="AG84" i="2"/>
  <c r="D85" i="2"/>
  <c r="E85" i="2"/>
  <c r="F85" i="2"/>
  <c r="G85" i="2"/>
  <c r="H85" i="2"/>
  <c r="I85" i="2"/>
  <c r="J85" i="2"/>
  <c r="K85" i="2"/>
  <c r="L85" i="2"/>
  <c r="M85" i="2"/>
  <c r="N85" i="2"/>
  <c r="O85" i="2"/>
  <c r="P85" i="2"/>
  <c r="Q85" i="2"/>
  <c r="R85" i="2"/>
  <c r="S85" i="2"/>
  <c r="T85" i="2"/>
  <c r="U85" i="2"/>
  <c r="V85" i="2"/>
  <c r="W85" i="2"/>
  <c r="X85" i="2"/>
  <c r="Y85" i="2"/>
  <c r="Z85" i="2"/>
  <c r="AA85" i="2"/>
  <c r="AB85" i="2"/>
  <c r="AC85" i="2"/>
  <c r="AD85" i="2"/>
  <c r="AE85" i="2"/>
  <c r="AF85" i="2"/>
  <c r="AG85" i="2"/>
  <c r="D86" i="2"/>
  <c r="E86" i="2"/>
  <c r="F86" i="2"/>
  <c r="G86" i="2"/>
  <c r="H86" i="2"/>
  <c r="I86" i="2"/>
  <c r="J86" i="2"/>
  <c r="K86" i="2"/>
  <c r="L86" i="2"/>
  <c r="M86" i="2"/>
  <c r="N86" i="2"/>
  <c r="O86" i="2"/>
  <c r="P86" i="2"/>
  <c r="Q86" i="2"/>
  <c r="R86" i="2"/>
  <c r="S86" i="2"/>
  <c r="T86" i="2"/>
  <c r="U86" i="2"/>
  <c r="V86" i="2"/>
  <c r="W86" i="2"/>
  <c r="X86" i="2"/>
  <c r="Y86" i="2"/>
  <c r="Z86" i="2"/>
  <c r="AA86" i="2"/>
  <c r="AB86" i="2"/>
  <c r="AC86" i="2"/>
  <c r="AD86" i="2"/>
  <c r="AE86" i="2"/>
  <c r="AF86" i="2"/>
  <c r="AG86" i="2"/>
  <c r="D87" i="2"/>
  <c r="E87" i="2"/>
  <c r="F87" i="2"/>
  <c r="G87" i="2"/>
  <c r="H87" i="2"/>
  <c r="I87" i="2"/>
  <c r="J87" i="2"/>
  <c r="K87" i="2"/>
  <c r="L87" i="2"/>
  <c r="M87" i="2"/>
  <c r="N87" i="2"/>
  <c r="O87" i="2"/>
  <c r="P87" i="2"/>
  <c r="Q87" i="2"/>
  <c r="R87" i="2"/>
  <c r="S87" i="2"/>
  <c r="T87" i="2"/>
  <c r="U87" i="2"/>
  <c r="V87" i="2"/>
  <c r="W87" i="2"/>
  <c r="X87" i="2"/>
  <c r="Y87" i="2"/>
  <c r="Z87" i="2"/>
  <c r="AA87" i="2"/>
  <c r="AB87" i="2"/>
  <c r="AC87" i="2"/>
  <c r="AD87" i="2"/>
  <c r="AE87" i="2"/>
  <c r="AF87" i="2"/>
  <c r="AG87" i="2"/>
  <c r="C85" i="2"/>
  <c r="C86" i="2"/>
  <c r="C87" i="2"/>
  <c r="C84" i="2"/>
  <c r="D37" i="2"/>
  <c r="E37" i="2"/>
  <c r="F37" i="2"/>
  <c r="G37" i="2"/>
  <c r="H37" i="2"/>
  <c r="I37" i="2"/>
  <c r="J37" i="2"/>
  <c r="K37" i="2"/>
  <c r="L37" i="2"/>
  <c r="M37" i="2"/>
  <c r="N37" i="2"/>
  <c r="O37" i="2"/>
  <c r="P37" i="2"/>
  <c r="Q37" i="2"/>
  <c r="R37" i="2"/>
  <c r="S37" i="2"/>
  <c r="T37" i="2"/>
  <c r="U37" i="2"/>
  <c r="V37" i="2"/>
  <c r="W37" i="2"/>
  <c r="X37" i="2"/>
  <c r="Y37" i="2"/>
  <c r="Z37" i="2"/>
  <c r="AA37" i="2"/>
  <c r="AB37" i="2"/>
  <c r="AC37" i="2"/>
  <c r="AD37" i="2"/>
  <c r="AE37" i="2"/>
  <c r="AF37" i="2"/>
  <c r="AG37" i="2"/>
  <c r="D40" i="2"/>
  <c r="E40" i="2"/>
  <c r="F40" i="2"/>
  <c r="G40" i="2"/>
  <c r="H40" i="2"/>
  <c r="I40" i="2"/>
  <c r="J40" i="2"/>
  <c r="K40" i="2"/>
  <c r="L40" i="2"/>
  <c r="M40" i="2"/>
  <c r="N40" i="2"/>
  <c r="O40" i="2"/>
  <c r="P40" i="2"/>
  <c r="Q40" i="2"/>
  <c r="R40" i="2"/>
  <c r="S40" i="2"/>
  <c r="T40" i="2"/>
  <c r="U40" i="2"/>
  <c r="V40" i="2"/>
  <c r="W40" i="2"/>
  <c r="X40" i="2"/>
  <c r="Y40" i="2"/>
  <c r="Z40" i="2"/>
  <c r="AA40" i="2"/>
  <c r="AB40" i="2"/>
  <c r="AC40" i="2"/>
  <c r="AD40" i="2"/>
  <c r="AE40" i="2"/>
  <c r="AF40" i="2"/>
  <c r="AG40" i="2"/>
  <c r="D324" i="2"/>
  <c r="E324" i="2"/>
  <c r="G324" i="2"/>
  <c r="M324" i="2"/>
  <c r="T324" i="2"/>
  <c r="G333" i="2"/>
  <c r="N333" i="2"/>
  <c r="C40" i="2"/>
  <c r="C38" i="2"/>
  <c r="C37" i="2"/>
  <c r="P333" i="2" l="1"/>
  <c r="K333" i="2"/>
  <c r="F333" i="2"/>
  <c r="S333" i="2"/>
  <c r="O333" i="2"/>
  <c r="L333" i="2"/>
  <c r="H333" i="2"/>
  <c r="J333" i="2"/>
  <c r="I324" i="2"/>
  <c r="AG135" i="2"/>
  <c r="AG145" i="2"/>
  <c r="AG155" i="2"/>
  <c r="AG165" i="2"/>
  <c r="AG175" i="2"/>
  <c r="AG185" i="2"/>
  <c r="AG195" i="2"/>
  <c r="AG205" i="2"/>
  <c r="AG215" i="2"/>
  <c r="AG295" i="2"/>
  <c r="AG307" i="2"/>
  <c r="D351" i="2"/>
  <c r="D367" i="2"/>
  <c r="D383" i="2"/>
  <c r="D399" i="2"/>
  <c r="D410" i="2"/>
  <c r="H351" i="2"/>
  <c r="H367" i="2"/>
  <c r="H383" i="2"/>
  <c r="H399" i="2"/>
  <c r="H410" i="2"/>
  <c r="L351" i="2"/>
  <c r="L367" i="2"/>
  <c r="L383" i="2"/>
  <c r="L399" i="2"/>
  <c r="L410" i="2"/>
  <c r="P351" i="2"/>
  <c r="P367" i="2"/>
  <c r="P383" i="2"/>
  <c r="P399" i="2"/>
  <c r="P410" i="2"/>
  <c r="T351" i="2"/>
  <c r="T367" i="2"/>
  <c r="T383" i="2"/>
  <c r="T399" i="2"/>
  <c r="T410" i="2"/>
  <c r="X351" i="2"/>
  <c r="X367" i="2"/>
  <c r="X383" i="2"/>
  <c r="X399" i="2"/>
  <c r="X410" i="2"/>
  <c r="AB351" i="2"/>
  <c r="AB367" i="2"/>
  <c r="AB383" i="2"/>
  <c r="AB399" i="2"/>
  <c r="AB410" i="2"/>
  <c r="AF351" i="2"/>
  <c r="AF367" i="2"/>
  <c r="AF383" i="2"/>
  <c r="AF399" i="2"/>
  <c r="AF410" i="2"/>
  <c r="G351" i="2"/>
  <c r="G367" i="2"/>
  <c r="G383" i="2"/>
  <c r="G399" i="2"/>
  <c r="G410" i="2"/>
  <c r="K351" i="2"/>
  <c r="K367" i="2"/>
  <c r="K383" i="2"/>
  <c r="K399" i="2"/>
  <c r="K410" i="2"/>
  <c r="O351" i="2"/>
  <c r="O367" i="2"/>
  <c r="O383" i="2"/>
  <c r="O399" i="2"/>
  <c r="O410" i="2"/>
  <c r="S351" i="2"/>
  <c r="S367" i="2"/>
  <c r="S383" i="2"/>
  <c r="S399" i="2"/>
  <c r="S410" i="2"/>
  <c r="W351" i="2"/>
  <c r="W367" i="2"/>
  <c r="W383" i="2"/>
  <c r="W399" i="2"/>
  <c r="W410" i="2"/>
  <c r="AA351" i="2"/>
  <c r="AA367" i="2"/>
  <c r="AA383" i="2"/>
  <c r="AA399" i="2"/>
  <c r="AA410" i="2"/>
  <c r="AE351" i="2"/>
  <c r="AE367" i="2"/>
  <c r="AE383" i="2"/>
  <c r="AE399" i="2"/>
  <c r="AE410" i="2"/>
  <c r="F351" i="2"/>
  <c r="F367" i="2"/>
  <c r="F383" i="2"/>
  <c r="F399" i="2"/>
  <c r="F410" i="2"/>
  <c r="J351" i="2"/>
  <c r="J367" i="2"/>
  <c r="J383" i="2"/>
  <c r="J399" i="2"/>
  <c r="J410" i="2"/>
  <c r="N351" i="2"/>
  <c r="N367" i="2"/>
  <c r="N383" i="2"/>
  <c r="N399" i="2"/>
  <c r="N410" i="2"/>
  <c r="R351" i="2"/>
  <c r="R367" i="2"/>
  <c r="R383" i="2"/>
  <c r="R399" i="2"/>
  <c r="R410" i="2"/>
  <c r="V351" i="2"/>
  <c r="V367" i="2"/>
  <c r="V383" i="2"/>
  <c r="V399" i="2"/>
  <c r="V410" i="2"/>
  <c r="Z351" i="2"/>
  <c r="Z367" i="2"/>
  <c r="Z383" i="2"/>
  <c r="Z399" i="2"/>
  <c r="Z410" i="2"/>
  <c r="AD351" i="2"/>
  <c r="AD367" i="2"/>
  <c r="AD383" i="2"/>
  <c r="AD399" i="2"/>
  <c r="AD410" i="2"/>
  <c r="E351" i="2"/>
  <c r="E367" i="2"/>
  <c r="E383" i="2"/>
  <c r="E399" i="2"/>
  <c r="E410" i="2"/>
  <c r="I351" i="2"/>
  <c r="I367" i="2"/>
  <c r="I383" i="2"/>
  <c r="I399" i="2"/>
  <c r="I410" i="2"/>
  <c r="M351" i="2"/>
  <c r="M367" i="2"/>
  <c r="M383" i="2"/>
  <c r="M399" i="2"/>
  <c r="M410" i="2"/>
  <c r="Q351" i="2"/>
  <c r="Q367" i="2"/>
  <c r="Q383" i="2"/>
  <c r="Q399" i="2"/>
  <c r="Q410" i="2"/>
  <c r="U351" i="2"/>
  <c r="U367" i="2"/>
  <c r="U383" i="2"/>
  <c r="U399" i="2"/>
  <c r="U410" i="2"/>
  <c r="Y351" i="2"/>
  <c r="Y367" i="2"/>
  <c r="Y383" i="2"/>
  <c r="Y399" i="2"/>
  <c r="Y410" i="2"/>
  <c r="AC351" i="2"/>
  <c r="AC367" i="2"/>
  <c r="AC383" i="2"/>
  <c r="AC399" i="2"/>
  <c r="AC410" i="2"/>
  <c r="AG351" i="2"/>
  <c r="AG367" i="2"/>
  <c r="AG383" i="2"/>
  <c r="AG399" i="2"/>
  <c r="AG410" i="2"/>
  <c r="D145" i="2"/>
  <c r="D155" i="2"/>
  <c r="D165" i="2"/>
  <c r="D175" i="2"/>
  <c r="D195" i="2"/>
  <c r="D205" i="2"/>
  <c r="D215" i="2"/>
  <c r="D185" i="2"/>
  <c r="D295" i="2"/>
  <c r="D307" i="2"/>
  <c r="H145" i="2"/>
  <c r="H155" i="2"/>
  <c r="H165" i="2"/>
  <c r="H175" i="2"/>
  <c r="H195" i="2"/>
  <c r="H205" i="2"/>
  <c r="H215" i="2"/>
  <c r="H185" i="2"/>
  <c r="H295" i="2"/>
  <c r="H307" i="2"/>
  <c r="L145" i="2"/>
  <c r="L155" i="2"/>
  <c r="L165" i="2"/>
  <c r="L175" i="2"/>
  <c r="L195" i="2"/>
  <c r="L205" i="2"/>
  <c r="L215" i="2"/>
  <c r="L185" i="2"/>
  <c r="L295" i="2"/>
  <c r="L307" i="2"/>
  <c r="P145" i="2"/>
  <c r="P155" i="2"/>
  <c r="P165" i="2"/>
  <c r="P175" i="2"/>
  <c r="P195" i="2"/>
  <c r="P205" i="2"/>
  <c r="P215" i="2"/>
  <c r="P185" i="2"/>
  <c r="P295" i="2"/>
  <c r="P307" i="2"/>
  <c r="T145" i="2"/>
  <c r="T155" i="2"/>
  <c r="T165" i="2"/>
  <c r="T175" i="2"/>
  <c r="T195" i="2"/>
  <c r="T205" i="2"/>
  <c r="T215" i="2"/>
  <c r="T185" i="2"/>
  <c r="T295" i="2"/>
  <c r="T307" i="2"/>
  <c r="X145" i="2"/>
  <c r="X155" i="2"/>
  <c r="X165" i="2"/>
  <c r="X175" i="2"/>
  <c r="X195" i="2"/>
  <c r="X205" i="2"/>
  <c r="X215" i="2"/>
  <c r="X185" i="2"/>
  <c r="X295" i="2"/>
  <c r="X307" i="2"/>
  <c r="AB145" i="2"/>
  <c r="AB155" i="2"/>
  <c r="AB165" i="2"/>
  <c r="AB175" i="2"/>
  <c r="AB195" i="2"/>
  <c r="AB205" i="2"/>
  <c r="AB215" i="2"/>
  <c r="AB185" i="2"/>
  <c r="AB295" i="2"/>
  <c r="AB307" i="2"/>
  <c r="AF145" i="2"/>
  <c r="AF155" i="2"/>
  <c r="AF165" i="2"/>
  <c r="AF175" i="2"/>
  <c r="AF195" i="2"/>
  <c r="AF205" i="2"/>
  <c r="AF215" i="2"/>
  <c r="AF185" i="2"/>
  <c r="AF295" i="2"/>
  <c r="AF307" i="2"/>
  <c r="G145" i="2"/>
  <c r="G155" i="2"/>
  <c r="G165" i="2"/>
  <c r="G175" i="2"/>
  <c r="G185" i="2"/>
  <c r="G195" i="2"/>
  <c r="G205" i="2"/>
  <c r="G215" i="2"/>
  <c r="G295" i="2"/>
  <c r="G307" i="2"/>
  <c r="K145" i="2"/>
  <c r="K155" i="2"/>
  <c r="K165" i="2"/>
  <c r="K175" i="2"/>
  <c r="K185" i="2"/>
  <c r="K195" i="2"/>
  <c r="K205" i="2"/>
  <c r="K215" i="2"/>
  <c r="K295" i="2"/>
  <c r="K307" i="2"/>
  <c r="O145" i="2"/>
  <c r="O155" i="2"/>
  <c r="O165" i="2"/>
  <c r="O175" i="2"/>
  <c r="O185" i="2"/>
  <c r="O195" i="2"/>
  <c r="O205" i="2"/>
  <c r="O215" i="2"/>
  <c r="O295" i="2"/>
  <c r="O307" i="2"/>
  <c r="S145" i="2"/>
  <c r="S155" i="2"/>
  <c r="S165" i="2"/>
  <c r="S175" i="2"/>
  <c r="S185" i="2"/>
  <c r="S195" i="2"/>
  <c r="S205" i="2"/>
  <c r="S215" i="2"/>
  <c r="S295" i="2"/>
  <c r="S307" i="2"/>
  <c r="W145" i="2"/>
  <c r="W155" i="2"/>
  <c r="W165" i="2"/>
  <c r="W175" i="2"/>
  <c r="W185" i="2"/>
  <c r="W195" i="2"/>
  <c r="W205" i="2"/>
  <c r="W215" i="2"/>
  <c r="W295" i="2"/>
  <c r="W307" i="2"/>
  <c r="AA145" i="2"/>
  <c r="AA155" i="2"/>
  <c r="AA165" i="2"/>
  <c r="AA175" i="2"/>
  <c r="AA185" i="2"/>
  <c r="AA195" i="2"/>
  <c r="AA205" i="2"/>
  <c r="AA215" i="2"/>
  <c r="AA295" i="2"/>
  <c r="AA307" i="2"/>
  <c r="AE145" i="2"/>
  <c r="AE155" i="2"/>
  <c r="AE165" i="2"/>
  <c r="AE175" i="2"/>
  <c r="AE185" i="2"/>
  <c r="AE195" i="2"/>
  <c r="AE205" i="2"/>
  <c r="AE215" i="2"/>
  <c r="AE295" i="2"/>
  <c r="AE307" i="2"/>
  <c r="F145" i="2"/>
  <c r="F155" i="2"/>
  <c r="F165" i="2"/>
  <c r="F185" i="2"/>
  <c r="F205" i="2"/>
  <c r="F215" i="2"/>
  <c r="F175" i="2"/>
  <c r="F195" i="2"/>
  <c r="F295" i="2"/>
  <c r="F307" i="2"/>
  <c r="J145" i="2"/>
  <c r="J155" i="2"/>
  <c r="J165" i="2"/>
  <c r="J185" i="2"/>
  <c r="J205" i="2"/>
  <c r="J215" i="2"/>
  <c r="J175" i="2"/>
  <c r="J195" i="2"/>
  <c r="J295" i="2"/>
  <c r="J307" i="2"/>
  <c r="N145" i="2"/>
  <c r="N155" i="2"/>
  <c r="N165" i="2"/>
  <c r="N185" i="2"/>
  <c r="N205" i="2"/>
  <c r="N215" i="2"/>
  <c r="N175" i="2"/>
  <c r="N195" i="2"/>
  <c r="N295" i="2"/>
  <c r="N307" i="2"/>
  <c r="R145" i="2"/>
  <c r="R155" i="2"/>
  <c r="R165" i="2"/>
  <c r="R185" i="2"/>
  <c r="R205" i="2"/>
  <c r="R215" i="2"/>
  <c r="R175" i="2"/>
  <c r="R195" i="2"/>
  <c r="R295" i="2"/>
  <c r="R307" i="2"/>
  <c r="V145" i="2"/>
  <c r="V155" i="2"/>
  <c r="V165" i="2"/>
  <c r="V185" i="2"/>
  <c r="V205" i="2"/>
  <c r="V215" i="2"/>
  <c r="V175" i="2"/>
  <c r="V195" i="2"/>
  <c r="V295" i="2"/>
  <c r="V307" i="2"/>
  <c r="Z145" i="2"/>
  <c r="Z155" i="2"/>
  <c r="Z165" i="2"/>
  <c r="Z185" i="2"/>
  <c r="Z195" i="2"/>
  <c r="Z205" i="2"/>
  <c r="Z215" i="2"/>
  <c r="Z175" i="2"/>
  <c r="Z295" i="2"/>
  <c r="Z307" i="2"/>
  <c r="AD145" i="2"/>
  <c r="AD155" i="2"/>
  <c r="AD165" i="2"/>
  <c r="AD185" i="2"/>
  <c r="AD195" i="2"/>
  <c r="AD205" i="2"/>
  <c r="AD215" i="2"/>
  <c r="AD175" i="2"/>
  <c r="AD295" i="2"/>
  <c r="AD307" i="2"/>
  <c r="E145" i="2"/>
  <c r="E155" i="2"/>
  <c r="E165" i="2"/>
  <c r="E175" i="2"/>
  <c r="E185" i="2"/>
  <c r="E195" i="2"/>
  <c r="E205" i="2"/>
  <c r="E215" i="2"/>
  <c r="E295" i="2"/>
  <c r="E307" i="2"/>
  <c r="I145" i="2"/>
  <c r="I155" i="2"/>
  <c r="I165" i="2"/>
  <c r="I175" i="2"/>
  <c r="I185" i="2"/>
  <c r="I195" i="2"/>
  <c r="I205" i="2"/>
  <c r="I215" i="2"/>
  <c r="I295" i="2"/>
  <c r="I307" i="2"/>
  <c r="M145" i="2"/>
  <c r="M155" i="2"/>
  <c r="M165" i="2"/>
  <c r="M175" i="2"/>
  <c r="M185" i="2"/>
  <c r="M195" i="2"/>
  <c r="M205" i="2"/>
  <c r="M215" i="2"/>
  <c r="M295" i="2"/>
  <c r="M307" i="2"/>
  <c r="Q145" i="2"/>
  <c r="Q155" i="2"/>
  <c r="Q165" i="2"/>
  <c r="Q175" i="2"/>
  <c r="Q185" i="2"/>
  <c r="Q195" i="2"/>
  <c r="Q205" i="2"/>
  <c r="Q215" i="2"/>
  <c r="Q295" i="2"/>
  <c r="Q307" i="2"/>
  <c r="U145" i="2"/>
  <c r="U155" i="2"/>
  <c r="U165" i="2"/>
  <c r="U175" i="2"/>
  <c r="U185" i="2"/>
  <c r="U195" i="2"/>
  <c r="U205" i="2"/>
  <c r="U215" i="2"/>
  <c r="U295" i="2"/>
  <c r="U307" i="2"/>
  <c r="Y145" i="2"/>
  <c r="Y155" i="2"/>
  <c r="Y165" i="2"/>
  <c r="Y175" i="2"/>
  <c r="Y185" i="2"/>
  <c r="Y195" i="2"/>
  <c r="Y205" i="2"/>
  <c r="Y215" i="2"/>
  <c r="Y295" i="2"/>
  <c r="Y307" i="2"/>
  <c r="AC145" i="2"/>
  <c r="AC155" i="2"/>
  <c r="AC165" i="2"/>
  <c r="AC175" i="2"/>
  <c r="AC185" i="2"/>
  <c r="AC195" i="2"/>
  <c r="AC205" i="2"/>
  <c r="AC215" i="2"/>
  <c r="AC295" i="2"/>
  <c r="AC307" i="2"/>
  <c r="D108" i="2"/>
  <c r="H108" i="2"/>
  <c r="L108" i="2"/>
  <c r="P108" i="2"/>
  <c r="T108" i="2"/>
  <c r="X108" i="2"/>
  <c r="AB108" i="2"/>
  <c r="AF108" i="2"/>
  <c r="G108" i="2"/>
  <c r="K108" i="2"/>
  <c r="O108" i="2"/>
  <c r="S108" i="2"/>
  <c r="W108" i="2"/>
  <c r="AA108" i="2"/>
  <c r="AE108" i="2"/>
  <c r="F108" i="2"/>
  <c r="J108" i="2"/>
  <c r="N108" i="2"/>
  <c r="R108" i="2"/>
  <c r="V108" i="2"/>
  <c r="Z108" i="2"/>
  <c r="AD108" i="2"/>
  <c r="E108" i="2"/>
  <c r="I108" i="2"/>
  <c r="M108" i="2"/>
  <c r="Q108" i="2"/>
  <c r="U108" i="2"/>
  <c r="Y108" i="2"/>
  <c r="AC108" i="2"/>
  <c r="AG108" i="2"/>
  <c r="T333" i="2"/>
  <c r="R333" i="2"/>
  <c r="Q333" i="2"/>
  <c r="AE324" i="2"/>
  <c r="AA324" i="2"/>
  <c r="AG324" i="2"/>
  <c r="AC324" i="2"/>
  <c r="Y324" i="2"/>
  <c r="AC333" i="2"/>
  <c r="AG333" i="2"/>
  <c r="Y333" i="2"/>
  <c r="AF324" i="2"/>
  <c r="AD324" i="2"/>
  <c r="AB324" i="2"/>
  <c r="Z324" i="2"/>
  <c r="X324" i="2"/>
  <c r="V324" i="2"/>
  <c r="W333" i="2"/>
  <c r="AE333" i="2"/>
  <c r="AA333" i="2"/>
  <c r="U324" i="2"/>
  <c r="AF333" i="2"/>
  <c r="Z333" i="2"/>
  <c r="AD333" i="2"/>
  <c r="AB333" i="2"/>
  <c r="X333" i="2"/>
  <c r="V333" i="2"/>
  <c r="AG29" i="2"/>
  <c r="AE29" i="2"/>
  <c r="AC29" i="2"/>
  <c r="AA29" i="2"/>
  <c r="Y29" i="2"/>
  <c r="W29" i="2"/>
  <c r="U29" i="2"/>
  <c r="S29" i="2"/>
  <c r="Q29" i="2"/>
  <c r="O29" i="2"/>
  <c r="M29" i="2"/>
  <c r="K29" i="2"/>
  <c r="I29" i="2"/>
  <c r="G29" i="2"/>
  <c r="E29" i="2"/>
  <c r="AG26" i="2"/>
  <c r="AE26" i="2"/>
  <c r="AC26" i="2"/>
  <c r="AA26" i="2"/>
  <c r="Y26" i="2"/>
  <c r="W26" i="2"/>
  <c r="U26" i="2"/>
  <c r="S26" i="2"/>
  <c r="Q26" i="2"/>
  <c r="O26" i="2"/>
  <c r="M26" i="2"/>
  <c r="K26" i="2"/>
  <c r="I26" i="2"/>
  <c r="G26" i="2"/>
  <c r="E26" i="2"/>
  <c r="AG23" i="2"/>
  <c r="AE23" i="2"/>
  <c r="AC23" i="2"/>
  <c r="AA23" i="2"/>
  <c r="Y23" i="2"/>
  <c r="W23" i="2"/>
  <c r="U23" i="2"/>
  <c r="S23" i="2"/>
  <c r="Q23" i="2"/>
  <c r="O23" i="2"/>
  <c r="M23" i="2"/>
  <c r="K23" i="2"/>
  <c r="I23" i="2"/>
  <c r="G23" i="2"/>
  <c r="E23" i="2"/>
  <c r="AF29" i="2"/>
  <c r="AD29" i="2"/>
  <c r="AB29" i="2"/>
  <c r="Z29" i="2"/>
  <c r="X29" i="2"/>
  <c r="V29" i="2"/>
  <c r="T29" i="2"/>
  <c r="R29" i="2"/>
  <c r="P29" i="2"/>
  <c r="N29" i="2"/>
  <c r="L29" i="2"/>
  <c r="J29" i="2"/>
  <c r="H29" i="2"/>
  <c r="F29" i="2"/>
  <c r="D29" i="2"/>
  <c r="AF26" i="2"/>
  <c r="AD26" i="2"/>
  <c r="AB26" i="2"/>
  <c r="Z26" i="2"/>
  <c r="X26" i="2"/>
  <c r="V26" i="2"/>
  <c r="T26" i="2"/>
  <c r="R26" i="2"/>
  <c r="P26" i="2"/>
  <c r="N26" i="2"/>
  <c r="L26" i="2"/>
  <c r="J26" i="2"/>
  <c r="H26" i="2"/>
  <c r="F26" i="2"/>
  <c r="D26" i="2"/>
  <c r="AF23" i="2"/>
  <c r="AD23" i="2"/>
  <c r="AB23" i="2"/>
  <c r="Z23" i="2"/>
  <c r="X23" i="2"/>
  <c r="V23" i="2"/>
  <c r="T23" i="2"/>
  <c r="R23" i="2"/>
  <c r="P23" i="2"/>
  <c r="N23" i="2"/>
  <c r="L23" i="2"/>
  <c r="J23" i="2"/>
  <c r="H23" i="2"/>
  <c r="F23" i="2"/>
  <c r="D23" i="2"/>
  <c r="D128" i="2"/>
  <c r="AF134" i="2"/>
  <c r="AD134" i="2"/>
  <c r="AB134" i="2"/>
  <c r="Z134" i="2"/>
  <c r="X134" i="2"/>
  <c r="V134" i="2"/>
  <c r="T134" i="2"/>
  <c r="R134" i="2"/>
  <c r="P134" i="2"/>
  <c r="N134" i="2"/>
  <c r="L134" i="2"/>
  <c r="J134" i="2"/>
  <c r="H134" i="2"/>
  <c r="F134" i="2"/>
  <c r="D134" i="2"/>
  <c r="AF133" i="2"/>
  <c r="AD133" i="2"/>
  <c r="AB133" i="2"/>
  <c r="Z133" i="2"/>
  <c r="X133" i="2"/>
  <c r="V133" i="2"/>
  <c r="T133" i="2"/>
  <c r="R133" i="2"/>
  <c r="P133" i="2"/>
  <c r="N133" i="2"/>
  <c r="L133" i="2"/>
  <c r="J133" i="2"/>
  <c r="H133" i="2"/>
  <c r="F133" i="2"/>
  <c r="D133" i="2"/>
  <c r="AF132" i="2"/>
  <c r="AD132" i="2"/>
  <c r="AB132" i="2"/>
  <c r="Z132" i="2"/>
  <c r="X132" i="2"/>
  <c r="V132" i="2"/>
  <c r="T132" i="2"/>
  <c r="R132" i="2"/>
  <c r="P132" i="2"/>
  <c r="N132" i="2"/>
  <c r="L132" i="2"/>
  <c r="J132" i="2"/>
  <c r="H132" i="2"/>
  <c r="F132" i="2"/>
  <c r="D132" i="2"/>
  <c r="AF131" i="2"/>
  <c r="AD131" i="2"/>
  <c r="AB131" i="2"/>
  <c r="Z131" i="2"/>
  <c r="X131" i="2"/>
  <c r="V131" i="2"/>
  <c r="T131" i="2"/>
  <c r="R131" i="2"/>
  <c r="P131" i="2"/>
  <c r="N131" i="2"/>
  <c r="L131" i="2"/>
  <c r="J131" i="2"/>
  <c r="H131" i="2"/>
  <c r="F131" i="2"/>
  <c r="D131" i="2"/>
  <c r="AF130" i="2"/>
  <c r="AD130" i="2"/>
  <c r="AB130" i="2"/>
  <c r="Z130" i="2"/>
  <c r="X130" i="2"/>
  <c r="V130" i="2"/>
  <c r="T130" i="2"/>
  <c r="R130" i="2"/>
  <c r="P130" i="2"/>
  <c r="N130" i="2"/>
  <c r="L130" i="2"/>
  <c r="J130" i="2"/>
  <c r="H130" i="2"/>
  <c r="D130" i="2"/>
  <c r="AD129" i="2"/>
  <c r="Z129" i="2"/>
  <c r="V129" i="2"/>
  <c r="R129" i="2"/>
  <c r="N129" i="2"/>
  <c r="J129" i="2"/>
  <c r="F129" i="2"/>
  <c r="AF128" i="2"/>
  <c r="AB128" i="2"/>
  <c r="X128" i="2"/>
  <c r="T128" i="2"/>
  <c r="P128" i="2"/>
  <c r="L128" i="2"/>
  <c r="H128" i="2"/>
  <c r="AE134" i="2"/>
  <c r="AC134" i="2"/>
  <c r="AA134" i="2"/>
  <c r="Y134" i="2"/>
  <c r="W134" i="2"/>
  <c r="U134" i="2"/>
  <c r="S134" i="2"/>
  <c r="Q134" i="2"/>
  <c r="O134" i="2"/>
  <c r="M134" i="2"/>
  <c r="K134" i="2"/>
  <c r="I134" i="2"/>
  <c r="G134" i="2"/>
  <c r="E134" i="2"/>
  <c r="AE133" i="2"/>
  <c r="AC133" i="2"/>
  <c r="AA133" i="2"/>
  <c r="Y133" i="2"/>
  <c r="W133" i="2"/>
  <c r="U133" i="2"/>
  <c r="S133" i="2"/>
  <c r="Q133" i="2"/>
  <c r="O133" i="2"/>
  <c r="M133" i="2"/>
  <c r="K133" i="2"/>
  <c r="I133" i="2"/>
  <c r="G133" i="2"/>
  <c r="E133" i="2"/>
  <c r="AE132" i="2"/>
  <c r="AC132" i="2"/>
  <c r="AA132" i="2"/>
  <c r="Y132" i="2"/>
  <c r="W132" i="2"/>
  <c r="U132" i="2"/>
  <c r="S132" i="2"/>
  <c r="Q132" i="2"/>
  <c r="O132" i="2"/>
  <c r="M132" i="2"/>
  <c r="K132" i="2"/>
  <c r="I132" i="2"/>
  <c r="G132" i="2"/>
  <c r="E132" i="2"/>
  <c r="AE131" i="2"/>
  <c r="AC131" i="2"/>
  <c r="AA131" i="2"/>
  <c r="Y131" i="2"/>
  <c r="W131" i="2"/>
  <c r="U131" i="2"/>
  <c r="S131" i="2"/>
  <c r="Q131" i="2"/>
  <c r="O131" i="2"/>
  <c r="M131" i="2"/>
  <c r="K131" i="2"/>
  <c r="I131" i="2"/>
  <c r="G131" i="2"/>
  <c r="E131" i="2"/>
  <c r="AE130" i="2"/>
  <c r="AC130" i="2"/>
  <c r="AA130" i="2"/>
  <c r="Y130" i="2"/>
  <c r="W130" i="2"/>
  <c r="U130" i="2"/>
  <c r="S130" i="2"/>
  <c r="Q130" i="2"/>
  <c r="O130" i="2"/>
  <c r="M130" i="2"/>
  <c r="K130" i="2"/>
  <c r="I130" i="2"/>
  <c r="G130" i="2"/>
  <c r="E130" i="2"/>
  <c r="AE129" i="2"/>
  <c r="AC129" i="2"/>
  <c r="AA129" i="2"/>
  <c r="Y129" i="2"/>
  <c r="W129" i="2"/>
  <c r="U129" i="2"/>
  <c r="S129" i="2"/>
  <c r="Q129" i="2"/>
  <c r="O129" i="2"/>
  <c r="M129" i="2"/>
  <c r="K129" i="2"/>
  <c r="I129" i="2"/>
  <c r="G129" i="2"/>
  <c r="E129" i="2"/>
  <c r="AE128" i="2"/>
  <c r="AC128" i="2"/>
  <c r="AA128" i="2"/>
  <c r="Y128" i="2"/>
  <c r="W128" i="2"/>
  <c r="U128" i="2"/>
  <c r="S128" i="2"/>
  <c r="Q128" i="2"/>
  <c r="O128" i="2"/>
  <c r="M128" i="2"/>
  <c r="K128" i="2"/>
  <c r="I128" i="2"/>
  <c r="G128" i="2"/>
  <c r="E128" i="2"/>
  <c r="AF83" i="2"/>
  <c r="AF88" i="2"/>
  <c r="AF93" i="2"/>
  <c r="AB83" i="2"/>
  <c r="AB88" i="2"/>
  <c r="AB93" i="2"/>
  <c r="X83" i="2"/>
  <c r="X88" i="2"/>
  <c r="X93" i="2"/>
  <c r="T83" i="2"/>
  <c r="T88" i="2"/>
  <c r="T93" i="2"/>
  <c r="P83" i="2"/>
  <c r="P88" i="2"/>
  <c r="P93" i="2"/>
  <c r="L83" i="2"/>
  <c r="L88" i="2"/>
  <c r="L93" i="2"/>
  <c r="H83" i="2"/>
  <c r="H88" i="2"/>
  <c r="H93" i="2"/>
  <c r="AD83" i="2"/>
  <c r="AD88" i="2"/>
  <c r="AD93" i="2"/>
  <c r="Z83" i="2"/>
  <c r="Z88" i="2"/>
  <c r="Z93" i="2"/>
  <c r="V83" i="2"/>
  <c r="V88" i="2"/>
  <c r="V93" i="2"/>
  <c r="R83" i="2"/>
  <c r="R88" i="2"/>
  <c r="R93" i="2"/>
  <c r="N83" i="2"/>
  <c r="N88" i="2"/>
  <c r="N93" i="2"/>
  <c r="J83" i="2"/>
  <c r="J88" i="2"/>
  <c r="J93" i="2"/>
  <c r="F83" i="2"/>
  <c r="F88" i="2"/>
  <c r="F93" i="2"/>
  <c r="F130" i="2"/>
  <c r="AF129" i="2"/>
  <c r="AB129" i="2"/>
  <c r="X129" i="2"/>
  <c r="T129" i="2"/>
  <c r="P129" i="2"/>
  <c r="L129" i="2"/>
  <c r="H129" i="2"/>
  <c r="D129" i="2"/>
  <c r="AD128" i="2"/>
  <c r="Z128" i="2"/>
  <c r="V128" i="2"/>
  <c r="R128" i="2"/>
  <c r="N128" i="2"/>
  <c r="J128" i="2"/>
  <c r="F128" i="2"/>
  <c r="AG83" i="2"/>
  <c r="AG88" i="2"/>
  <c r="AG93" i="2"/>
  <c r="AE83" i="2"/>
  <c r="AE88" i="2"/>
  <c r="AE93" i="2"/>
  <c r="AC83" i="2"/>
  <c r="AC88" i="2"/>
  <c r="AC93" i="2"/>
  <c r="AA83" i="2"/>
  <c r="AA88" i="2"/>
  <c r="AA93" i="2"/>
  <c r="Y83" i="2"/>
  <c r="Y88" i="2"/>
  <c r="Y93" i="2"/>
  <c r="W83" i="2"/>
  <c r="W88" i="2"/>
  <c r="W93" i="2"/>
  <c r="U83" i="2"/>
  <c r="U88" i="2"/>
  <c r="U93" i="2"/>
  <c r="S83" i="2"/>
  <c r="S88" i="2"/>
  <c r="S93" i="2"/>
  <c r="Q83" i="2"/>
  <c r="Q88" i="2"/>
  <c r="Q93" i="2"/>
  <c r="O83" i="2"/>
  <c r="O88" i="2"/>
  <c r="O93" i="2"/>
  <c r="M83" i="2"/>
  <c r="M88" i="2"/>
  <c r="M93" i="2"/>
  <c r="K83" i="2"/>
  <c r="K88" i="2"/>
  <c r="K93" i="2"/>
  <c r="I83" i="2"/>
  <c r="I88" i="2"/>
  <c r="I93" i="2"/>
  <c r="G83" i="2"/>
  <c r="G88" i="2"/>
  <c r="G93" i="2"/>
  <c r="E83" i="2"/>
  <c r="E88" i="2"/>
  <c r="E93" i="2"/>
  <c r="D83" i="2"/>
  <c r="D88" i="2"/>
  <c r="D93" i="2"/>
  <c r="I32" i="2"/>
  <c r="V32" i="2"/>
  <c r="F32" i="2"/>
  <c r="AG255" i="2" l="1"/>
  <c r="AG265" i="2"/>
  <c r="Y32" i="2"/>
  <c r="N32" i="2"/>
  <c r="AD32" i="2"/>
  <c r="Q32" i="2"/>
  <c r="AG32" i="2"/>
  <c r="J135" i="2"/>
  <c r="R135" i="2"/>
  <c r="Z135" i="2"/>
  <c r="J32" i="2"/>
  <c r="R32" i="2"/>
  <c r="Z32" i="2"/>
  <c r="E32" i="2"/>
  <c r="M32" i="2"/>
  <c r="U32" i="2"/>
  <c r="AC32" i="2"/>
  <c r="D32" i="2"/>
  <c r="H32" i="2"/>
  <c r="L32" i="2"/>
  <c r="P32" i="2"/>
  <c r="T32" i="2"/>
  <c r="X32" i="2"/>
  <c r="AB32" i="2"/>
  <c r="AF32" i="2"/>
  <c r="G32" i="2"/>
  <c r="K32" i="2"/>
  <c r="O32" i="2"/>
  <c r="S32" i="2"/>
  <c r="W32" i="2"/>
  <c r="AA32" i="2"/>
  <c r="AE32" i="2"/>
  <c r="G135" i="2"/>
  <c r="K135" i="2"/>
  <c r="O135" i="2"/>
  <c r="S135" i="2"/>
  <c r="W135" i="2"/>
  <c r="F135" i="2"/>
  <c r="N135" i="2"/>
  <c r="V135" i="2"/>
  <c r="AD135" i="2"/>
  <c r="E135" i="2"/>
  <c r="I135" i="2"/>
  <c r="M135" i="2"/>
  <c r="Q135" i="2"/>
  <c r="U135" i="2"/>
  <c r="Y135" i="2"/>
  <c r="AC135" i="2"/>
  <c r="AA135" i="2"/>
  <c r="AE135" i="2"/>
  <c r="L135" i="2"/>
  <c r="T135" i="2"/>
  <c r="AB135" i="2"/>
  <c r="H135" i="2"/>
  <c r="P135" i="2"/>
  <c r="X135" i="2"/>
  <c r="AF135" i="2"/>
  <c r="D135" i="2"/>
  <c r="C62" i="2"/>
  <c r="AF255" i="2" l="1"/>
  <c r="AF265" i="2"/>
  <c r="P255" i="2"/>
  <c r="P265" i="2"/>
  <c r="AB255" i="2"/>
  <c r="AB265" i="2"/>
  <c r="L255" i="2"/>
  <c r="L265" i="2"/>
  <c r="AA255" i="2"/>
  <c r="AA265" i="2"/>
  <c r="AC255" i="2"/>
  <c r="AC265" i="2"/>
  <c r="U255" i="2"/>
  <c r="U265" i="2"/>
  <c r="M255" i="2"/>
  <c r="M265" i="2"/>
  <c r="E255" i="2"/>
  <c r="E265" i="2"/>
  <c r="V255" i="2"/>
  <c r="V265" i="2"/>
  <c r="F255" i="2"/>
  <c r="F265" i="2"/>
  <c r="S255" i="2"/>
  <c r="S265" i="2"/>
  <c r="K255" i="2"/>
  <c r="K265" i="2"/>
  <c r="Z255" i="2"/>
  <c r="Z265" i="2"/>
  <c r="J255" i="2"/>
  <c r="J265" i="2"/>
  <c r="D255" i="2"/>
  <c r="D265" i="2"/>
  <c r="X255" i="2"/>
  <c r="X265" i="2"/>
  <c r="H255" i="2"/>
  <c r="H265" i="2"/>
  <c r="T255" i="2"/>
  <c r="T265" i="2"/>
  <c r="AE255" i="2"/>
  <c r="AE265" i="2"/>
  <c r="Y255" i="2"/>
  <c r="Y265" i="2"/>
  <c r="Q255" i="2"/>
  <c r="Q265" i="2"/>
  <c r="I255" i="2"/>
  <c r="I265" i="2"/>
  <c r="AD255" i="2"/>
  <c r="AD265" i="2"/>
  <c r="N255" i="2"/>
  <c r="N265" i="2"/>
  <c r="W255" i="2"/>
  <c r="W265" i="2"/>
  <c r="O255" i="2"/>
  <c r="O265" i="2"/>
  <c r="G255" i="2"/>
  <c r="G265" i="2"/>
  <c r="R255" i="2"/>
  <c r="R265" i="2"/>
  <c r="C133" i="2"/>
  <c r="C132" i="2"/>
  <c r="C131" i="2"/>
  <c r="C134" i="2"/>
  <c r="C128" i="2"/>
  <c r="C129" i="2"/>
  <c r="C275" i="2"/>
  <c r="C225" i="2"/>
  <c r="C285" i="2"/>
  <c r="C235" i="2"/>
  <c r="C245" i="2"/>
  <c r="C69" i="2"/>
  <c r="C48" i="2"/>
  <c r="C76" i="2"/>
  <c r="C52" i="2"/>
  <c r="C72" i="2"/>
  <c r="C105" i="2"/>
  <c r="C102" i="2"/>
  <c r="C99" i="2"/>
  <c r="C59" i="2"/>
  <c r="C29" i="2"/>
  <c r="C26" i="2"/>
  <c r="C23" i="2"/>
  <c r="C32" i="2" l="1"/>
  <c r="C108" i="2"/>
  <c r="C88" i="2"/>
  <c r="C83" i="2"/>
  <c r="C93" i="2"/>
  <c r="C399" i="2"/>
  <c r="C410" i="2"/>
  <c r="C383" i="2"/>
  <c r="C155" i="2"/>
  <c r="C175" i="2"/>
  <c r="C195" i="2"/>
  <c r="C215" i="2"/>
  <c r="C307" i="2"/>
  <c r="C295" i="2"/>
  <c r="C205" i="2"/>
  <c r="C185" i="2"/>
  <c r="C165" i="2"/>
  <c r="C145" i="2"/>
  <c r="C324" i="2" l="1"/>
  <c r="C333" i="2"/>
  <c r="B12" i="2"/>
  <c r="C135" i="2" l="1"/>
  <c r="C255" i="2" l="1"/>
  <c r="C265" i="2"/>
  <c r="C351" i="2"/>
  <c r="C36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19AF5170-9F2A-4211-B2DF-6F5D78E0A93E}">
      <text>
        <r>
          <rPr>
            <b/>
            <sz val="9"/>
            <color indexed="81"/>
            <rFont val="Tahoma"/>
            <family val="2"/>
          </rPr>
          <t>Author:</t>
        </r>
        <r>
          <rPr>
            <sz val="9"/>
            <color indexed="81"/>
            <rFont val="Tahoma"/>
            <family val="2"/>
          </rPr>
          <t xml:space="preserve">
NOTE: It is important that you filter on this column when aggregating emissions, to avoid any double counting. For direct emissions, the type of aggregation is noted in brackets. There is a 'total CO2e' row for each source of direct emissions, which is the sum of all gas types - this will usually be the one that you need. Also note that when calculating net emissions for industry, you need to sum direct and negative emissions. </t>
        </r>
      </text>
    </comment>
  </commentList>
</comments>
</file>

<file path=xl/sharedStrings.xml><?xml version="1.0" encoding="utf-8"?>
<sst xmlns="http://schemas.openxmlformats.org/spreadsheetml/2006/main" count="952" uniqueCount="325">
  <si>
    <t>Detailed Tables</t>
  </si>
  <si>
    <t>Outputs</t>
  </si>
  <si>
    <t>Costs</t>
  </si>
  <si>
    <t>Emissions</t>
  </si>
  <si>
    <t>Energy</t>
  </si>
  <si>
    <t>UNITS</t>
  </si>
  <si>
    <t>/3.6</t>
  </si>
  <si>
    <t>/1000</t>
  </si>
  <si>
    <t>Units used in this sheet</t>
  </si>
  <si>
    <t>Mt</t>
  </si>
  <si>
    <t>£bn</t>
  </si>
  <si>
    <t>TWh</t>
  </si>
  <si>
    <t>Conversion factors</t>
  </si>
  <si>
    <t>PJ to TWh</t>
  </si>
  <si>
    <t>Industry</t>
  </si>
  <si>
    <t>CO2</t>
  </si>
  <si>
    <t>Refineries</t>
  </si>
  <si>
    <t>Cement</t>
  </si>
  <si>
    <t>Captured</t>
  </si>
  <si>
    <t>Emissions from process</t>
  </si>
  <si>
    <t>Chemicals</t>
  </si>
  <si>
    <t>Food &amp; Drink</t>
  </si>
  <si>
    <t>Iron &amp; Steel</t>
  </si>
  <si>
    <t>Non-ferrous metals</t>
  </si>
  <si>
    <t>Other</t>
  </si>
  <si>
    <t>Paper</t>
  </si>
  <si>
    <t>Hydrogen</t>
  </si>
  <si>
    <t>Traded</t>
  </si>
  <si>
    <t>Total System Cost</t>
  </si>
  <si>
    <t>Cost by Sector and Type</t>
  </si>
  <si>
    <t>Capex</t>
  </si>
  <si>
    <t>Opex</t>
  </si>
  <si>
    <t>Fuel cost</t>
  </si>
  <si>
    <t>Carbon cost</t>
  </si>
  <si>
    <t>Infrastructure costs</t>
  </si>
  <si>
    <t>Electricity</t>
  </si>
  <si>
    <t>Primary fuel coal and manufactured fuels coke and blast furnace gas.</t>
  </si>
  <si>
    <t>Heavy fuel oil, light fuel oil, LPG, kerosene and oil products for non-energy fuel use.</t>
  </si>
  <si>
    <t>Natural gas for the industry sector (after distribution grid) and natural gas for non-energy fuel use.</t>
  </si>
  <si>
    <t>Electricity for the industry sector (after distribution grid)</t>
  </si>
  <si>
    <t>Hydrogen (gaseous) for the industry sector (after distribution grid) and hydrogen for non-energy fuel use.</t>
  </si>
  <si>
    <t>Sector_infrastructure</t>
  </si>
  <si>
    <t>Cluster</t>
  </si>
  <si>
    <t>Cost_type</t>
  </si>
  <si>
    <t>Unit</t>
  </si>
  <si>
    <t>2020</t>
  </si>
  <si>
    <t>2025</t>
  </si>
  <si>
    <t>2030</t>
  </si>
  <si>
    <t>2035</t>
  </si>
  <si>
    <t>2040</t>
  </si>
  <si>
    <t>2045</t>
  </si>
  <si>
    <t>2050</t>
  </si>
  <si>
    <t>Humberside</t>
  </si>
  <si>
    <t>Sector</t>
  </si>
  <si>
    <t>Primary_output</t>
  </si>
  <si>
    <t>Output_description</t>
  </si>
  <si>
    <t>Technology_code</t>
  </si>
  <si>
    <t>Technology_description</t>
  </si>
  <si>
    <t>Technology_category</t>
  </si>
  <si>
    <t>Capacity</t>
  </si>
  <si>
    <t>Emission_type</t>
  </si>
  <si>
    <t>CO2_NonCO2</t>
  </si>
  <si>
    <t>unit</t>
  </si>
  <si>
    <t>NonTraded</t>
  </si>
  <si>
    <t>NonCO2</t>
  </si>
  <si>
    <t>Process</t>
  </si>
  <si>
    <t>Input_commodity</t>
  </si>
  <si>
    <t>Gas</t>
  </si>
  <si>
    <t>Storage_site</t>
  </si>
  <si>
    <t>Emissions_captured</t>
  </si>
  <si>
    <t>Grangemouth</t>
  </si>
  <si>
    <t>Humberside2</t>
  </si>
  <si>
    <t>Londonderry</t>
  </si>
  <si>
    <t>Merseyside</t>
  </si>
  <si>
    <t>South Wales</t>
  </si>
  <si>
    <t>Medway</t>
  </si>
  <si>
    <t>Peterhead</t>
  </si>
  <si>
    <t>Southampton</t>
  </si>
  <si>
    <t>Teesside</t>
  </si>
  <si>
    <t>Northern and Central North Sea</t>
  </si>
  <si>
    <t>Southern North Sea</t>
  </si>
  <si>
    <t>East Irish Sea</t>
  </si>
  <si>
    <t>Coal</t>
  </si>
  <si>
    <t>Oil</t>
  </si>
  <si>
    <t>Biomass gasification, with CCS</t>
  </si>
  <si>
    <t>Natural gas steam reforming, with CCS</t>
  </si>
  <si>
    <t>Fuel_category</t>
  </si>
  <si>
    <t>Generate_emissions</t>
  </si>
  <si>
    <t>Sector_group</t>
  </si>
  <si>
    <t>Infrastructure</t>
  </si>
  <si>
    <t>variable_type</t>
  </si>
  <si>
    <t>cluster</t>
  </si>
  <si>
    <t>H2 pipe newly built capacity</t>
  </si>
  <si>
    <t>H2 pipes between cluster point and sites</t>
  </si>
  <si>
    <t>MW</t>
  </si>
  <si>
    <t>PJ/y to MW</t>
  </si>
  <si>
    <t>H2 pipe cummulative capacity</t>
  </si>
  <si>
    <t>CO2 pipe newly built capacity</t>
  </si>
  <si>
    <t>CO2 pipes between cluster point and sites</t>
  </si>
  <si>
    <t>CO2 pipe cummulative capacity</t>
  </si>
  <si>
    <t>Mt/year</t>
  </si>
  <si>
    <t>terminal</t>
  </si>
  <si>
    <t>storage_site</t>
  </si>
  <si>
    <t>Storage site usage</t>
  </si>
  <si>
    <t>Annual injection</t>
  </si>
  <si>
    <t>CO2 transported</t>
  </si>
  <si>
    <t>Annual transport</t>
  </si>
  <si>
    <t>Technology costs</t>
  </si>
  <si>
    <t>CO2 transport from cluster to storage site</t>
  </si>
  <si>
    <t>Transportation costs</t>
  </si>
  <si>
    <t>Detailed industry emissions</t>
  </si>
  <si>
    <t>Inorganic waste</t>
  </si>
  <si>
    <t>Biomass &amp; organic waste</t>
  </si>
  <si>
    <t>Biomass and organic waste</t>
  </si>
  <si>
    <t>Fuel definitions</t>
  </si>
  <si>
    <t>Includes biomeathane from the gas grid, organic waste, wood waste, pellets, landfill gas and biogas</t>
  </si>
  <si>
    <t>Electrolysis - alkaline</t>
  </si>
  <si>
    <t>Proton exchange membrane</t>
  </si>
  <si>
    <t>Electrolysis - Solid Oxide Electrolyser</t>
  </si>
  <si>
    <t>Natural gas steam reforming ATR, with CCS</t>
  </si>
  <si>
    <t>pipe_cluster_end</t>
  </si>
  <si>
    <t>Hydrogen transported</t>
  </si>
  <si>
    <t>Annual transport from cluster to cluster</t>
  </si>
  <si>
    <t>CO2 &amp; H2 transport</t>
  </si>
  <si>
    <t>TOTAL</t>
  </si>
  <si>
    <t>Emission by sector</t>
  </si>
  <si>
    <t>Captured emissions</t>
  </si>
  <si>
    <t>Released emissions</t>
  </si>
  <si>
    <t>TOTAL industry fuel consumption</t>
  </si>
  <si>
    <t>Production</t>
  </si>
  <si>
    <t>Hydrogen production</t>
  </si>
  <si>
    <t>By cluster</t>
  </si>
  <si>
    <t>By technology</t>
  </si>
  <si>
    <t>Industry fuel consumption</t>
  </si>
  <si>
    <t>Hydrogen sector consumption</t>
  </si>
  <si>
    <t>Refineries consumption</t>
  </si>
  <si>
    <t>Column1</t>
  </si>
  <si>
    <t>Emissions_total</t>
  </si>
  <si>
    <t>cluster_rad</t>
  </si>
  <si>
    <t>Technology_descritpion</t>
  </si>
  <si>
    <t>Options</t>
  </si>
  <si>
    <t>Direct_and_Indirect</t>
  </si>
  <si>
    <t>2050_TWh</t>
  </si>
  <si>
    <t>2045_TWh</t>
  </si>
  <si>
    <t>2040_TWh</t>
  </si>
  <si>
    <t>2035_TWh</t>
  </si>
  <si>
    <t>2030_TWh</t>
  </si>
  <si>
    <t>2025_TWh</t>
  </si>
  <si>
    <t>2021</t>
  </si>
  <si>
    <t>2022</t>
  </si>
  <si>
    <t>2023</t>
  </si>
  <si>
    <t>2024</t>
  </si>
  <si>
    <t>2026</t>
  </si>
  <si>
    <t>2027</t>
  </si>
  <si>
    <t>2028</t>
  </si>
  <si>
    <t>2029</t>
  </si>
  <si>
    <t>2031</t>
  </si>
  <si>
    <t>2032</t>
  </si>
  <si>
    <t>2033</t>
  </si>
  <si>
    <t>2034</t>
  </si>
  <si>
    <t>2036</t>
  </si>
  <si>
    <t>2037</t>
  </si>
  <si>
    <t>2038</t>
  </si>
  <si>
    <t>2039</t>
  </si>
  <si>
    <t>2046</t>
  </si>
  <si>
    <t>2047</t>
  </si>
  <si>
    <t>2048</t>
  </si>
  <si>
    <t>2049</t>
  </si>
  <si>
    <t>2041</t>
  </si>
  <si>
    <t>2042</t>
  </si>
  <si>
    <t>2043</t>
  </si>
  <si>
    <t>2044</t>
  </si>
  <si>
    <t>2021_TWh</t>
  </si>
  <si>
    <t>2022_TWh</t>
  </si>
  <si>
    <t>2023_TWh</t>
  </si>
  <si>
    <t>2024_TWh</t>
  </si>
  <si>
    <t>2026_TWh</t>
  </si>
  <si>
    <t>2027_TWh</t>
  </si>
  <si>
    <t>2028_TWh</t>
  </si>
  <si>
    <t>2029_TWh</t>
  </si>
  <si>
    <t>2046_TWh</t>
  </si>
  <si>
    <t>2031_TWh</t>
  </si>
  <si>
    <t>2032_TWh</t>
  </si>
  <si>
    <t>2033_TWh</t>
  </si>
  <si>
    <t>2034_TWh</t>
  </si>
  <si>
    <t>2036_TWh</t>
  </si>
  <si>
    <t>2037_TWh</t>
  </si>
  <si>
    <t>2038_TWh</t>
  </si>
  <si>
    <t>2039_TWh</t>
  </si>
  <si>
    <t>2041_TWh</t>
  </si>
  <si>
    <t>2042_TWh</t>
  </si>
  <si>
    <t>2043_TWh</t>
  </si>
  <si>
    <t>2044_TWh</t>
  </si>
  <si>
    <t>2047_TWh</t>
  </si>
  <si>
    <t>2048_TWh</t>
  </si>
  <si>
    <t>2049_TWh</t>
  </si>
  <si>
    <t>Select emissions type:</t>
  </si>
  <si>
    <t>Capex figures shown here are costs with borrowing and spread over technology/equipment lifetime;  lumpy yearly investment cost figures without borrowing  (capex_lump) can be found in "Costs" tab.</t>
  </si>
  <si>
    <t>£bn/year</t>
  </si>
  <si>
    <t>MW/year</t>
  </si>
  <si>
    <t xml:space="preserve">Field name </t>
  </si>
  <si>
    <t>Definition</t>
  </si>
  <si>
    <t>Details</t>
  </si>
  <si>
    <t>Filters for cost data by industrial sector and/or infrastructure cost type (e.g. H2 pipes,using the following codes, CO2_C2S: CO2 cluster to storage costs, CO2_S2C: Co2 site to cluster costs, H2_S2C: H2 site to cluster costs; H2_C2C: H2 cluster to cluster costs)</t>
  </si>
  <si>
    <t>Filters by industrial cluster</t>
  </si>
  <si>
    <t xml:space="preserve">Filters for costs from sites inside or outside a cluster, using a cluster radius of either 25km or 30km </t>
  </si>
  <si>
    <t>The 'cluster radius' refers to distance from the site to cluster centre, grouped into one of 3 distance classes: &lt;25km, 25-30km, &gt;30km</t>
  </si>
  <si>
    <t>Only relevant for CO2_C2S costs</t>
  </si>
  <si>
    <t>Traded emissions capture those that come from installations covered by the UK Emissions Trading Scheme (ETS), whereas non-traded emissions are those which do not fall within scope of the UK ETS. NZIP 2.0 assumes that all point source sites are traded. Non-traded emissions are assumed to come from non-point source sites</t>
  </si>
  <si>
    <t xml:space="preserve">Unique identifier for the main output commodity produced by the technology </t>
  </si>
  <si>
    <t>The primary outputs are what the industrial processes produce in NZIP2. There may be secondary outputs from the industrial processes in some cases (e.g. waste, heat or process emissions).</t>
  </si>
  <si>
    <t>Description of the output commodity</t>
  </si>
  <si>
    <t xml:space="preserve">Unique identifier for the technology </t>
  </si>
  <si>
    <t>Information about each technology in the model can be found on the Technologies tab of the input data worksheet using the unique identifying code</t>
  </si>
  <si>
    <t>Description of the technology</t>
  </si>
  <si>
    <t>Technology grouping according to fuel type used</t>
  </si>
  <si>
    <t>The groups are: biomass, ccs, electricity, hydrogen, oil, standard fossil fuel and steam</t>
  </si>
  <si>
    <t xml:space="preserve">Filters by cost type: Capital expentiture cost with borrowing and spread over technology/equipment lifetime (capex), Operational costs (opex), Fuel Cost, Carbon Cost, 'lumpy' yearly investment cost figures without borrowing  (capex_lump) </t>
  </si>
  <si>
    <t>Units in which the cost is measured</t>
  </si>
  <si>
    <t>Filters by whether the cost is incurred by Industry (all sectors apart from Refineries) or Refineries</t>
  </si>
  <si>
    <t>2020, 2021, 2022,….</t>
  </si>
  <si>
    <t>Filters for output data by industrial sector</t>
  </si>
  <si>
    <t xml:space="preserve">Unique identifier for the commodity output produced by the technology </t>
  </si>
  <si>
    <t>Additional information about each technology in the model can be found on the Technologies tab of the input data worksheet</t>
  </si>
  <si>
    <t xml:space="preserve"> The groups are: biomass, ccs, electricity, hydrogen, oil, standard fossil fuel and steam</t>
  </si>
  <si>
    <t>Filters by type of technological capacity: used capacity, available capacity, new capacity</t>
  </si>
  <si>
    <t>At present, the model only reports used capacity outputs. Refer to technical guide for further information on these different variable types and their use in the model</t>
  </si>
  <si>
    <t xml:space="preserve">The amount of output that the technology uses in that year </t>
  </si>
  <si>
    <t>The type of emissions being displayed</t>
  </si>
  <si>
    <t>Filters for emissions by industrial sector</t>
  </si>
  <si>
    <t> Technology grouping according to fuel type used</t>
  </si>
  <si>
    <t>Filters by pollutant: CO2, non CO2 or blank</t>
  </si>
  <si>
    <t>Energy, Process, Blank</t>
  </si>
  <si>
    <t>Yearly emissions reported in Kt</t>
  </si>
  <si>
    <t>Filters by whether the emissions are from Industry (all sectors apart from Refineries) or Refineries</t>
  </si>
  <si>
    <t>Filters for fuel use by industrial sector</t>
  </si>
  <si>
    <t>The input commodity (fuel or material) used in the industrial process</t>
  </si>
  <si>
    <t>Filters by type of fuel: biomass, coal, electricity, hydrogen, electricity, gas, inorganic waste, nonenergyuse</t>
  </si>
  <si>
    <t>Definitions for the different fuel types can be found on the DetailedTables tab, in the Energy subsection (from row 109)</t>
  </si>
  <si>
    <t>Filters by whether the process generates emissions</t>
  </si>
  <si>
    <t>2020_TWh, 2021_TWh, 2022_TWh</t>
  </si>
  <si>
    <t>Yearly fuel use reported in TWh (Terawatt-hours)</t>
  </si>
  <si>
    <t>2020_ktCO2e, 2021_ktCO2e, 2022_ktCO2e</t>
  </si>
  <si>
    <t>Yearly fuel use reported in ktCO2e (kilotons of carbon dioxide equivalent)</t>
  </si>
  <si>
    <t>Filters by whether the fuel use occurs in Industry (all sectors apart from Refineries) or Refineries</t>
  </si>
  <si>
    <t>Sites</t>
  </si>
  <si>
    <t>Filters for sites by industrial sector</t>
  </si>
  <si>
    <t>traded_site</t>
  </si>
  <si>
    <t>Filters by whether the site's emissions are Traded or NonTraded</t>
  </si>
  <si>
    <t>Traded sites are those covered by the UK Emissions Trading Scheme (ETS) and non traded sites are not. In NZIP2, the NAEI site data is assumed to be the traded emissions from industry sites and non-traded emissions are assumed to come from non point sites</t>
  </si>
  <si>
    <t>Site_count</t>
  </si>
  <si>
    <t>Where &gt;1, indicates that several small point source sites (emissions MtCo2 &lt; 0.01) have been grouped together</t>
  </si>
  <si>
    <t>Small point source sites (emissionsMtCO2 &lt; 0.01) and non-point source sites are grouped into larger artificial sites by sector, cluster, whether in/out of the cluster radius and in bands of 500 km</t>
  </si>
  <si>
    <t>The variable types are: H2_pipe_available_capacity, H2_pipe_new_capacity, CO2_pipe_available_capacity, CO2_pipe_new_capacity, CO2_transported (and H2_outflows if H2_production is enabled in the model)</t>
  </si>
  <si>
    <t>Units in which the amount of H2/CO2 being transported or the capacity to transport is being measured</t>
  </si>
  <si>
    <t>Filters by CO2 terminal. Only relevant for CO2 transportation</t>
  </si>
  <si>
    <r>
      <t xml:space="preserve">See the </t>
    </r>
    <r>
      <rPr>
        <b/>
        <sz val="11"/>
        <color theme="1"/>
        <rFont val="Calibri"/>
        <family val="2"/>
        <scheme val="minor"/>
      </rPr>
      <t>CO2_T&amp;S_cost</t>
    </r>
    <r>
      <rPr>
        <sz val="11"/>
        <color theme="1"/>
        <rFont val="Calibri"/>
        <family val="2"/>
        <scheme val="minor"/>
      </rPr>
      <t xml:space="preserve"> sheet in the Input data worksheet for additional information on the different possible CO2 shipping/transport/storage routes</t>
    </r>
  </si>
  <si>
    <t>Filters by CO2 storage site to show storage site usage. Only relevant for CO2 transportation</t>
  </si>
  <si>
    <t>Filters by cluster end point when looking at annual H2 transportation from cluster to cluster</t>
  </si>
  <si>
    <t>Only relevant when H2 production is enabled in the model</t>
  </si>
  <si>
    <t>Carbon storage location</t>
  </si>
  <si>
    <t>Infastructure</t>
  </si>
  <si>
    <t xml:space="preserve"> </t>
  </si>
  <si>
    <t>Definitions</t>
  </si>
  <si>
    <t>Definitions for each of the field headings used in the blue data output sheets.</t>
  </si>
  <si>
    <t xml:space="preserve">This sheet shows the deployment of industrial technologies in terms of used capacity and the activity through time. It is useful for understanding the roll out of technologies. </t>
  </si>
  <si>
    <t>This sheet shows green house gas emissions from technologies in Kt of CO2 equivalent through time (KtCO2e).</t>
  </si>
  <si>
    <t>This sheet shows the capacities of H2 and CO2 pipes built and amount of CO2 transported between clusters and storage sites.</t>
  </si>
  <si>
    <t>Lime</t>
  </si>
  <si>
    <t>Mechanical engineering</t>
  </si>
  <si>
    <t>Textiles</t>
  </si>
  <si>
    <t>Vehicles</t>
  </si>
  <si>
    <t>Ceramics</t>
  </si>
  <si>
    <t>Construction</t>
  </si>
  <si>
    <t>Electrical engineering</t>
  </si>
  <si>
    <t>Glass</t>
  </si>
  <si>
    <t>H2 site to cluster transport</t>
  </si>
  <si>
    <t>CO2 site to cluster transport</t>
  </si>
  <si>
    <t>Hydrogen cluster to cluster transport</t>
  </si>
  <si>
    <t>region_of_cluster_centre</t>
  </si>
  <si>
    <t>ghg_type</t>
  </si>
  <si>
    <t>site_traded_status</t>
  </si>
  <si>
    <t>Filters by cluster region</t>
  </si>
  <si>
    <t>cost_traded_status</t>
  </si>
  <si>
    <t xml:space="preserve">Traded (TRUE) or non-traded (FALSE) sites </t>
  </si>
  <si>
    <t>Filters by GHG type: CO2, NH4, N2O</t>
  </si>
  <si>
    <t>Filters by the type of infrastructure, either H2 or CO2 pipelines/trucking/grid, or H2/CO2 transportation to cluster/storage site</t>
  </si>
  <si>
    <t xml:space="preserve">The amount of transportation capacity available or in use in that year </t>
  </si>
  <si>
    <t>2051</t>
  </si>
  <si>
    <t>site_name</t>
  </si>
  <si>
    <t>Latitude</t>
  </si>
  <si>
    <t>Longitude</t>
  </si>
  <si>
    <t>region</t>
  </si>
  <si>
    <t>site_ID</t>
  </si>
  <si>
    <t xml:space="preserve">site_traded_status </t>
  </si>
  <si>
    <t>Emissions_category</t>
  </si>
  <si>
    <t>Direct (split by ghg type)</t>
  </si>
  <si>
    <r>
      <t>Direct</t>
    </r>
    <r>
      <rPr>
        <i/>
        <sz val="11"/>
        <color theme="9" tint="0.59999389629810485"/>
        <rFont val="Calibri"/>
        <family val="2"/>
        <scheme val="minor"/>
      </rPr>
      <t xml:space="preserve"> (split by ghg type)</t>
    </r>
  </si>
  <si>
    <t>2051_TWh</t>
  </si>
  <si>
    <r>
      <t xml:space="preserve">Summary tables of outputs split by sector and other headline, such as emissions source/type, technology, and types of capital costs. For all tables in the </t>
    </r>
    <r>
      <rPr>
        <b/>
        <sz val="10"/>
        <color theme="0"/>
        <rFont val="Calibri"/>
        <family val="2"/>
        <scheme val="minor"/>
      </rPr>
      <t>DetailedTables</t>
    </r>
    <r>
      <rPr>
        <sz val="10"/>
        <color theme="0"/>
        <rFont val="Calibri"/>
        <family val="2"/>
        <scheme val="minor"/>
      </rPr>
      <t xml:space="preserve"> sheet, the individual data points that are used to generate the summary tables can be accessed from the corresponding blue (cluster-level outputs) tab. </t>
    </r>
  </si>
  <si>
    <t>CONTENTS</t>
  </si>
  <si>
    <r>
      <t xml:space="preserve">XXX_cluster </t>
    </r>
    <r>
      <rPr>
        <b/>
        <sz val="11"/>
        <color theme="1"/>
        <rFont val="Calibri"/>
        <family val="2"/>
        <scheme val="minor"/>
      </rPr>
      <t>(orange tabs)</t>
    </r>
  </si>
  <si>
    <t>Petajoules -&gt; Terawatt hour</t>
  </si>
  <si>
    <t>Kilotonnes -&gt; Megatonnes</t>
  </si>
  <si>
    <t>£million -&gt; £billion</t>
  </si>
  <si>
    <t>Emissions outputs will normally be given in kilatonnes (see the units column). Often in the Detailed Tables we convert to megatonne by dividing by 1000.</t>
  </si>
  <si>
    <t>Where units of energy in the model are given in petajoules, we often convert to terawatt hours by dividing by 3.6 in the DetailedTables.</t>
  </si>
  <si>
    <t>All costs in the model outputs are in £million and are often converted to £billion in the Detailed Tables by dividing by 1000.</t>
  </si>
  <si>
    <r>
      <t xml:space="preserve">These sheets show the above [blue] site-level outputs aggregated to the cluster-level. Users can select to the option to output cluster-level outputs in the </t>
    </r>
    <r>
      <rPr>
        <b/>
        <sz val="10"/>
        <color theme="1"/>
        <rFont val="Calibri"/>
        <family val="2"/>
        <scheme val="minor"/>
      </rPr>
      <t xml:space="preserve">model_parameters </t>
    </r>
    <r>
      <rPr>
        <sz val="10"/>
        <color theme="1"/>
        <rFont val="Calibri"/>
        <family val="2"/>
        <scheme val="minor"/>
      </rPr>
      <t>tab of the input data workbook, but they are not included by default.</t>
    </r>
  </si>
  <si>
    <t>This sheet displays all site-level outputs relating to costs incurred during the model run. Units are in £million. The Cost data for a given year represents the cost that will occur in that year (including inflation, after discounting 3.5%).</t>
  </si>
  <si>
    <r>
      <t xml:space="preserve">This sheet shows the amounts of fuel used at the site level (by technology) along with the corresponding fuel emissions. Fuel definitions can be found on the </t>
    </r>
    <r>
      <rPr>
        <b/>
        <sz val="10"/>
        <color theme="1"/>
        <rFont val="Calibri"/>
        <family val="2"/>
        <scheme val="minor"/>
      </rPr>
      <t>DetailedTables</t>
    </r>
    <r>
      <rPr>
        <sz val="10"/>
        <color theme="1"/>
        <rFont val="Calibri"/>
        <family val="2"/>
        <scheme val="minor"/>
      </rPr>
      <t xml:space="preserve"> sheet (from row 109). Note that this sheet contains the same information as the </t>
    </r>
    <r>
      <rPr>
        <b/>
        <sz val="10"/>
        <color theme="1"/>
        <rFont val="Calibri"/>
        <family val="2"/>
        <scheme val="minor"/>
      </rPr>
      <t>Emissions</t>
    </r>
    <r>
      <rPr>
        <sz val="10"/>
        <color theme="1"/>
        <rFont val="Calibri"/>
        <family val="2"/>
        <scheme val="minor"/>
      </rPr>
      <t xml:space="preserve"> sheet but with the type of pollutant (CO2, methane, etc.) included. </t>
    </r>
  </si>
  <si>
    <t>Sites_info</t>
  </si>
  <si>
    <t>This sheet contains data for the individual sites that are modelled, including some high level characteristics and geographical information.</t>
  </si>
  <si>
    <t>C O M I T</t>
  </si>
  <si>
    <t>Cost Optimisation Model for Industrial Technologies</t>
  </si>
  <si>
    <t>Model Outputs</t>
  </si>
  <si>
    <t xml:space="preserve">Package version: </t>
  </si>
  <si>
    <t xml:space="preserve">Run date: </t>
  </si>
  <si>
    <t>Completion time:</t>
  </si>
  <si>
    <t>Sheet</t>
  </si>
  <si>
    <t>Cost in given year, reported in £m.</t>
  </si>
  <si>
    <t>Log</t>
  </si>
  <si>
    <t>Note to user:</t>
  </si>
  <si>
    <r>
      <t xml:space="preserve">This tab contains a record of the models messages whilst COMIT runs. It is strongly recommended that this tab is </t>
    </r>
    <r>
      <rPr>
        <b/>
        <sz val="11"/>
        <color theme="1"/>
        <rFont val="Calibri"/>
        <family val="2"/>
        <scheme val="minor"/>
      </rPr>
      <t>reviewed as part of the QA</t>
    </r>
    <r>
      <rPr>
        <sz val="11"/>
        <color theme="1"/>
        <rFont val="Calibri"/>
        <family val="2"/>
        <scheme val="minor"/>
      </rPr>
      <t xml:space="preserve"> procedure for model runs to catch any errors and ensure no unexpected actions have taken place.</t>
    </r>
  </si>
  <si>
    <r>
      <t xml:space="preserve">Options: Captured, Direct, Direct and Indirect, Electricity, Hydrogen, Negative
</t>
    </r>
    <r>
      <rPr>
        <b/>
        <sz val="11"/>
        <color theme="1"/>
        <rFont val="Calibri"/>
        <family val="2"/>
        <scheme val="minor"/>
      </rPr>
      <t xml:space="preserve">NOTE: It is important that you filter on this column when aggregating emissions, to avoid any double counting. For direct emissions, the type of aggregation is noted in brackets. There is a 'total CO2e' row for each source of direct emissions, which is the sum of all gas types - this will usually be the one that you need. Also note that when calculating net emissions for industry, you need to sum direct and negative emissions.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</si>
</sst>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
    <numFmt numFmtId="166" formatCode="_-* #,##0_-;\-* #,##0_-;_-* &quot;-&quot;??_-;_-@_-"/>
  </numFmts>
  <fonts count="38" x14ac:knownFonts="1">
    <font>
      <sz val="11"/>
      <color theme="1"/>
      <name val="Calibri"/>
      <family val="2"/>
      <scheme val="minor"/>
    </font>
    <font>
      <sz val="11"/>
      <color theme="1"/>
      <name val="Calibri"/>
      <family val="2"/>
    </font>
    <font>
      <sz val="20"/>
      <color theme="1"/>
      <name val="Calibri"/>
      <family val="2"/>
      <scheme val="minor"/>
    </font>
    <font>
      <sz val="10"/>
      <color theme="1"/>
      <name val="Calibri"/>
      <family val="2"/>
      <scheme val="minor"/>
    </font>
    <font>
      <sz val="20"/>
      <color theme="0"/>
      <name val="Calibri"/>
      <family val="2"/>
      <scheme val="minor"/>
    </font>
    <font>
      <b/>
      <sz val="11"/>
      <color theme="1"/>
      <name val="Calibri"/>
      <family val="2"/>
      <scheme val="minor"/>
    </font>
    <font>
      <u/>
      <sz val="11"/>
      <color theme="10"/>
      <name val="Calibri"/>
      <family val="2"/>
      <scheme val="minor"/>
    </font>
    <font>
      <sz val="18"/>
      <color theme="1"/>
      <name val="Calibri"/>
      <family val="2"/>
      <scheme val="minor"/>
    </font>
    <font>
      <sz val="16"/>
      <color theme="1"/>
      <name val="Calibri"/>
      <family val="2"/>
      <scheme val="minor"/>
    </font>
    <font>
      <sz val="14"/>
      <color theme="1"/>
      <name val="Calibri"/>
      <family val="2"/>
      <scheme val="minor"/>
    </font>
    <font>
      <b/>
      <sz val="14"/>
      <color theme="1"/>
      <name val="Calibri"/>
      <family val="2"/>
      <scheme val="minor"/>
    </font>
    <font>
      <i/>
      <sz val="11"/>
      <color theme="1"/>
      <name val="Calibri"/>
      <family val="2"/>
      <scheme val="minor"/>
    </font>
    <font>
      <sz val="11"/>
      <color rgb="FFC00000"/>
      <name val="Calibri"/>
      <family val="2"/>
      <scheme val="minor"/>
    </font>
    <font>
      <sz val="8"/>
      <name val="Calibri"/>
      <family val="2"/>
      <scheme val="minor"/>
    </font>
    <font>
      <sz val="11"/>
      <color rgb="FFFF0000"/>
      <name val="Calibri"/>
      <family val="2"/>
      <scheme val="minor"/>
    </font>
    <font>
      <sz val="11"/>
      <color rgb="FF000000"/>
      <name val="Calibri"/>
      <family val="2"/>
      <scheme val="minor"/>
    </font>
    <font>
      <sz val="11"/>
      <color theme="1"/>
      <name val="Calibri"/>
      <family val="2"/>
    </font>
    <font>
      <i/>
      <sz val="11"/>
      <name val="Calibri"/>
      <family val="2"/>
      <scheme val="minor"/>
    </font>
    <font>
      <b/>
      <sz val="11"/>
      <color theme="1"/>
      <name val="Calibri"/>
      <family val="2"/>
    </font>
    <font>
      <b/>
      <sz val="11"/>
      <name val="Calibri"/>
      <family val="2"/>
    </font>
    <font>
      <sz val="11"/>
      <name val="Calibri"/>
      <family val="2"/>
    </font>
    <font>
      <sz val="11"/>
      <color theme="1"/>
      <name val="Calibri"/>
      <family val="2"/>
      <scheme val="minor"/>
    </font>
    <font>
      <b/>
      <i/>
      <sz val="14"/>
      <color theme="1"/>
      <name val="Calibri"/>
      <family val="2"/>
      <scheme val="minor"/>
    </font>
    <font>
      <sz val="11"/>
      <name val="Calibri"/>
      <family val="2"/>
      <scheme val="minor"/>
    </font>
    <font>
      <b/>
      <sz val="10"/>
      <color theme="1"/>
      <name val="Calibri"/>
      <family val="2"/>
      <scheme val="minor"/>
    </font>
    <font>
      <i/>
      <sz val="11"/>
      <color theme="9" tint="0.59999389629810485"/>
      <name val="Calibri"/>
      <family val="2"/>
      <scheme val="minor"/>
    </font>
    <font>
      <sz val="10"/>
      <color theme="0"/>
      <name val="Calibri"/>
      <family val="2"/>
      <scheme val="minor"/>
    </font>
    <font>
      <b/>
      <sz val="10"/>
      <color theme="0"/>
      <name val="Calibri"/>
      <family val="2"/>
      <scheme val="minor"/>
    </font>
    <font>
      <b/>
      <sz val="20"/>
      <name val="Calibri"/>
      <family val="2"/>
      <scheme val="minor"/>
    </font>
    <font>
      <b/>
      <i/>
      <sz val="11"/>
      <color theme="0"/>
      <name val="Calibri"/>
      <family val="2"/>
      <scheme val="minor"/>
    </font>
    <font>
      <b/>
      <i/>
      <sz val="11"/>
      <color theme="1"/>
      <name val="Calibri"/>
      <family val="2"/>
      <scheme val="minor"/>
    </font>
    <font>
      <b/>
      <sz val="11"/>
      <name val="Calibri"/>
      <family val="2"/>
      <scheme val="minor"/>
    </font>
    <font>
      <sz val="16"/>
      <color theme="0" tint="-0.499984740745262"/>
      <name val="Calibri"/>
      <family val="2"/>
      <scheme val="minor"/>
    </font>
    <font>
      <sz val="72"/>
      <color theme="1"/>
      <name val="Calibri"/>
      <family val="2"/>
      <scheme val="minor"/>
    </font>
    <font>
      <i/>
      <sz val="12"/>
      <color theme="1"/>
      <name val="Calibri"/>
      <family val="2"/>
      <scheme val="minor"/>
    </font>
    <font>
      <b/>
      <sz val="12"/>
      <color theme="1"/>
      <name val="Calibri"/>
      <family val="2"/>
      <scheme val="minor"/>
    </font>
    <font>
      <sz val="9"/>
      <color indexed="81"/>
      <name val="Tahoma"/>
      <family val="2"/>
    </font>
    <font>
      <b/>
      <sz val="9"/>
      <color indexed="81"/>
      <name val="Tahoma"/>
      <family val="2"/>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1"/>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rgb="FF7030A0"/>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4.9989318521683403E-2"/>
        <bgColor indexed="64"/>
      </patternFill>
    </fill>
  </fills>
  <borders count="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style="thin">
        <color indexed="64"/>
      </top>
      <bottom/>
      <diagonal/>
    </border>
    <border>
      <left/>
      <right/>
      <top style="thin">
        <color theme="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3">
    <xf numFmtId="0" fontId="0" fillId="0" borderId="0"/>
    <xf numFmtId="0" fontId="15" fillId="0" borderId="0"/>
    <xf numFmtId="43" fontId="21" fillId="0" borderId="0" applyFont="0" applyFill="0" applyBorder="0" applyAlignment="0" applyProtection="0"/>
  </cellStyleXfs>
  <cellXfs count="117">
    <xf numFmtId="0" fontId="0" fillId="0" borderId="0" xfId="0"/>
    <xf numFmtId="0" fontId="1" fillId="2" borderId="0" xfId="0" applyFont="1" applyFill="1"/>
    <xf numFmtId="0" fontId="6" fillId="0" borderId="0" xfId="0" applyFont="1"/>
    <xf numFmtId="0" fontId="8" fillId="0" borderId="0" xfId="0" applyFont="1" applyAlignment="1">
      <alignment horizontal="left"/>
    </xf>
    <xf numFmtId="0" fontId="5" fillId="0" borderId="1" xfId="0" applyFont="1" applyBorder="1"/>
    <xf numFmtId="0" fontId="9" fillId="0" borderId="0" xfId="0" applyFont="1"/>
    <xf numFmtId="0" fontId="5" fillId="0" borderId="0" xfId="0" applyFont="1"/>
    <xf numFmtId="0" fontId="1" fillId="0" borderId="0" xfId="0" applyFont="1"/>
    <xf numFmtId="0" fontId="11" fillId="0" borderId="0" xfId="0" applyFont="1"/>
    <xf numFmtId="0" fontId="8" fillId="0" borderId="0" xfId="0" applyFont="1"/>
    <xf numFmtId="0" fontId="7" fillId="0" borderId="0" xfId="0" applyFont="1"/>
    <xf numFmtId="0" fontId="10" fillId="0" borderId="0" xfId="0" applyFont="1"/>
    <xf numFmtId="0" fontId="1" fillId="0" borderId="0" xfId="0" applyFont="1" applyAlignment="1">
      <alignment horizontal="left" indent="1"/>
    </xf>
    <xf numFmtId="0" fontId="9" fillId="0" borderId="2" xfId="0" applyFont="1" applyBorder="1"/>
    <xf numFmtId="0" fontId="12" fillId="0" borderId="0" xfId="0" applyFont="1"/>
    <xf numFmtId="0" fontId="10" fillId="0" borderId="2" xfId="0" applyFont="1" applyBorder="1"/>
    <xf numFmtId="0" fontId="5" fillId="0" borderId="0" xfId="0" applyFont="1" applyAlignment="1">
      <alignment horizontal="left" indent="1"/>
    </xf>
    <xf numFmtId="0" fontId="0" fillId="0" borderId="0" xfId="0" applyAlignment="1">
      <alignment wrapText="1"/>
    </xf>
    <xf numFmtId="0" fontId="0" fillId="2" borderId="0" xfId="0" applyFill="1" applyAlignment="1">
      <alignment wrapText="1"/>
    </xf>
    <xf numFmtId="1" fontId="5" fillId="0" borderId="0" xfId="0" applyNumberFormat="1" applyFont="1"/>
    <xf numFmtId="0" fontId="14" fillId="0" borderId="0" xfId="0" applyFont="1"/>
    <xf numFmtId="0" fontId="0" fillId="0" borderId="0" xfId="0" applyAlignment="1">
      <alignment horizontal="left"/>
    </xf>
    <xf numFmtId="1" fontId="0" fillId="0" borderId="0" xfId="0" applyNumberFormat="1" applyAlignment="1">
      <alignment horizontal="left"/>
    </xf>
    <xf numFmtId="0" fontId="15" fillId="0" borderId="0" xfId="1"/>
    <xf numFmtId="0" fontId="0" fillId="0" borderId="0" xfId="0" applyAlignment="1">
      <alignment horizontal="left" indent="1"/>
    </xf>
    <xf numFmtId="0" fontId="17" fillId="0" borderId="0" xfId="0" applyFont="1"/>
    <xf numFmtId="0" fontId="4" fillId="4" borderId="0" xfId="0" applyFont="1" applyFill="1"/>
    <xf numFmtId="0" fontId="2" fillId="4" borderId="0" xfId="0" applyFont="1" applyFill="1"/>
    <xf numFmtId="1" fontId="1" fillId="3" borderId="0" xfId="0" applyNumberFormat="1" applyFont="1" applyFill="1"/>
    <xf numFmtId="0" fontId="5" fillId="0" borderId="3" xfId="0" applyFont="1" applyBorder="1"/>
    <xf numFmtId="1" fontId="1" fillId="3" borderId="1" xfId="0" applyNumberFormat="1" applyFont="1" applyFill="1" applyBorder="1"/>
    <xf numFmtId="1" fontId="18" fillId="3" borderId="3" xfId="0" applyNumberFormat="1" applyFont="1" applyFill="1" applyBorder="1"/>
    <xf numFmtId="0" fontId="1" fillId="0" borderId="0" xfId="0" applyFont="1" applyAlignment="1">
      <alignment horizontal="left"/>
    </xf>
    <xf numFmtId="0" fontId="18" fillId="0" borderId="1" xfId="0" applyFont="1" applyBorder="1" applyAlignment="1">
      <alignment horizontal="left"/>
    </xf>
    <xf numFmtId="0" fontId="18" fillId="0" borderId="3" xfId="0" applyFont="1" applyBorder="1" applyAlignment="1">
      <alignment horizontal="left"/>
    </xf>
    <xf numFmtId="0" fontId="5" fillId="0" borderId="1" xfId="0" applyFont="1" applyBorder="1" applyAlignment="1">
      <alignment horizontal="left"/>
    </xf>
    <xf numFmtId="0" fontId="20" fillId="0" borderId="0" xfId="0" applyFont="1" applyAlignment="1">
      <alignment horizontal="left" indent="1"/>
    </xf>
    <xf numFmtId="0" fontId="19" fillId="0" borderId="1" xfId="0" applyFont="1" applyBorder="1" applyAlignment="1">
      <alignment horizontal="left"/>
    </xf>
    <xf numFmtId="0" fontId="19" fillId="0" borderId="1" xfId="0" applyFont="1" applyBorder="1"/>
    <xf numFmtId="0" fontId="19" fillId="0" borderId="3" xfId="0" applyFont="1" applyBorder="1" applyAlignment="1">
      <alignment horizontal="left"/>
    </xf>
    <xf numFmtId="0" fontId="0" fillId="3" borderId="0" xfId="0" applyFill="1"/>
    <xf numFmtId="164" fontId="0" fillId="3" borderId="0" xfId="0" applyNumberFormat="1" applyFill="1"/>
    <xf numFmtId="165" fontId="0" fillId="0" borderId="0" xfId="0" applyNumberFormat="1"/>
    <xf numFmtId="2" fontId="1" fillId="3" borderId="0" xfId="0" applyNumberFormat="1" applyFont="1" applyFill="1"/>
    <xf numFmtId="2" fontId="18" fillId="3" borderId="3" xfId="0" applyNumberFormat="1" applyFont="1" applyFill="1" applyBorder="1"/>
    <xf numFmtId="0" fontId="0" fillId="0" borderId="0" xfId="0" quotePrefix="1"/>
    <xf numFmtId="166" fontId="16" fillId="3" borderId="0" xfId="2" applyNumberFormat="1" applyFont="1" applyFill="1" applyBorder="1"/>
    <xf numFmtId="166" fontId="18" fillId="3" borderId="3" xfId="2" applyNumberFormat="1" applyFont="1" applyFill="1" applyBorder="1"/>
    <xf numFmtId="166" fontId="1" fillId="3" borderId="0" xfId="2" applyNumberFormat="1" applyFont="1" applyFill="1" applyBorder="1"/>
    <xf numFmtId="0" fontId="14" fillId="0" borderId="0" xfId="0" applyFont="1" applyAlignment="1">
      <alignment horizontal="left"/>
    </xf>
    <xf numFmtId="1" fontId="14" fillId="0" borderId="0" xfId="0" applyNumberFormat="1" applyFont="1" applyAlignment="1">
      <alignment horizontal="left"/>
    </xf>
    <xf numFmtId="2" fontId="0" fillId="3" borderId="0" xfId="0" applyNumberFormat="1" applyFill="1"/>
    <xf numFmtId="0" fontId="11" fillId="5" borderId="0" xfId="0" applyFont="1" applyFill="1"/>
    <xf numFmtId="0" fontId="11" fillId="5" borderId="0" xfId="0" applyFont="1" applyFill="1" applyAlignment="1">
      <alignment horizontal="left"/>
    </xf>
    <xf numFmtId="0" fontId="22" fillId="0" borderId="0" xfId="0" applyFont="1"/>
    <xf numFmtId="0" fontId="10" fillId="0" borderId="2" xfId="0" applyFont="1" applyBorder="1" applyAlignment="1">
      <alignment horizontal="left"/>
    </xf>
    <xf numFmtId="0" fontId="9" fillId="0" borderId="2" xfId="0" applyFont="1" applyBorder="1" applyAlignment="1">
      <alignment horizontal="left"/>
    </xf>
    <xf numFmtId="0" fontId="9" fillId="0" borderId="0" xfId="0" applyFont="1" applyAlignment="1">
      <alignment horizontal="left"/>
    </xf>
    <xf numFmtId="2" fontId="9" fillId="0" borderId="2" xfId="0" applyNumberFormat="1" applyFont="1" applyBorder="1" applyAlignment="1">
      <alignment horizontal="left"/>
    </xf>
    <xf numFmtId="0" fontId="0" fillId="0" borderId="0" xfId="0" applyAlignment="1">
      <alignment vertical="center"/>
    </xf>
    <xf numFmtId="0" fontId="23" fillId="0" borderId="0" xfId="0" applyFont="1"/>
    <xf numFmtId="0" fontId="3" fillId="3" borderId="0" xfId="0" applyFont="1" applyFill="1" applyAlignment="1">
      <alignment vertical="top" wrapText="1"/>
    </xf>
    <xf numFmtId="0" fontId="2" fillId="0" borderId="0" xfId="0" applyFont="1" applyAlignment="1">
      <alignment wrapText="1"/>
    </xf>
    <xf numFmtId="0" fontId="3" fillId="0" borderId="0" xfId="0" applyFont="1" applyAlignment="1">
      <alignment horizontal="left" vertical="center" wrapText="1"/>
    </xf>
    <xf numFmtId="0" fontId="1" fillId="0" borderId="0" xfId="0" applyFont="1" applyAlignment="1">
      <alignment wrapText="1"/>
    </xf>
    <xf numFmtId="0" fontId="3" fillId="0" borderId="0" xfId="0" applyFont="1" applyAlignment="1">
      <alignment vertical="center" wrapText="1"/>
    </xf>
    <xf numFmtId="0" fontId="18" fillId="0" borderId="0" xfId="0" applyFont="1" applyAlignment="1">
      <alignment horizontal="left"/>
    </xf>
    <xf numFmtId="0" fontId="18" fillId="0" borderId="4" xfId="0" applyFont="1" applyBorder="1" applyAlignment="1">
      <alignment horizontal="left"/>
    </xf>
    <xf numFmtId="0" fontId="0" fillId="2" borderId="0" xfId="0" applyFill="1"/>
    <xf numFmtId="0" fontId="5" fillId="2" borderId="0" xfId="0" applyFont="1" applyFill="1" applyBorder="1"/>
    <xf numFmtId="1" fontId="18" fillId="2" borderId="0" xfId="0" applyNumberFormat="1" applyFont="1" applyFill="1" applyBorder="1"/>
    <xf numFmtId="0" fontId="5" fillId="2" borderId="0" xfId="0" applyFont="1" applyFill="1"/>
    <xf numFmtId="0" fontId="15" fillId="0" borderId="0" xfId="0" applyFont="1" applyFill="1"/>
    <xf numFmtId="1" fontId="20" fillId="3" borderId="1" xfId="0" applyNumberFormat="1" applyFont="1" applyFill="1" applyBorder="1"/>
    <xf numFmtId="1" fontId="20" fillId="3" borderId="0" xfId="0" applyNumberFormat="1" applyFont="1" applyFill="1"/>
    <xf numFmtId="1" fontId="19" fillId="3" borderId="3" xfId="0" applyNumberFormat="1" applyFont="1" applyFill="1" applyBorder="1"/>
    <xf numFmtId="1" fontId="0" fillId="0" borderId="0" xfId="0" applyNumberFormat="1"/>
    <xf numFmtId="0" fontId="15" fillId="0" borderId="0" xfId="1" applyFill="1"/>
    <xf numFmtId="0" fontId="26" fillId="6" borderId="0" xfId="0" applyFont="1" applyFill="1" applyAlignment="1">
      <alignment vertical="top"/>
    </xf>
    <xf numFmtId="0" fontId="26" fillId="7" borderId="0" xfId="0" applyFont="1" applyFill="1" applyAlignment="1">
      <alignment horizontal="left" vertical="top" wrapText="1"/>
    </xf>
    <xf numFmtId="0" fontId="3" fillId="8" borderId="0" xfId="0" applyFont="1" applyFill="1" applyAlignment="1">
      <alignment vertical="top" wrapText="1"/>
    </xf>
    <xf numFmtId="0" fontId="29" fillId="6" borderId="0" xfId="0" applyFont="1" applyFill="1" applyAlignment="1">
      <alignment vertical="top"/>
    </xf>
    <xf numFmtId="0" fontId="29" fillId="7" borderId="0" xfId="0" applyFont="1" applyFill="1" applyAlignment="1">
      <alignment vertical="top"/>
    </xf>
    <xf numFmtId="0" fontId="30" fillId="3" borderId="0" xfId="0" applyFont="1" applyFill="1" applyAlignment="1">
      <alignment vertical="top"/>
    </xf>
    <xf numFmtId="0" fontId="30" fillId="8" borderId="0" xfId="0" applyFont="1" applyFill="1" applyAlignment="1">
      <alignment vertical="top"/>
    </xf>
    <xf numFmtId="0" fontId="3" fillId="9" borderId="0" xfId="0" applyFont="1" applyFill="1" applyAlignment="1">
      <alignment vertical="center" wrapText="1"/>
    </xf>
    <xf numFmtId="0" fontId="5" fillId="9" borderId="0" xfId="0" applyFont="1" applyFill="1" applyAlignment="1">
      <alignment vertical="center"/>
    </xf>
    <xf numFmtId="0" fontId="0" fillId="0" borderId="0" xfId="0" applyFill="1"/>
    <xf numFmtId="0" fontId="23" fillId="0" borderId="0" xfId="0" applyFont="1" applyFill="1"/>
    <xf numFmtId="0" fontId="31" fillId="0" borderId="5" xfId="0" applyFont="1" applyFill="1" applyBorder="1"/>
    <xf numFmtId="0" fontId="19" fillId="0" borderId="5" xfId="0" applyFont="1" applyFill="1" applyBorder="1"/>
    <xf numFmtId="0" fontId="20" fillId="0" borderId="0" xfId="0" applyFont="1" applyFill="1"/>
    <xf numFmtId="0" fontId="34" fillId="0" borderId="0" xfId="0" applyFont="1"/>
    <xf numFmtId="0" fontId="35" fillId="0" borderId="0" xfId="0" applyFont="1"/>
    <xf numFmtId="0" fontId="32" fillId="0" borderId="0" xfId="0" applyFont="1" applyAlignment="1">
      <alignment horizontal="center"/>
    </xf>
    <xf numFmtId="0" fontId="0" fillId="0" borderId="2" xfId="0" applyBorder="1"/>
    <xf numFmtId="0" fontId="0" fillId="0" borderId="2" xfId="0" applyBorder="1" applyAlignment="1">
      <alignment wrapText="1"/>
    </xf>
    <xf numFmtId="0" fontId="23" fillId="0" borderId="2" xfId="0" applyFont="1" applyBorder="1"/>
    <xf numFmtId="0" fontId="23" fillId="0" borderId="2" xfId="0" applyFont="1" applyBorder="1" applyAlignment="1">
      <alignment wrapText="1"/>
    </xf>
    <xf numFmtId="0" fontId="0" fillId="0" borderId="2" xfId="0" applyBorder="1" applyAlignment="1">
      <alignment horizontal="left"/>
    </xf>
    <xf numFmtId="0" fontId="5" fillId="10" borderId="2" xfId="0" applyFont="1" applyFill="1" applyBorder="1"/>
    <xf numFmtId="0" fontId="0" fillId="10" borderId="2" xfId="0" applyFill="1" applyBorder="1"/>
    <xf numFmtId="0" fontId="0" fillId="10" borderId="2" xfId="0" applyFill="1" applyBorder="1" applyAlignment="1">
      <alignment wrapText="1"/>
    </xf>
    <xf numFmtId="0" fontId="23" fillId="0" borderId="2" xfId="0" applyFont="1" applyBorder="1" applyAlignment="1">
      <alignment horizontal="left"/>
    </xf>
    <xf numFmtId="0" fontId="14" fillId="0" borderId="2" xfId="0" applyFont="1" applyBorder="1" applyAlignment="1">
      <alignment wrapText="1"/>
    </xf>
    <xf numFmtId="0" fontId="0" fillId="0" borderId="7" xfId="0" applyBorder="1"/>
    <xf numFmtId="0" fontId="0" fillId="0" borderId="7" xfId="0" applyBorder="1" applyAlignment="1">
      <alignment wrapText="1"/>
    </xf>
    <xf numFmtId="0" fontId="35" fillId="3" borderId="6" xfId="0" applyFont="1" applyFill="1" applyBorder="1"/>
    <xf numFmtId="0" fontId="35" fillId="3" borderId="6" xfId="0" applyFont="1" applyFill="1" applyBorder="1" applyAlignment="1">
      <alignment wrapText="1"/>
    </xf>
    <xf numFmtId="0" fontId="30" fillId="11" borderId="0" xfId="0" applyFont="1" applyFill="1" applyAlignment="1">
      <alignment vertical="top"/>
    </xf>
    <xf numFmtId="0" fontId="0" fillId="11" borderId="0" xfId="0" applyFont="1" applyFill="1" applyAlignment="1">
      <alignment horizontal="left" vertical="top" wrapText="1"/>
    </xf>
    <xf numFmtId="0" fontId="30" fillId="11" borderId="0" xfId="0" applyFont="1" applyFill="1" applyAlignment="1">
      <alignment horizontal="right" vertical="top"/>
    </xf>
    <xf numFmtId="0" fontId="33" fillId="0" borderId="0" xfId="0" applyFont="1" applyAlignment="1">
      <alignment horizontal="center" vertical="center"/>
    </xf>
    <xf numFmtId="0" fontId="32" fillId="0" borderId="0" xfId="0" applyFont="1" applyAlignment="1">
      <alignment horizontal="center"/>
    </xf>
    <xf numFmtId="0" fontId="28" fillId="0" borderId="0" xfId="0" applyFont="1" applyFill="1" applyAlignment="1">
      <alignment horizontal="center"/>
    </xf>
    <xf numFmtId="0" fontId="5" fillId="0" borderId="2" xfId="0" applyFont="1" applyBorder="1" applyAlignment="1">
      <alignment horizontal="center" vertical="center"/>
    </xf>
    <xf numFmtId="0" fontId="5" fillId="0" borderId="7" xfId="0" applyFont="1" applyBorder="1" applyAlignment="1">
      <alignment horizontal="center" vertical="center"/>
    </xf>
  </cellXfs>
  <cellStyles count="3">
    <cellStyle name="Comma" xfId="2" builtinId="3"/>
    <cellStyle name="Normal" xfId="0" builtinId="0"/>
    <cellStyle name="Normal 2" xfId="1" xr:uid="{BF0F7C4D-B379-4487-B590-DCD26ADC9DFC}"/>
  </cellStyles>
  <dxfs count="74">
    <dxf>
      <font>
        <strike val="0"/>
        <outline val="0"/>
        <shadow val="0"/>
        <u val="none"/>
        <vertAlign val="baseline"/>
        <sz val="11"/>
        <color rgb="FF000000"/>
        <name val="Calibri"/>
        <family val="2"/>
      </font>
      <fill>
        <patternFill patternType="none">
          <fgColor rgb="FF000000"/>
          <bgColor auto="1"/>
        </patternFill>
      </fill>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dxf>
    <dxf>
      <font>
        <strike val="0"/>
        <outline val="0"/>
        <shadow val="0"/>
        <u val="none"/>
        <vertAlign val="baseline"/>
        <sz val="11"/>
        <color rgb="FF000000"/>
        <name val="Calibri"/>
        <family val="2"/>
      </font>
      <fill>
        <patternFill patternType="none">
          <fgColor rgb="FF000000"/>
          <bgColor auto="1"/>
        </patternFill>
      </fill>
    </dxf>
    <dxf>
      <font>
        <strike val="0"/>
        <outline val="0"/>
        <shadow val="0"/>
        <u val="none"/>
        <vertAlign val="baseline"/>
        <sz val="11"/>
        <color rgb="FF000000"/>
        <name val="Calibri"/>
        <family val="2"/>
      </font>
      <fill>
        <patternFill patternType="none">
          <fgColor rgb="FF000000"/>
          <bgColor auto="1"/>
        </patternFill>
      </fill>
    </dxf>
    <dxf>
      <font>
        <strike val="0"/>
        <outline val="0"/>
        <shadow val="0"/>
        <u val="none"/>
        <vertAlign val="baseline"/>
        <sz val="11"/>
        <color rgb="FF000000"/>
        <name val="Calibri"/>
        <family val="2"/>
      </font>
      <fill>
        <patternFill patternType="none">
          <fgColor rgb="FF000000"/>
          <bgColor auto="1"/>
        </patternFill>
      </fill>
    </dxf>
    <dxf>
      <font>
        <strike val="0"/>
        <outline val="0"/>
        <shadow val="0"/>
        <u val="none"/>
        <vertAlign val="baseline"/>
        <sz val="11"/>
        <color rgb="FF000000"/>
        <name val="Calibri"/>
        <family val="2"/>
      </font>
      <fill>
        <patternFill patternType="none">
          <fgColor rgb="FF000000"/>
          <bgColor auto="1"/>
        </patternFill>
      </fill>
    </dxf>
    <dxf>
      <font>
        <strike val="0"/>
        <outline val="0"/>
        <shadow val="0"/>
        <u val="none"/>
        <vertAlign val="baseline"/>
        <sz val="11"/>
        <color rgb="FF000000"/>
        <name val="Calibri"/>
        <family val="2"/>
      </font>
      <fill>
        <patternFill patternType="none">
          <fgColor rgb="FF000000"/>
          <bgColor auto="1"/>
        </patternFill>
      </fill>
    </dxf>
    <dxf>
      <font>
        <strike val="0"/>
        <outline val="0"/>
        <shadow val="0"/>
        <u val="none"/>
        <vertAlign val="baseline"/>
        <sz val="11"/>
        <color rgb="FF000000"/>
        <name val="Calibri"/>
        <family val="2"/>
      </font>
      <fill>
        <patternFill patternType="none">
          <fgColor rgb="FF000000"/>
          <bgColor auto="1"/>
        </patternFill>
      </fill>
    </dxf>
    <dxf>
      <font>
        <strike val="0"/>
        <outline val="0"/>
        <shadow val="0"/>
        <u val="none"/>
        <vertAlign val="baseline"/>
        <sz val="11"/>
        <color rgb="FF000000"/>
        <name val="Calibri"/>
        <family val="2"/>
      </font>
      <fill>
        <patternFill patternType="none">
          <fgColor rgb="FF000000"/>
          <bgColor auto="1"/>
        </patternFill>
      </fill>
    </dxf>
    <dxf>
      <font>
        <strike val="0"/>
        <outline val="0"/>
        <shadow val="0"/>
        <u val="none"/>
        <vertAlign val="baseline"/>
        <sz val="11"/>
        <color rgb="FF000000"/>
        <name val="Calibri"/>
        <family val="2"/>
      </font>
      <fill>
        <patternFill patternType="none">
          <fgColor rgb="FF000000"/>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trike val="0"/>
        <outline val="0"/>
        <shadow val="0"/>
        <u val="none"/>
        <vertAlign val="baseline"/>
        <sz val="11"/>
        <color theme="1"/>
        <name val="Calibri"/>
        <family val="2"/>
      </font>
      <fill>
        <patternFill patternType="none">
          <fgColor indexed="64"/>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trike val="0"/>
        <outline val="0"/>
        <shadow val="0"/>
        <u val="none"/>
        <vertAlign val="baseline"/>
        <sz val="11"/>
        <color theme="1"/>
        <name val="Calibri"/>
        <family val="2"/>
      </font>
      <fill>
        <patternFill patternType="none">
          <fgColor indexed="64"/>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trike val="0"/>
        <outline val="0"/>
        <shadow val="0"/>
        <u val="none"/>
        <vertAlign val="baseline"/>
        <sz val="11"/>
        <color theme="1"/>
        <name val="Calibri"/>
        <family val="2"/>
      </font>
      <fill>
        <patternFill patternType="none">
          <fgColor indexed="64"/>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trike val="0"/>
        <outline val="0"/>
        <shadow val="0"/>
        <u val="none"/>
        <vertAlign val="baseline"/>
        <sz val="11"/>
        <color theme="1"/>
        <name val="Calibri"/>
        <family val="2"/>
      </font>
      <fill>
        <patternFill patternType="none">
          <fgColor indexed="64"/>
          <bgColor auto="1"/>
        </patternFill>
      </fill>
    </dxf>
    <dxf>
      <fill>
        <patternFill patternType="none">
          <bgColor auto="1"/>
        </patternFill>
      </fill>
    </dxf>
    <dxf>
      <fill>
        <patternFill patternType="none">
          <bgColor auto="1"/>
        </patternFill>
      </fill>
    </dxf>
    <dxf>
      <fill>
        <patternFill patternType="none">
          <bgColor auto="1"/>
        </patternFill>
      </fill>
    </dxf>
    <dxf>
      <font>
        <strike val="0"/>
        <outline val="0"/>
        <shadow val="0"/>
        <u val="none"/>
        <vertAlign val="baseline"/>
        <sz val="11"/>
        <color theme="1"/>
        <name val="Calibri"/>
        <family val="2"/>
      </font>
      <fill>
        <patternFill patternType="none">
          <fgColor indexed="64"/>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rgb="FF000000"/>
        <name val="Calibri"/>
        <family val="2"/>
      </font>
      <fill>
        <patternFill patternType="none">
          <fgColor rgb="FF000000"/>
          <bgColor auto="1"/>
        </patternFill>
      </fill>
    </dxf>
    <dxf>
      <font>
        <strike val="0"/>
        <outline val="0"/>
        <shadow val="0"/>
        <u val="none"/>
        <vertAlign val="baseline"/>
        <sz val="11"/>
        <color auto="1"/>
        <name val="Calibri"/>
        <family val="2"/>
      </font>
      <fill>
        <patternFill patternType="none">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theme="1"/>
        <name val="Calibri"/>
        <family val="2"/>
      </font>
      <fill>
        <patternFill patternType="none">
          <fgColor indexed="64"/>
          <bgColor auto="1"/>
        </patternFill>
      </fill>
    </dxf>
    <dxf>
      <font>
        <strike val="0"/>
        <outline val="0"/>
        <shadow val="0"/>
        <u val="none"/>
        <vertAlign val="baseline"/>
        <sz val="11"/>
        <color rgb="FF000000"/>
        <name val="Calibri"/>
        <family val="2"/>
      </font>
      <fill>
        <patternFill patternType="none">
          <fgColor rgb="FF000000"/>
          <bgColor auto="1"/>
        </patternFill>
      </fill>
    </dxf>
    <dxf>
      <font>
        <strike val="0"/>
        <outline val="0"/>
        <shadow val="0"/>
        <u val="none"/>
        <vertAlign val="baseline"/>
        <sz val="11"/>
        <color theme="1"/>
        <name val="Calibri"/>
        <family val="2"/>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7" formatCode="0;\-0;;@"/>
      <fill>
        <patternFill patternType="solid">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xdr:col>
      <xdr:colOff>3467112</xdr:colOff>
      <xdr:row>945</xdr:row>
      <xdr:rowOff>10355</xdr:rowOff>
    </xdr:from>
    <xdr:to>
      <xdr:col>3</xdr:col>
      <xdr:colOff>152861</xdr:colOff>
      <xdr:row>951</xdr:row>
      <xdr:rowOff>145890</xdr:rowOff>
    </xdr:to>
    <xdr:sp macro="" textlink="">
      <xdr:nvSpPr>
        <xdr:cNvPr id="5121" name="Text Box 1" hidden="1">
          <a:extLst>
            <a:ext uri="{FF2B5EF4-FFF2-40B4-BE49-F238E27FC236}">
              <a16:creationId xmlns:a16="http://schemas.microsoft.com/office/drawing/2014/main" id="{00000000-0008-0000-0400-000001140000}"/>
            </a:ext>
          </a:extLst>
        </xdr:cNvPr>
        <xdr:cNvSpPr txBox="1">
          <a:spLocks noChangeArrowheads="1"/>
        </xdr:cNvSpPr>
      </xdr:nvSpPr>
      <xdr:spPr bwMode="auto">
        <a:xfrm>
          <a:off x="6429375" y="182718075"/>
          <a:ext cx="1381125" cy="127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915</xdr:row>
      <xdr:rowOff>168947</xdr:rowOff>
    </xdr:from>
    <xdr:to>
      <xdr:col>3</xdr:col>
      <xdr:colOff>152861</xdr:colOff>
      <xdr:row>919</xdr:row>
      <xdr:rowOff>168946</xdr:rowOff>
    </xdr:to>
    <xdr:sp macro="" textlink="">
      <xdr:nvSpPr>
        <xdr:cNvPr id="5122" name="Text Box 2" hidden="1">
          <a:extLst>
            <a:ext uri="{FF2B5EF4-FFF2-40B4-BE49-F238E27FC236}">
              <a16:creationId xmlns:a16="http://schemas.microsoft.com/office/drawing/2014/main" id="{00000000-0008-0000-0400-000002140000}"/>
            </a:ext>
          </a:extLst>
        </xdr:cNvPr>
        <xdr:cNvSpPr txBox="1">
          <a:spLocks noChangeArrowheads="1"/>
        </xdr:cNvSpPr>
      </xdr:nvSpPr>
      <xdr:spPr bwMode="auto">
        <a:xfrm>
          <a:off x="6429375" y="177117375"/>
          <a:ext cx="138112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973</xdr:row>
      <xdr:rowOff>131342</xdr:rowOff>
    </xdr:from>
    <xdr:to>
      <xdr:col>3</xdr:col>
      <xdr:colOff>152861</xdr:colOff>
      <xdr:row>985</xdr:row>
      <xdr:rowOff>36457</xdr:rowOff>
    </xdr:to>
    <xdr:sp macro="" textlink="">
      <xdr:nvSpPr>
        <xdr:cNvPr id="5123" name="Text Box 3" hidden="1">
          <a:extLst>
            <a:ext uri="{FF2B5EF4-FFF2-40B4-BE49-F238E27FC236}">
              <a16:creationId xmlns:a16="http://schemas.microsoft.com/office/drawing/2014/main" id="{00000000-0008-0000-0400-000003140000}"/>
            </a:ext>
          </a:extLst>
        </xdr:cNvPr>
        <xdr:cNvSpPr txBox="1">
          <a:spLocks noChangeArrowheads="1"/>
        </xdr:cNvSpPr>
      </xdr:nvSpPr>
      <xdr:spPr bwMode="auto">
        <a:xfrm>
          <a:off x="6429375" y="188166375"/>
          <a:ext cx="1381125" cy="220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909</xdr:row>
      <xdr:rowOff>36598</xdr:rowOff>
    </xdr:from>
    <xdr:to>
      <xdr:col>3</xdr:col>
      <xdr:colOff>152861</xdr:colOff>
      <xdr:row>915</xdr:row>
      <xdr:rowOff>169391</xdr:rowOff>
    </xdr:to>
    <xdr:sp macro="" textlink="">
      <xdr:nvSpPr>
        <xdr:cNvPr id="5126" name="Text Box 1030" hidden="1">
          <a:extLst>
            <a:ext uri="{FF2B5EF4-FFF2-40B4-BE49-F238E27FC236}">
              <a16:creationId xmlns:a16="http://schemas.microsoft.com/office/drawing/2014/main" id="{00000000-0008-0000-0400-000006140000}"/>
            </a:ext>
          </a:extLst>
        </xdr:cNvPr>
        <xdr:cNvSpPr txBox="1">
          <a:spLocks noChangeArrowheads="1"/>
        </xdr:cNvSpPr>
      </xdr:nvSpPr>
      <xdr:spPr bwMode="auto">
        <a:xfrm>
          <a:off x="6429375" y="175850550"/>
          <a:ext cx="1381125" cy="1266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879</xdr:row>
      <xdr:rowOff>145926</xdr:rowOff>
    </xdr:from>
    <xdr:to>
      <xdr:col>3</xdr:col>
      <xdr:colOff>152861</xdr:colOff>
      <xdr:row>883</xdr:row>
      <xdr:rowOff>145926</xdr:rowOff>
    </xdr:to>
    <xdr:sp macro="" textlink="">
      <xdr:nvSpPr>
        <xdr:cNvPr id="5125" name="Text Box 1029" hidden="1">
          <a:extLst>
            <a:ext uri="{FF2B5EF4-FFF2-40B4-BE49-F238E27FC236}">
              <a16:creationId xmlns:a16="http://schemas.microsoft.com/office/drawing/2014/main" id="{00000000-0008-0000-0400-000005140000}"/>
            </a:ext>
          </a:extLst>
        </xdr:cNvPr>
        <xdr:cNvSpPr txBox="1">
          <a:spLocks noChangeArrowheads="1"/>
        </xdr:cNvSpPr>
      </xdr:nvSpPr>
      <xdr:spPr bwMode="auto">
        <a:xfrm>
          <a:off x="6429375" y="170249850"/>
          <a:ext cx="138112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936</xdr:row>
      <xdr:rowOff>87151</xdr:rowOff>
    </xdr:from>
    <xdr:to>
      <xdr:col>3</xdr:col>
      <xdr:colOff>152861</xdr:colOff>
      <xdr:row>948</xdr:row>
      <xdr:rowOff>36599</xdr:rowOff>
    </xdr:to>
    <xdr:sp macro="" textlink="">
      <xdr:nvSpPr>
        <xdr:cNvPr id="5124" name="Text Box 1028" hidden="1">
          <a:extLst>
            <a:ext uri="{FF2B5EF4-FFF2-40B4-BE49-F238E27FC236}">
              <a16:creationId xmlns:a16="http://schemas.microsoft.com/office/drawing/2014/main" id="{00000000-0008-0000-0400-000004140000}"/>
            </a:ext>
          </a:extLst>
        </xdr:cNvPr>
        <xdr:cNvSpPr txBox="1">
          <a:spLocks noChangeArrowheads="1"/>
        </xdr:cNvSpPr>
      </xdr:nvSpPr>
      <xdr:spPr bwMode="auto">
        <a:xfrm>
          <a:off x="6429375" y="181079775"/>
          <a:ext cx="1381125" cy="220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918</xdr:row>
      <xdr:rowOff>9913</xdr:rowOff>
    </xdr:from>
    <xdr:to>
      <xdr:col>3</xdr:col>
      <xdr:colOff>152861</xdr:colOff>
      <xdr:row>924</xdr:row>
      <xdr:rowOff>169565</xdr:rowOff>
    </xdr:to>
    <xdr:sp macro="" textlink="">
      <xdr:nvSpPr>
        <xdr:cNvPr id="5129" name="Text Box 1033" hidden="1">
          <a:extLst>
            <a:ext uri="{FF2B5EF4-FFF2-40B4-BE49-F238E27FC236}">
              <a16:creationId xmlns:a16="http://schemas.microsoft.com/office/drawing/2014/main" id="{00000000-0008-0000-0400-000009140000}"/>
            </a:ext>
          </a:extLst>
        </xdr:cNvPr>
        <xdr:cNvSpPr txBox="1">
          <a:spLocks noChangeArrowheads="1"/>
        </xdr:cNvSpPr>
      </xdr:nvSpPr>
      <xdr:spPr bwMode="auto">
        <a:xfrm>
          <a:off x="6429375" y="177536475"/>
          <a:ext cx="1381125" cy="1266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887</xdr:row>
      <xdr:rowOff>131257</xdr:rowOff>
    </xdr:from>
    <xdr:to>
      <xdr:col>3</xdr:col>
      <xdr:colOff>152861</xdr:colOff>
      <xdr:row>891</xdr:row>
      <xdr:rowOff>169147</xdr:rowOff>
    </xdr:to>
    <xdr:sp macro="" textlink="">
      <xdr:nvSpPr>
        <xdr:cNvPr id="5128" name="Text Box 1032" hidden="1">
          <a:extLst>
            <a:ext uri="{FF2B5EF4-FFF2-40B4-BE49-F238E27FC236}">
              <a16:creationId xmlns:a16="http://schemas.microsoft.com/office/drawing/2014/main" id="{00000000-0008-0000-0400-000008140000}"/>
            </a:ext>
          </a:extLst>
        </xdr:cNvPr>
        <xdr:cNvSpPr txBox="1">
          <a:spLocks noChangeArrowheads="1"/>
        </xdr:cNvSpPr>
      </xdr:nvSpPr>
      <xdr:spPr bwMode="auto">
        <a:xfrm>
          <a:off x="6429375" y="171745275"/>
          <a:ext cx="1381125"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949</xdr:row>
      <xdr:rowOff>87002</xdr:rowOff>
    </xdr:from>
    <xdr:to>
      <xdr:col>3</xdr:col>
      <xdr:colOff>152861</xdr:colOff>
      <xdr:row>964</xdr:row>
      <xdr:rowOff>87002</xdr:rowOff>
    </xdr:to>
    <xdr:sp macro="" textlink="">
      <xdr:nvSpPr>
        <xdr:cNvPr id="5127" name="Text Box 1031" hidden="1">
          <a:extLst>
            <a:ext uri="{FF2B5EF4-FFF2-40B4-BE49-F238E27FC236}">
              <a16:creationId xmlns:a16="http://schemas.microsoft.com/office/drawing/2014/main" id="{00000000-0008-0000-0400-000007140000}"/>
            </a:ext>
          </a:extLst>
        </xdr:cNvPr>
        <xdr:cNvSpPr txBox="1">
          <a:spLocks noChangeArrowheads="1"/>
        </xdr:cNvSpPr>
      </xdr:nvSpPr>
      <xdr:spPr bwMode="auto">
        <a:xfrm>
          <a:off x="6429375" y="183527700"/>
          <a:ext cx="1381125" cy="285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936</xdr:row>
      <xdr:rowOff>9787</xdr:rowOff>
    </xdr:from>
    <xdr:to>
      <xdr:col>3</xdr:col>
      <xdr:colOff>152861</xdr:colOff>
      <xdr:row>942</xdr:row>
      <xdr:rowOff>131618</xdr:rowOff>
    </xdr:to>
    <xdr:sp macro="" textlink="">
      <xdr:nvSpPr>
        <xdr:cNvPr id="5132" name="Text Box 1036" hidden="1">
          <a:extLst>
            <a:ext uri="{FF2B5EF4-FFF2-40B4-BE49-F238E27FC236}">
              <a16:creationId xmlns:a16="http://schemas.microsoft.com/office/drawing/2014/main" id="{00000000-0008-0000-0400-00000C140000}"/>
            </a:ext>
          </a:extLst>
        </xdr:cNvPr>
        <xdr:cNvSpPr txBox="1">
          <a:spLocks noChangeArrowheads="1"/>
        </xdr:cNvSpPr>
      </xdr:nvSpPr>
      <xdr:spPr bwMode="auto">
        <a:xfrm>
          <a:off x="6429375" y="180955950"/>
          <a:ext cx="1381125" cy="127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905</xdr:row>
      <xdr:rowOff>131617</xdr:rowOff>
    </xdr:from>
    <xdr:to>
      <xdr:col>3</xdr:col>
      <xdr:colOff>152861</xdr:colOff>
      <xdr:row>909</xdr:row>
      <xdr:rowOff>169012</xdr:rowOff>
    </xdr:to>
    <xdr:sp macro="" textlink="">
      <xdr:nvSpPr>
        <xdr:cNvPr id="5131" name="Text Box 1035" hidden="1">
          <a:extLst>
            <a:ext uri="{FF2B5EF4-FFF2-40B4-BE49-F238E27FC236}">
              <a16:creationId xmlns:a16="http://schemas.microsoft.com/office/drawing/2014/main" id="{00000000-0008-0000-0400-00000B140000}"/>
            </a:ext>
          </a:extLst>
        </xdr:cNvPr>
        <xdr:cNvSpPr txBox="1">
          <a:spLocks noChangeArrowheads="1"/>
        </xdr:cNvSpPr>
      </xdr:nvSpPr>
      <xdr:spPr bwMode="auto">
        <a:xfrm>
          <a:off x="6429375" y="175174275"/>
          <a:ext cx="1381125"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967</xdr:row>
      <xdr:rowOff>86968</xdr:rowOff>
    </xdr:from>
    <xdr:to>
      <xdr:col>3</xdr:col>
      <xdr:colOff>152861</xdr:colOff>
      <xdr:row>983</xdr:row>
      <xdr:rowOff>169047</xdr:rowOff>
    </xdr:to>
    <xdr:sp macro="" textlink="">
      <xdr:nvSpPr>
        <xdr:cNvPr id="5130" name="Text Box 1034" hidden="1">
          <a:extLst>
            <a:ext uri="{FF2B5EF4-FFF2-40B4-BE49-F238E27FC236}">
              <a16:creationId xmlns:a16="http://schemas.microsoft.com/office/drawing/2014/main" id="{00000000-0008-0000-0400-00000A140000}"/>
            </a:ext>
          </a:extLst>
        </xdr:cNvPr>
        <xdr:cNvSpPr txBox="1">
          <a:spLocks noChangeArrowheads="1"/>
        </xdr:cNvSpPr>
      </xdr:nvSpPr>
      <xdr:spPr bwMode="auto">
        <a:xfrm>
          <a:off x="6429375" y="186947175"/>
          <a:ext cx="1381125" cy="312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929</xdr:row>
      <xdr:rowOff>9784</xdr:rowOff>
    </xdr:from>
    <xdr:to>
      <xdr:col>3</xdr:col>
      <xdr:colOff>152861</xdr:colOff>
      <xdr:row>935</xdr:row>
      <xdr:rowOff>131617</xdr:rowOff>
    </xdr:to>
    <xdr:sp macro="" textlink="">
      <xdr:nvSpPr>
        <xdr:cNvPr id="5135" name="Text Box 1039" hidden="1">
          <a:extLst>
            <a:ext uri="{FF2B5EF4-FFF2-40B4-BE49-F238E27FC236}">
              <a16:creationId xmlns:a16="http://schemas.microsoft.com/office/drawing/2014/main" id="{00000000-0008-0000-0400-00000F140000}"/>
            </a:ext>
          </a:extLst>
        </xdr:cNvPr>
        <xdr:cNvSpPr txBox="1">
          <a:spLocks noChangeArrowheads="1"/>
        </xdr:cNvSpPr>
      </xdr:nvSpPr>
      <xdr:spPr bwMode="auto">
        <a:xfrm>
          <a:off x="6429375" y="179622450"/>
          <a:ext cx="1381125" cy="127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898</xdr:row>
      <xdr:rowOff>125833</xdr:rowOff>
    </xdr:from>
    <xdr:to>
      <xdr:col>3</xdr:col>
      <xdr:colOff>152861</xdr:colOff>
      <xdr:row>902</xdr:row>
      <xdr:rowOff>169011</xdr:rowOff>
    </xdr:to>
    <xdr:sp macro="" textlink="">
      <xdr:nvSpPr>
        <xdr:cNvPr id="5134" name="Text Box 1038" hidden="1">
          <a:extLst>
            <a:ext uri="{FF2B5EF4-FFF2-40B4-BE49-F238E27FC236}">
              <a16:creationId xmlns:a16="http://schemas.microsoft.com/office/drawing/2014/main" id="{00000000-0008-0000-0400-00000E140000}"/>
            </a:ext>
          </a:extLst>
        </xdr:cNvPr>
        <xdr:cNvSpPr txBox="1">
          <a:spLocks noChangeArrowheads="1"/>
        </xdr:cNvSpPr>
      </xdr:nvSpPr>
      <xdr:spPr bwMode="auto">
        <a:xfrm>
          <a:off x="6429375" y="173840775"/>
          <a:ext cx="1381125"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3467112</xdr:colOff>
      <xdr:row>960</xdr:row>
      <xdr:rowOff>86971</xdr:rowOff>
    </xdr:from>
    <xdr:to>
      <xdr:col>3</xdr:col>
      <xdr:colOff>152861</xdr:colOff>
      <xdr:row>976</xdr:row>
      <xdr:rowOff>169044</xdr:rowOff>
    </xdr:to>
    <xdr:sp macro="" textlink="">
      <xdr:nvSpPr>
        <xdr:cNvPr id="5133" name="Text Box 1037" hidden="1">
          <a:extLst>
            <a:ext uri="{FF2B5EF4-FFF2-40B4-BE49-F238E27FC236}">
              <a16:creationId xmlns:a16="http://schemas.microsoft.com/office/drawing/2014/main" id="{00000000-0008-0000-0400-00000D140000}"/>
            </a:ext>
          </a:extLst>
        </xdr:cNvPr>
        <xdr:cNvSpPr txBox="1">
          <a:spLocks noChangeArrowheads="1"/>
        </xdr:cNvSpPr>
      </xdr:nvSpPr>
      <xdr:spPr bwMode="auto">
        <a:xfrm>
          <a:off x="6429375" y="185613675"/>
          <a:ext cx="138112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3466899</xdr:colOff>
      <xdr:row>1014</xdr:row>
      <xdr:rowOff>9819</xdr:rowOff>
    </xdr:from>
    <xdr:to>
      <xdr:col>3</xdr:col>
      <xdr:colOff>152861</xdr:colOff>
      <xdr:row>1022</xdr:row>
      <xdr:rowOff>86336</xdr:rowOff>
    </xdr:to>
    <xdr:sp macro="" textlink="">
      <xdr:nvSpPr>
        <xdr:cNvPr id="5138" name="Text Box 1042" hidden="1">
          <a:extLst>
            <a:ext uri="{FF2B5EF4-FFF2-40B4-BE49-F238E27FC236}">
              <a16:creationId xmlns:a16="http://schemas.microsoft.com/office/drawing/2014/main" id="{00000000-0008-0000-0400-000012140000}"/>
            </a:ext>
          </a:extLst>
        </xdr:cNvPr>
        <xdr:cNvSpPr txBox="1">
          <a:spLocks noChangeArrowheads="1"/>
        </xdr:cNvSpPr>
      </xdr:nvSpPr>
      <xdr:spPr bwMode="auto">
        <a:xfrm>
          <a:off x="6419850" y="195824475"/>
          <a:ext cx="13906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3466899</xdr:colOff>
      <xdr:row>983</xdr:row>
      <xdr:rowOff>126358</xdr:rowOff>
    </xdr:from>
    <xdr:to>
      <xdr:col>3</xdr:col>
      <xdr:colOff>152861</xdr:colOff>
      <xdr:row>987</xdr:row>
      <xdr:rowOff>169261</xdr:rowOff>
    </xdr:to>
    <xdr:sp macro="" textlink="">
      <xdr:nvSpPr>
        <xdr:cNvPr id="5137" name="Text Box 1041" hidden="1">
          <a:extLst>
            <a:ext uri="{FF2B5EF4-FFF2-40B4-BE49-F238E27FC236}">
              <a16:creationId xmlns:a16="http://schemas.microsoft.com/office/drawing/2014/main" id="{00000000-0008-0000-0400-000011140000}"/>
            </a:ext>
          </a:extLst>
        </xdr:cNvPr>
        <xdr:cNvSpPr txBox="1">
          <a:spLocks noChangeArrowheads="1"/>
        </xdr:cNvSpPr>
      </xdr:nvSpPr>
      <xdr:spPr bwMode="auto">
        <a:xfrm>
          <a:off x="6419850" y="190042800"/>
          <a:ext cx="13906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3466899</xdr:colOff>
      <xdr:row>1047</xdr:row>
      <xdr:rowOff>126358</xdr:rowOff>
    </xdr:from>
    <xdr:to>
      <xdr:col>3</xdr:col>
      <xdr:colOff>152861</xdr:colOff>
      <xdr:row>1064</xdr:row>
      <xdr:rowOff>36928</xdr:rowOff>
    </xdr:to>
    <xdr:sp macro="" textlink="">
      <xdr:nvSpPr>
        <xdr:cNvPr id="5136" name="Text Box 1040" hidden="1">
          <a:extLst>
            <a:ext uri="{FF2B5EF4-FFF2-40B4-BE49-F238E27FC236}">
              <a16:creationId xmlns:a16="http://schemas.microsoft.com/office/drawing/2014/main" id="{00000000-0008-0000-0400-000010140000}"/>
            </a:ext>
          </a:extLst>
        </xdr:cNvPr>
        <xdr:cNvSpPr txBox="1">
          <a:spLocks noChangeArrowheads="1"/>
        </xdr:cNvSpPr>
      </xdr:nvSpPr>
      <xdr:spPr bwMode="auto">
        <a:xfrm>
          <a:off x="6419850" y="202253850"/>
          <a:ext cx="1390650" cy="3152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3466899</xdr:colOff>
      <xdr:row>1107</xdr:row>
      <xdr:rowOff>169178</xdr:rowOff>
    </xdr:from>
    <xdr:to>
      <xdr:col>3</xdr:col>
      <xdr:colOff>152861</xdr:colOff>
      <xdr:row>1116</xdr:row>
      <xdr:rowOff>87152</xdr:rowOff>
    </xdr:to>
    <xdr:sp macro="" textlink="">
      <xdr:nvSpPr>
        <xdr:cNvPr id="5141" name="Text Box 1045" hidden="1">
          <a:extLst>
            <a:ext uri="{FF2B5EF4-FFF2-40B4-BE49-F238E27FC236}">
              <a16:creationId xmlns:a16="http://schemas.microsoft.com/office/drawing/2014/main" id="{00000000-0008-0000-0400-000015140000}"/>
            </a:ext>
          </a:extLst>
        </xdr:cNvPr>
        <xdr:cNvSpPr txBox="1">
          <a:spLocks noChangeArrowheads="1"/>
        </xdr:cNvSpPr>
      </xdr:nvSpPr>
      <xdr:spPr bwMode="auto">
        <a:xfrm>
          <a:off x="6419850" y="213760050"/>
          <a:ext cx="1390650" cy="1666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3466899</xdr:colOff>
      <xdr:row>1077</xdr:row>
      <xdr:rowOff>125785</xdr:rowOff>
    </xdr:from>
    <xdr:to>
      <xdr:col>3</xdr:col>
      <xdr:colOff>152861</xdr:colOff>
      <xdr:row>1092</xdr:row>
      <xdr:rowOff>125784</xdr:rowOff>
    </xdr:to>
    <xdr:sp macro="" textlink="">
      <xdr:nvSpPr>
        <xdr:cNvPr id="5140" name="Text Box 1044" hidden="1">
          <a:extLst>
            <a:ext uri="{FF2B5EF4-FFF2-40B4-BE49-F238E27FC236}">
              <a16:creationId xmlns:a16="http://schemas.microsoft.com/office/drawing/2014/main" id="{00000000-0008-0000-0400-000014140000}"/>
            </a:ext>
          </a:extLst>
        </xdr:cNvPr>
        <xdr:cNvSpPr txBox="1">
          <a:spLocks noChangeArrowheads="1"/>
        </xdr:cNvSpPr>
      </xdr:nvSpPr>
      <xdr:spPr bwMode="auto">
        <a:xfrm>
          <a:off x="6419850" y="208006950"/>
          <a:ext cx="1390650"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3466899</xdr:colOff>
      <xdr:row>1142</xdr:row>
      <xdr:rowOff>36600</xdr:rowOff>
    </xdr:from>
    <xdr:to>
      <xdr:col>3</xdr:col>
      <xdr:colOff>152861</xdr:colOff>
      <xdr:row>1164</xdr:row>
      <xdr:rowOff>1510</xdr:rowOff>
    </xdr:to>
    <xdr:sp macro="" textlink="">
      <xdr:nvSpPr>
        <xdr:cNvPr id="5139" name="Text Box 1043" hidden="1">
          <a:extLst>
            <a:ext uri="{FF2B5EF4-FFF2-40B4-BE49-F238E27FC236}">
              <a16:creationId xmlns:a16="http://schemas.microsoft.com/office/drawing/2014/main" id="{00000000-0008-0000-0400-000013140000}"/>
            </a:ext>
          </a:extLst>
        </xdr:cNvPr>
        <xdr:cNvSpPr txBox="1">
          <a:spLocks noChangeArrowheads="1"/>
        </xdr:cNvSpPr>
      </xdr:nvSpPr>
      <xdr:spPr bwMode="auto">
        <a:xfrm>
          <a:off x="6419850" y="220313250"/>
          <a:ext cx="1390650" cy="417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3466899</xdr:colOff>
      <xdr:row>1121</xdr:row>
      <xdr:rowOff>126603</xdr:rowOff>
    </xdr:from>
    <xdr:to>
      <xdr:col>3</xdr:col>
      <xdr:colOff>152861</xdr:colOff>
      <xdr:row>1130</xdr:row>
      <xdr:rowOff>50126</xdr:rowOff>
    </xdr:to>
    <xdr:sp macro="" textlink="">
      <xdr:nvSpPr>
        <xdr:cNvPr id="5144" name="Text Box 1048" hidden="1">
          <a:extLst>
            <a:ext uri="{FF2B5EF4-FFF2-40B4-BE49-F238E27FC236}">
              <a16:creationId xmlns:a16="http://schemas.microsoft.com/office/drawing/2014/main" id="{00000000-0008-0000-0400-000018140000}"/>
            </a:ext>
          </a:extLst>
        </xdr:cNvPr>
        <xdr:cNvSpPr txBox="1">
          <a:spLocks noChangeArrowheads="1"/>
        </xdr:cNvSpPr>
      </xdr:nvSpPr>
      <xdr:spPr bwMode="auto">
        <a:xfrm>
          <a:off x="6419850" y="216417525"/>
          <a:ext cx="1390650" cy="1666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3466899</xdr:colOff>
      <xdr:row>1091</xdr:row>
      <xdr:rowOff>36278</xdr:rowOff>
    </xdr:from>
    <xdr:to>
      <xdr:col>3</xdr:col>
      <xdr:colOff>152861</xdr:colOff>
      <xdr:row>1109</xdr:row>
      <xdr:rowOff>36924</xdr:rowOff>
    </xdr:to>
    <xdr:sp macro="" textlink="">
      <xdr:nvSpPr>
        <xdr:cNvPr id="5143" name="Text Box 1047" hidden="1">
          <a:extLst>
            <a:ext uri="{FF2B5EF4-FFF2-40B4-BE49-F238E27FC236}">
              <a16:creationId xmlns:a16="http://schemas.microsoft.com/office/drawing/2014/main" id="{00000000-0008-0000-0400-000017140000}"/>
            </a:ext>
          </a:extLst>
        </xdr:cNvPr>
        <xdr:cNvSpPr txBox="1">
          <a:spLocks noChangeArrowheads="1"/>
        </xdr:cNvSpPr>
      </xdr:nvSpPr>
      <xdr:spPr bwMode="auto">
        <a:xfrm>
          <a:off x="6419850" y="210607275"/>
          <a:ext cx="1390650" cy="342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3466899</xdr:colOff>
      <xdr:row>1156</xdr:row>
      <xdr:rowOff>10064</xdr:rowOff>
    </xdr:from>
    <xdr:to>
      <xdr:col>3</xdr:col>
      <xdr:colOff>152861</xdr:colOff>
      <xdr:row>1178</xdr:row>
      <xdr:rowOff>37575</xdr:rowOff>
    </xdr:to>
    <xdr:sp macro="" textlink="">
      <xdr:nvSpPr>
        <xdr:cNvPr id="5142" name="Text Box 1046" hidden="1">
          <a:extLst>
            <a:ext uri="{FF2B5EF4-FFF2-40B4-BE49-F238E27FC236}">
              <a16:creationId xmlns:a16="http://schemas.microsoft.com/office/drawing/2014/main" id="{00000000-0008-0000-0400-000016140000}"/>
            </a:ext>
          </a:extLst>
        </xdr:cNvPr>
        <xdr:cNvSpPr txBox="1">
          <a:spLocks noChangeArrowheads="1"/>
        </xdr:cNvSpPr>
      </xdr:nvSpPr>
      <xdr:spPr bwMode="auto">
        <a:xfrm>
          <a:off x="6419850" y="222980250"/>
          <a:ext cx="1390650" cy="4238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aarbib/AppData/Local/Temp/TRIM/TEMP/CONTEXT.6132/1.%20Templates/3.%20Business%20Planning%20Model%20Toolbo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Air pollutants"/>
      <sheetName val="Historic surplus"/>
      <sheetName val="Unallocated Allowances"/>
      <sheetName val="Hedging"/>
      <sheetName val="3"/>
      <sheetName val="Biofuels"/>
      <sheetName val="DECC Summary"/>
      <sheetName val="Baseline results"/>
      <sheetName val="Lists"/>
      <sheetName val="Sector_Model"/>
      <sheetName val="Central_MACC_data"/>
      <sheetName val="Air_pollutants"/>
      <sheetName val="Historic_surplus"/>
      <sheetName val="Unallocated_Allowances"/>
      <sheetName val="DECC_Summary"/>
      <sheetName val="Baseline_results"/>
      <sheetName val="Lookups (2)"/>
      <sheetName val="working- waterfalls"/>
      <sheetName val="CASHFLOW Gen Income"/>
      <sheetName val="GHG &amp; C02 chart"/>
      <sheetName val="HPvsBoiler"/>
      <sheetName val="CHP"/>
      <sheetName val="4.6 ten year bonds"/>
      <sheetName val="Units"/>
      <sheetName val="Output"/>
      <sheetName val="Run_lst"/>
      <sheetName val="DetailedTables"/>
    </sheetNames>
    <sheetDataSet>
      <sheetData sheetId="0">
        <row r="10">
          <cell r="C10" t="str">
            <v>Historical &amp; Forecast Business Planning Model 6.0 (Basic)</v>
          </cell>
        </row>
      </sheetData>
      <sheetData sheetId="1"/>
      <sheetData sheetId="2"/>
      <sheetData sheetId="3"/>
      <sheetData sheetId="4"/>
      <sheetData sheetId="5"/>
      <sheetData sheetId="6"/>
      <sheetData sheetId="7"/>
      <sheetData sheetId="8"/>
      <sheetData sheetId="9"/>
      <sheetData sheetId="10"/>
      <sheetData sheetId="11"/>
      <sheetData sheetId="12"/>
      <sheetData sheetId="13">
        <row r="1">
          <cell r="B1" t="str">
            <v>Balance Sheet - Historical Assumptions</v>
          </cell>
        </row>
        <row r="73">
          <cell r="H73">
            <v>0</v>
          </cell>
        </row>
      </sheetData>
      <sheetData sheetId="14"/>
      <sheetData sheetId="15"/>
      <sheetData sheetId="16"/>
      <sheetData sheetId="17"/>
      <sheetData sheetId="18"/>
      <sheetData sheetId="19"/>
      <sheetData sheetId="20">
        <row r="1">
          <cell r="B1" t="str">
            <v>Balance Sheet - Historical Outputs</v>
          </cell>
        </row>
        <row r="74">
          <cell r="H74">
            <v>0</v>
          </cell>
        </row>
      </sheetData>
      <sheetData sheetId="21"/>
      <sheetData sheetId="22"/>
      <sheetData sheetId="23">
        <row r="27">
          <cell r="C27" t="str">
            <v>Accounts Receivable Balances ($Millions)</v>
          </cell>
        </row>
        <row r="42">
          <cell r="I42">
            <v>0</v>
          </cell>
        </row>
        <row r="44">
          <cell r="C44" t="str">
            <v>Accounts Payable Balances ($Millions)</v>
          </cell>
        </row>
        <row r="59">
          <cell r="I59">
            <v>0</v>
          </cell>
        </row>
        <row r="64">
          <cell r="C64" t="str">
            <v>Assets Balances ($Millions)</v>
          </cell>
        </row>
        <row r="74">
          <cell r="I74">
            <v>0</v>
          </cell>
        </row>
        <row r="76">
          <cell r="C76" t="str">
            <v>Intangibles Balances ($Millions)</v>
          </cell>
        </row>
        <row r="86">
          <cell r="I86">
            <v>0</v>
          </cell>
        </row>
        <row r="117">
          <cell r="C117" t="str">
            <v>Ordinary Equity - Outputs</v>
          </cell>
        </row>
        <row r="136">
          <cell r="I136">
            <v>0</v>
          </cell>
        </row>
        <row r="138">
          <cell r="I138">
            <v>0</v>
          </cell>
        </row>
      </sheetData>
      <sheetData sheetId="24">
        <row r="1">
          <cell r="B1" t="str">
            <v>Income Statement - Forecast Outputs</v>
          </cell>
        </row>
        <row r="41">
          <cell r="I41">
            <v>0</v>
          </cell>
        </row>
      </sheetData>
      <sheetData sheetId="25">
        <row r="1">
          <cell r="B1" t="str">
            <v>Balance Sheet - Forecast Outputs</v>
          </cell>
        </row>
        <row r="70">
          <cell r="I70">
            <v>0</v>
          </cell>
        </row>
        <row r="72">
          <cell r="I72">
            <v>0</v>
          </cell>
        </row>
      </sheetData>
      <sheetData sheetId="26">
        <row r="1">
          <cell r="B1" t="str">
            <v>Cash Flow Statement - Forecast Outputs</v>
          </cell>
        </row>
        <row r="114">
          <cell r="I114">
            <v>0</v>
          </cell>
        </row>
      </sheetData>
      <sheetData sheetId="27"/>
      <sheetData sheetId="28"/>
      <sheetData sheetId="29"/>
      <sheetData sheetId="30"/>
      <sheetData sheetId="31"/>
      <sheetData sheetId="32"/>
      <sheetData sheetId="33"/>
      <sheetData sheetId="34"/>
      <sheetData sheetId="35">
        <row r="9">
          <cell r="C9" t="b">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A04DD4-0653-47E0-B1A8-F03E3EF1B525}" name="Sites_info" displayName="Sites_info" ref="A1:H2" totalsRowShown="0" headerRowDxfId="72" dataDxfId="71">
  <autoFilter ref="A1:H2" xr:uid="{FEA04DD4-0653-47E0-B1A8-F03E3EF1B525}"/>
  <tableColumns count="8">
    <tableColumn id="1" xr3:uid="{600505D3-0562-4E9C-BCAB-3BCE448F5F51}" name="site_ID" dataDxfId="70"/>
    <tableColumn id="2" xr3:uid="{1F550199-544D-4873-A9CB-ED0BB6243417}" name="site_traded_status " dataDxfId="69"/>
    <tableColumn id="3" xr3:uid="{7BBB255E-5BF3-4D3C-84B4-2822735C6A73}" name="cluster" dataDxfId="68"/>
    <tableColumn id="4" xr3:uid="{88ADE7A1-6D82-47E4-B40A-A0FC20FFBCBB}" name="site_name" dataDxfId="67"/>
    <tableColumn id="5" xr3:uid="{09ECF2CF-DC78-4893-AAF4-1C672AB71C49}" name="Latitude" dataDxfId="66"/>
    <tableColumn id="6" xr3:uid="{BCC6AA7F-256E-48A3-AC1F-74519A6390D3}" name="Longitude" dataDxfId="65"/>
    <tableColumn id="7" xr3:uid="{8AE11A9D-AAC2-4982-B1E4-DFFAEE7BE9E0}" name="region" dataDxfId="64"/>
    <tableColumn id="8" xr3:uid="{DA695E4B-DC37-4F5E-98EF-72037768C28A}" name="Column1" dataDxfId="63"/>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458310-5897-4803-8A5C-1DE3879A6171}" name="Costs" displayName="Costs" ref="A1:AK2" insertRow="1" totalsRowShown="0" headerRowDxfId="62" dataDxfId="61">
  <autoFilter ref="A1:AK2" xr:uid="{A5BF1E9B-34C0-4F3F-92A7-7BC262933A2F}"/>
  <tableColumns count="37">
    <tableColumn id="2" xr3:uid="{57E05B96-E43D-41F4-B6CA-34E6309AF345}" name="Sector_infrastructure" dataDxfId="60"/>
    <tableColumn id="3" xr3:uid="{75FCC2A7-7C2D-49DE-A1AE-98DB86FF86B9}" name="Cluster" dataDxfId="59"/>
    <tableColumn id="31" xr3:uid="{327F4493-552C-44DA-949D-4E79ECEA4728}" name="Storage_site" dataDxfId="58"/>
    <tableColumn id="32" xr3:uid="{7B123E25-070A-4437-B5AA-43444BF859A3}" name="Cost_type" dataDxfId="57"/>
    <tableColumn id="11" xr3:uid="{484FA1A5-FDA7-401A-A5FC-B3F93BC96AED}" name="2020" dataDxfId="56"/>
    <tableColumn id="18" xr3:uid="{6D982B8D-B929-4B7F-92E7-91AC19DC4476}" name="2021"/>
    <tableColumn id="19" xr3:uid="{9E13ACA5-569E-4E9E-88C8-5782AB0D1620}" name="2022"/>
    <tableColumn id="20" xr3:uid="{8C838CEE-C846-499E-A9D6-A61F46599750}" name="2023"/>
    <tableColumn id="21" xr3:uid="{DC1013D4-00AF-4BD4-A9EC-3FBB6938F73F}" name="2024"/>
    <tableColumn id="5" xr3:uid="{D8C31D88-0C19-4968-8BD5-929E37717982}" name="2025" dataDxfId="55"/>
    <tableColumn id="22" xr3:uid="{A55EB932-F44D-4C83-96A0-0F122D3BFB25}" name="2026"/>
    <tableColumn id="23" xr3:uid="{B4FB164A-AC9E-4D99-8F48-DA7FDCE934E4}" name="2027"/>
    <tableColumn id="24" xr3:uid="{6BF61F4A-0FFA-42F5-963D-F51313BEFC14}" name="2028"/>
    <tableColumn id="25" xr3:uid="{15000631-D85E-4ABE-96BD-D7A3716415CB}" name="2029"/>
    <tableColumn id="6" xr3:uid="{6479753A-13E2-4089-8E2C-26B66EE20833}" name="2030" dataDxfId="54"/>
    <tableColumn id="26" xr3:uid="{4B77EC93-9E0B-4CD0-AC0C-F5A22FDEFBA9}" name="2031"/>
    <tableColumn id="27" xr3:uid="{FC53B478-CFD3-4222-B24B-23E5803F5642}" name="2032"/>
    <tableColumn id="30" xr3:uid="{A209919F-A33D-47DA-B4DA-AC35FB6A40ED}" name="2033"/>
    <tableColumn id="33" xr3:uid="{BC11E1AF-4388-4EBD-8DD4-2568B27DCB7A}" name="2034"/>
    <tableColumn id="7" xr3:uid="{7CE338A6-D1CC-4CA2-94CF-9215C97071DC}" name="2035" dataDxfId="53"/>
    <tableColumn id="34" xr3:uid="{EDA2DBC3-731C-446F-B1D4-8B64176579E7}" name="2036"/>
    <tableColumn id="35" xr3:uid="{5A396A76-0295-4809-9469-FB78AC4857E6}" name="2037"/>
    <tableColumn id="36" xr3:uid="{9ADBEE2D-3DFC-4BC8-AE5D-A0A343B45AF0}" name="2038"/>
    <tableColumn id="37" xr3:uid="{8A36A95A-D28E-48DE-9659-9D63BD8CC871}" name="2039"/>
    <tableColumn id="29" xr3:uid="{B7843376-5A8D-4B5E-9E5A-2FDA28B1AD43}" name="2040" dataDxfId="52"/>
    <tableColumn id="14" xr3:uid="{17E3E539-08DC-41BB-884B-F2951CDECB04}" name="2041"/>
    <tableColumn id="15" xr3:uid="{E2000A40-3F28-4CCB-979C-F6E30F8B5ACC}" name="2042"/>
    <tableColumn id="16" xr3:uid="{33699EF9-DF31-4831-B646-4E84D5BD1538}" name="2043"/>
    <tableColumn id="17" xr3:uid="{98C38C5D-4334-4680-BC3E-930DC95C1C04}" name="2044"/>
    <tableColumn id="28" xr3:uid="{1ED3A7BF-1760-4896-9B09-1666607117DD}" name="2045" dataDxfId="51"/>
    <tableColumn id="1" xr3:uid="{24730F28-11D0-4DFA-9B6B-33EB56462D6C}" name="2046"/>
    <tableColumn id="10" xr3:uid="{96523B90-F410-4FD1-AD70-AA366448EF13}" name="2047"/>
    <tableColumn id="12" xr3:uid="{D2A22DC0-9125-4AA4-827F-397ADFE06FE9}" name="2048"/>
    <tableColumn id="13" xr3:uid="{F35430C2-6BD2-4EEF-8429-821FB70DCBBC}" name="2049"/>
    <tableColumn id="8" xr3:uid="{22AFCE0A-BED0-40A2-B4AB-2BC9A4AB835A}" name="2050" dataDxfId="50"/>
    <tableColumn id="38" xr3:uid="{1DDC4503-0A98-4EFB-976C-1F857D13CD2A}" name="2051"/>
    <tableColumn id="9" xr3:uid="{B36FED90-D2E7-4653-8AB7-D44A89028244}" name="Sector_group" dataDxfId="49"/>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DE791D2-686B-46A3-9612-32853B029D9B}" name="Emissions" displayName="Emissions" ref="A1:AU2" insertRow="1" totalsRowShown="0" headerRowDxfId="48" dataDxfId="47">
  <autoFilter ref="A1:AU2" xr:uid="{3DE791D2-686B-46A3-9612-32853B029D9B}"/>
  <tableColumns count="47">
    <tableColumn id="10" xr3:uid="{E7B5C42C-0011-49E4-9570-C157514D92FA}" name="Emissions_category" dataDxfId="46"/>
    <tableColumn id="2" xr3:uid="{918E8351-AB96-439F-86A2-F2CE75712A0B}" name="Sector" dataDxfId="45"/>
    <tableColumn id="4" xr3:uid="{7D871A13-A3E2-47CC-A1F0-ADE85C31A31A}" name="Cluster" dataDxfId="44"/>
    <tableColumn id="16" xr3:uid="{BFA52159-6829-46EF-996A-CC81E575CBB6}" name="region_of_cluster_centre" dataDxfId="43"/>
    <tableColumn id="5" xr3:uid="{2720FEC8-5E09-4760-8AF2-B92D67D1ED8C}" name="cluster_rad" dataDxfId="42"/>
    <tableColumn id="17" xr3:uid="{39DA823F-FD13-4B19-984E-B62E026986AC}" name="site_traded_status" dataDxfId="41"/>
    <tableColumn id="23" xr3:uid="{8550DDDB-C385-4021-BDF2-9ED90FA87116}" name="Primary_output" dataDxfId="40"/>
    <tableColumn id="1" xr3:uid="{24333A14-09BC-42A4-ABC2-55032A198B0D}" name="Output_description" dataDxfId="39"/>
    <tableColumn id="6" xr3:uid="{04CD3D89-DE91-4E24-9500-EAFEA1B6CC7B}" name="Technology_code" dataDxfId="38"/>
    <tableColumn id="7" xr3:uid="{10BB5349-D604-4B2D-932E-8229580C36C3}" name="Technology_descritpion" dataDxfId="37"/>
    <tableColumn id="8" xr3:uid="{93AA3B7B-3100-4C32-9F82-768619991339}" name="Technology_category" dataDxfId="36"/>
    <tableColumn id="24" xr3:uid="{6C1F52B1-CB2B-42AC-895A-8A03DE902256}" name="CO2_NonCO2" dataDxfId="35"/>
    <tableColumn id="9" xr3:uid="{5F0E187B-17F1-49F0-8CAF-FBE480EE7B9A}" name="Emission_type" dataDxfId="34"/>
    <tableColumn id="11" xr3:uid="{75A97F40-E8C9-4750-8C0A-147520750FF2}" name="ghg_type" dataDxfId="33"/>
    <tableColumn id="13" xr3:uid="{CF715F9A-83D6-463F-AF2D-55999D75379E}" name="2020" dataDxfId="32"/>
    <tableColumn id="25" xr3:uid="{7FC5B173-47C5-4B9D-BCB2-DE536D490B87}" name="2021" dataDxfId="31"/>
    <tableColumn id="14" xr3:uid="{23613CF3-3B11-4AE6-9CC5-BEFDC8AD55B7}" name="2022" dataDxfId="30"/>
    <tableColumn id="15" xr3:uid="{6D55B048-E35F-4B85-98F3-817F1FA97C87}" name="2023" dataDxfId="29"/>
    <tableColumn id="18" xr3:uid="{7527738E-61C8-476D-AFF9-8FDA2EC8959A}" name="2024" dataDxfId="28"/>
    <tableColumn id="19" xr3:uid="{0870E441-DB90-46F9-B3A6-8765BE52245F}" name="2025" dataDxfId="27"/>
    <tableColumn id="26" xr3:uid="{518F7BF6-AA47-4C1B-9F04-303FA3058AF3}" name="2026" dataDxfId="26"/>
    <tableColumn id="20" xr3:uid="{590E3DA5-7D1C-4852-AEED-21A9EB741B54}" name="2027" dataDxfId="25"/>
    <tableColumn id="21" xr3:uid="{4135A0C7-627F-4601-A42A-3795674AEC2A}" name="2028" dataDxfId="24"/>
    <tableColumn id="22" xr3:uid="{D8CEF2D0-BEE9-4215-971F-B7DF52F608FB}" name="2029" dataDxfId="23"/>
    <tableColumn id="30" xr3:uid="{4520413B-63CC-436E-AC2E-C9993CE92529}" name="2030" dataDxfId="22"/>
    <tableColumn id="27" xr3:uid="{880C3BB7-BD83-4726-885E-A191AF55E0F9}" name="2031" dataDxfId="21"/>
    <tableColumn id="31" xr3:uid="{6698AC99-68DA-496D-BEC7-FB749444896E}" name="2032" dataDxfId="20"/>
    <tableColumn id="32" xr3:uid="{61C9BC0D-6DC4-4C40-AFF1-DA70AED1E9DA}" name="2033" dataDxfId="19"/>
    <tableColumn id="33" xr3:uid="{723238E7-BE28-424D-A93E-EA6F7FE9BC6F}" name="2034" dataDxfId="18"/>
    <tableColumn id="34" xr3:uid="{90C45373-9003-4089-9AAA-C288DBD3D6E5}" name="2035" dataDxfId="17"/>
    <tableColumn id="28" xr3:uid="{2971BD57-544E-46C9-A810-8E1E65A01A20}" name="2036" dataDxfId="16"/>
    <tableColumn id="35" xr3:uid="{B6A2B140-80A6-4E11-BD7F-B2864B120768}" name="2037" dataDxfId="15"/>
    <tableColumn id="36" xr3:uid="{257E3480-5A32-4747-8393-83B245F46CCB}" name="2038" dataDxfId="14"/>
    <tableColumn id="37" xr3:uid="{EA4D4C9F-1C46-4E83-9ACC-D82FC4CF2AC0}" name="2039" dataDxfId="13"/>
    <tableColumn id="38" xr3:uid="{19ACB08A-4142-4D48-B6BD-B716F3EEB6F0}" name="2040" dataDxfId="12"/>
    <tableColumn id="29" xr3:uid="{98B7876C-418D-4B25-9CF0-3EE103AF06C9}" name="2041" dataDxfId="11"/>
    <tableColumn id="3" xr3:uid="{A949A131-9CB8-469C-B32E-871880F2C9DB}" name="2042" dataDxfId="10"/>
    <tableColumn id="39" xr3:uid="{7626EF33-1F21-4C7A-8A8A-A33A487C107A}" name="2043" dataDxfId="9"/>
    <tableColumn id="40" xr3:uid="{0C21B660-526A-4452-8920-388B05741784}" name="2044" dataDxfId="8"/>
    <tableColumn id="41" xr3:uid="{FEEC4804-2D27-4ADE-96FA-D25073A94E52}" name="2045" dataDxfId="7"/>
    <tableColumn id="42" xr3:uid="{F69CA5F0-75CD-46BB-A9F3-12A6C398C5FE}" name="2046" dataDxfId="6"/>
    <tableColumn id="43" xr3:uid="{3361581D-B77C-4C84-A755-F83F04FD1857}" name="2047" dataDxfId="5"/>
    <tableColumn id="44" xr3:uid="{D1734071-CD63-4A48-A236-21E62F867CA5}" name="2048" dataDxfId="4"/>
    <tableColumn id="45" xr3:uid="{54250574-6714-4D2A-B9DC-CBDB4C2E321E}" name="2049" dataDxfId="3"/>
    <tableColumn id="46" xr3:uid="{84AA7807-8701-47FB-B4C0-EABBA750FFC0}" name="2050" dataDxfId="2"/>
    <tableColumn id="48" xr3:uid="{B7ED715B-C377-4E6F-B47A-2EC5AEF7F2A7}" name="2051" dataDxfId="1"/>
    <tableColumn id="47" xr3:uid="{6EF4D3D8-6DC9-4D72-A6C3-F0929C7BAD9E}" name="Sector_group" dataDxfId="0"/>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C41F136-71EF-4F60-8DE3-95B75923E34C}" name="Outputs" displayName="Outputs" ref="A1:AO2" insertRow="1" totalsRowShown="0">
  <autoFilter ref="A1:AO2" xr:uid="{BC41F136-71EF-4F60-8DE3-95B75923E34C}"/>
  <tableColumns count="41">
    <tableColumn id="2" xr3:uid="{C6C084EA-BB22-4281-9E01-B60BD565E7E7}" name="Sector"/>
    <tableColumn id="3" xr3:uid="{B27A7B9F-1617-458A-B930-BAC316F0DE56}" name="Cluster"/>
    <tableColumn id="4" xr3:uid="{67825145-6241-4101-A9D2-5C8AF297A59F}" name="Primary_output"/>
    <tableColumn id="5" xr3:uid="{AE868691-E0CE-48FA-B472-D36DB7BB4910}" name="Output_description"/>
    <tableColumn id="31" xr3:uid="{736A3918-679C-4B14-A558-A365216F0C46}" name="Technology_code"/>
    <tableColumn id="32" xr3:uid="{18534AAB-D39C-46B9-AB43-6C7D988C1CBD}" name="Technology_description"/>
    <tableColumn id="33" xr3:uid="{B4A0378E-E29D-4BB5-8906-27FF90E03BC2}" name="Technology_category"/>
    <tableColumn id="6" xr3:uid="{D3691C45-DA3D-4C7D-8E85-6529588B033F}" name="Capacity"/>
    <tableColumn id="7" xr3:uid="{DCCB1F98-5589-48D2-9852-286D6D6AD9D0}" name="Unit"/>
    <tableColumn id="13" xr3:uid="{D9DD3850-713D-47A0-ABEC-C0F8756F0FDA}" name="2020"/>
    <tableColumn id="1" xr3:uid="{D79D43EC-58A4-4416-ACB1-D70AB5CE9843}" name="2021"/>
    <tableColumn id="8" xr3:uid="{33E8B45B-D208-45D5-B58D-6C744D2CD1D1}" name="2022"/>
    <tableColumn id="9" xr3:uid="{7A0B5621-5750-4C45-9D9A-F58F2CEEBDB7}" name="2023"/>
    <tableColumn id="10" xr3:uid="{79F5361D-1F1C-4967-AA35-591DC2C98703}" name="2024"/>
    <tableColumn id="14" xr3:uid="{AFC64528-F134-4A4C-A656-8BD46ED4C863}" name="2025"/>
    <tableColumn id="11" xr3:uid="{6942F48C-4769-4543-B393-47F9DD26700E}" name="2026"/>
    <tableColumn id="12" xr3:uid="{38D17AED-1CAD-4CAB-B84C-4FBF3F45D65A}" name="2027"/>
    <tableColumn id="20" xr3:uid="{34DC0D04-20B7-4340-B633-81EC042E40D6}" name="2028"/>
    <tableColumn id="21" xr3:uid="{A48167D7-7C49-417A-9025-E965EBD00DEC}" name="2029"/>
    <tableColumn id="15" xr3:uid="{29CBC4B1-805F-4E63-A1C4-B109F58265E4}" name="2030"/>
    <tableColumn id="22" xr3:uid="{8628568B-0951-4665-8529-91C74104AC7D}" name="2031"/>
    <tableColumn id="23" xr3:uid="{E540F82A-2003-4DEE-93A2-6FC88F7F5997}" name="2032"/>
    <tableColumn id="24" xr3:uid="{D3EE818E-A56F-4D0B-B7CB-F2A307D9A81C}" name="2033"/>
    <tableColumn id="25" xr3:uid="{479B537F-52D3-4831-9B20-D75A1DC2261A}" name="2034"/>
    <tableColumn id="16" xr3:uid="{EFC64D54-8280-446F-8150-931BC663EC8E}" name="2035"/>
    <tableColumn id="26" xr3:uid="{06674DD9-6471-41BE-AC89-267BBA458B91}" name="2036"/>
    <tableColumn id="27" xr3:uid="{C36F605D-9417-4D62-ADBF-56B5511AE507}" name="2037"/>
    <tableColumn id="28" xr3:uid="{7F9AF97D-D213-48BC-91E3-134411D4575B}" name="2038"/>
    <tableColumn id="29" xr3:uid="{CDC57B68-B136-4BF1-BAF5-935596B450D5}" name="2039"/>
    <tableColumn id="17" xr3:uid="{28877578-ED80-41F5-97C1-A37BFCBC2A51}" name="2040"/>
    <tableColumn id="30" xr3:uid="{108F957C-02AC-4F70-88D5-53CCEDC5F346}" name="2041"/>
    <tableColumn id="34" xr3:uid="{2D66CF71-8E1B-4A21-B9BE-FC299EDAD422}" name="2042"/>
    <tableColumn id="35" xr3:uid="{A2B59812-A7D3-42EC-821B-D1BD52C64685}" name="2043"/>
    <tableColumn id="36" xr3:uid="{15485469-23D8-4FA6-B0E8-B801EC4D5AA9}" name="2044"/>
    <tableColumn id="18" xr3:uid="{C3157844-16D9-4694-8875-E234F775A170}" name="2045"/>
    <tableColumn id="37" xr3:uid="{B2AA39A5-69AC-4C70-9799-1B99605785FC}" name="2046"/>
    <tableColumn id="38" xr3:uid="{13DA43D6-50A8-4C06-9B9A-234F4F2727A6}" name="2047"/>
    <tableColumn id="39" xr3:uid="{E001DB65-AD4B-40B5-9151-4C643791B4DB}" name="2048"/>
    <tableColumn id="40" xr3:uid="{6922C1F4-EF77-47B8-9870-C40657A341E8}" name="2049"/>
    <tableColumn id="19" xr3:uid="{0C63D24F-7D7F-4FED-832D-A97787545971}" name="2050"/>
    <tableColumn id="41" xr3:uid="{C6FEA6CD-7225-449D-87C0-6CA4B8296CF0}" name="2051"/>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992712C-5FAD-4E47-BF8D-0A810CB6D68E}" name="Energy" displayName="Energy" ref="A1:AJ2" insertRow="1" totalsRowShown="0">
  <autoFilter ref="A1:AJ2" xr:uid="{63965905-6755-4B11-B80C-5533412FC539}"/>
  <tableColumns count="36">
    <tableColumn id="2" xr3:uid="{4E172E4A-3DCC-48D2-8F44-AFFEA37EC35B}" name="Sector"/>
    <tableColumn id="35" xr3:uid="{0355A7D8-BAC7-4299-A2B6-E55CDAC05154}" name="Cluster"/>
    <tableColumn id="40" xr3:uid="{11AF93A4-A23F-4B0F-AC3F-0B4CFD21DFCD}" name="Input_commodity"/>
    <tableColumn id="38" xr3:uid="{897814C4-CDFC-49B1-B844-675524893D2E}" name="Fuel_category"/>
    <tableColumn id="36" xr3:uid="{BBA88B72-F768-4363-AF83-D13BD9F750D5}" name="Generate_emissions"/>
    <tableColumn id="20" xr3:uid="{CDDE75C3-1344-4A6F-92EB-D97153602CCF}" name="2021_TWh"/>
    <tableColumn id="1" xr3:uid="{FB8A20DD-B8F9-4611-8B97-80F2EB803FA7}" name="2022_TWh"/>
    <tableColumn id="3" xr3:uid="{B28022F3-C909-43FF-9111-A29EB6007253}" name="2023_TWh"/>
    <tableColumn id="4" xr3:uid="{0DA6E7FD-7DB9-4941-86F6-71D214C6F8FE}" name="2024_TWh"/>
    <tableColumn id="6" xr3:uid="{631F26A1-0E68-4DF1-8E3B-FF6FE55E0376}" name="2025_TWh"/>
    <tableColumn id="21" xr3:uid="{71A909F7-73B7-4E2F-913C-178994A31424}" name="2026_TWh"/>
    <tableColumn id="7" xr3:uid="{A8694E5B-7FC2-4F7B-ACCA-EB3CB826A483}" name="2027_TWh"/>
    <tableColumn id="8" xr3:uid="{F22B92D0-C9BE-4407-8800-1E8B18272948}" name="2028_TWh"/>
    <tableColumn id="9" xr3:uid="{79DA4F74-7086-4679-92F8-FD5A4B714C16}" name="2029_TWh"/>
    <tableColumn id="10" xr3:uid="{EFEDAE1E-53CF-4F55-BEA1-839DD24A045F}" name="2030_TWh"/>
    <tableColumn id="22" xr3:uid="{19C5B531-452B-4AE7-A3A6-17CD9B65CCC0}" name="2031_TWh"/>
    <tableColumn id="11" xr3:uid="{5E42B832-8039-40B8-A162-D36A9D91082C}" name="2032_TWh"/>
    <tableColumn id="12" xr3:uid="{D9F0578C-835E-4111-9767-3264B06DEBF6}" name="2033_TWh"/>
    <tableColumn id="13" xr3:uid="{24C4A52F-8CE3-42DA-A412-A0C4C91405E0}" name="2034_TWh"/>
    <tableColumn id="14" xr3:uid="{57E3E0A6-65B2-4057-8098-7C07B0C994C7}" name="2035_TWh"/>
    <tableColumn id="23" xr3:uid="{00B810A0-0DBC-44E0-8203-AD758D2A4793}" name="2036_TWh"/>
    <tableColumn id="15" xr3:uid="{B6F41022-D9FB-4275-BD66-F3BDAE5DC8B7}" name="2037_TWh"/>
    <tableColumn id="16" xr3:uid="{D0BF400B-9415-44EB-B5E0-11FA10A5C5E6}" name="2038_TWh"/>
    <tableColumn id="17" xr3:uid="{63865535-2CBF-47EB-AFAA-EB25F95EC57A}" name="2039_TWh"/>
    <tableColumn id="18" xr3:uid="{80457AA1-F1D1-4DBE-BC4F-368F2FF8C77A}" name="2040_TWh"/>
    <tableColumn id="24" xr3:uid="{52008CB8-7C49-4514-9367-7C46CC92ABCD}" name="2041_TWh"/>
    <tableColumn id="19" xr3:uid="{C09133FB-DECC-4461-8C27-E6727F143E7F}" name="2042_TWh"/>
    <tableColumn id="27" xr3:uid="{7FE56C13-AC58-4F03-8D47-8E6DB8E3F37B}" name="2043_TWh"/>
    <tableColumn id="28" xr3:uid="{77F3C62F-CEE4-431B-9B5D-8436D50E5C3D}" name="2044_TWh"/>
    <tableColumn id="29" xr3:uid="{8D65B460-B193-496C-8F2D-5C8C1326DC9D}" name="2045_TWh"/>
    <tableColumn id="25" xr3:uid="{170619EA-8C9E-461B-A8F0-C67BD1DF4661}" name="2046_TWh"/>
    <tableColumn id="30" xr3:uid="{50F2DE0C-1B4F-40E1-B403-3AF7933CC47F}" name="2047_TWh"/>
    <tableColumn id="31" xr3:uid="{22013938-0CBB-48AA-AD6F-629B1276CEA4}" name="2048_TWh"/>
    <tableColumn id="32" xr3:uid="{4075F7DA-5E0C-4EF2-815E-066CE2C4D864}" name="2049_TWh"/>
    <tableColumn id="33" xr3:uid="{4710B59E-673C-4511-974B-51185E85F503}" name="2050_TWh"/>
    <tableColumn id="26" xr3:uid="{D7B6923A-84F1-4C76-B5A3-6C47A7F05ED1}" name="2051_TWh"/>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32DCFDE-41BB-42D1-AE63-EF864D991DBE}" name="Infrastructure" displayName="Infrastructure" ref="A1:AK2" insertRow="1" totalsRowShown="0" dataCellStyle="Normal 2">
  <autoFilter ref="A1:AK2" xr:uid="{52A0F802-16D6-45BE-BE76-FEBBAB726271}"/>
  <tableColumns count="37">
    <tableColumn id="1" xr3:uid="{706213AC-8B6D-447F-9BA7-B39CC2A5FE5A}" name="cluster" dataCellStyle="Normal 2"/>
    <tableColumn id="2" xr3:uid="{54588AA9-FBCC-4ADE-9C2B-930ECB7D143C}" name="variable_type" dataCellStyle="Normal 2"/>
    <tableColumn id="3" xr3:uid="{29F00246-5325-44A5-AD54-E5ADA3EC9B18}" name="terminal" dataCellStyle="Normal 2"/>
    <tableColumn id="4" xr3:uid="{38AFEBD9-5FC8-4F36-B3E9-AB1335471583}" name="storage_site" dataCellStyle="Normal 2"/>
    <tableColumn id="15" xr3:uid="{EA7F0AD7-D4D5-4BE4-812B-8FA02B09554F}" name="pipe_cluster_end"/>
    <tableColumn id="6" xr3:uid="{6FF27D0D-D595-407F-9A1C-FC3DB2B5972E}" name="2020" dataCellStyle="Normal 2"/>
    <tableColumn id="33" xr3:uid="{ED242E9F-93AC-4A71-A0ED-AA8913B71737}" name="2021"/>
    <tableColumn id="34" xr3:uid="{EEF1C75E-965C-4094-B769-013D1634A546}" name="2022"/>
    <tableColumn id="35" xr3:uid="{541FDC52-D710-44C1-A8B9-0BEEA769DC6B}" name="2023"/>
    <tableColumn id="36" xr3:uid="{AABD2721-D651-4B9C-9C45-A6ACFEB43269}" name="2024"/>
    <tableColumn id="7" xr3:uid="{88A656AE-D02F-431B-89F5-047BA673307A}" name="2025" dataCellStyle="Normal 2"/>
    <tableColumn id="29" xr3:uid="{5C3F0184-AE99-43FD-ABDE-0BAB6CC6A57D}" name="2026"/>
    <tableColumn id="30" xr3:uid="{DA1942D9-97E1-443B-A334-95B43871D485}" name="2027"/>
    <tableColumn id="31" xr3:uid="{80E99DBC-6D13-4755-82ED-A4F1491A432E}" name="2028"/>
    <tableColumn id="32" xr3:uid="{EF36EC33-1832-4202-97DC-CE54721E4B5F}" name="2029"/>
    <tableColumn id="8" xr3:uid="{5D9A6983-A483-4345-A6E7-9EC36404F6B8}" name="2030" dataCellStyle="Normal 2"/>
    <tableColumn id="25" xr3:uid="{BDD009BA-CBA3-469C-946D-AB463D0248E6}" name="2031"/>
    <tableColumn id="26" xr3:uid="{4570D492-FFDA-4636-BB2D-0CF9FC664627}" name="2032"/>
    <tableColumn id="27" xr3:uid="{18F023FE-4688-402A-8D91-73F90890AB53}" name="2033"/>
    <tableColumn id="28" xr3:uid="{6B332DE4-869B-4D3A-8157-9B404AD9DADA}" name="2034"/>
    <tableColumn id="9" xr3:uid="{7A97B4B8-04DB-4BD9-B076-E6A4854BD24F}" name="2035" dataCellStyle="Normal 2"/>
    <tableColumn id="21" xr3:uid="{AF4C595A-A6BC-4016-8424-D4DF4A74ED6E}" name="2036"/>
    <tableColumn id="22" xr3:uid="{6570F44B-5DE5-42C5-9161-A27630053791}" name="2037"/>
    <tableColumn id="23" xr3:uid="{25B49447-FCBA-4421-85FE-8B168DAFCAFB}" name="2038"/>
    <tableColumn id="24" xr3:uid="{B13424EF-D8A2-4871-BE8D-D72ABC1EAA07}" name="2039"/>
    <tableColumn id="10" xr3:uid="{460DB806-0A00-4654-AF1F-56AF1217D11F}" name="2040" dataCellStyle="Normal 2"/>
    <tableColumn id="17" xr3:uid="{042B2C3F-EE28-4940-82EF-3740EA7909C5}" name="2041"/>
    <tableColumn id="18" xr3:uid="{BE4C2E38-D503-4C1F-A547-E04462073D0E}" name="2042"/>
    <tableColumn id="19" xr3:uid="{4ACF5928-B640-4488-90A3-CE9EA31DB97B}" name="2043"/>
    <tableColumn id="20" xr3:uid="{9C5B5E53-0158-420F-B622-53E38B512482}" name="2044"/>
    <tableColumn id="11" xr3:uid="{4B50972A-49AE-4149-A3B5-94C216DEE207}" name="2045" dataCellStyle="Normal 2"/>
    <tableColumn id="5" xr3:uid="{ADD2CABE-D064-4FFA-B723-1B4F1195E0C5}" name="2046"/>
    <tableColumn id="13" xr3:uid="{1129BEF2-22BD-456F-B867-049DC6EBF645}" name="2047"/>
    <tableColumn id="14" xr3:uid="{9FE65810-8397-4527-85CD-520735BCB667}" name="2048"/>
    <tableColumn id="16" xr3:uid="{EBC3CE8B-5697-4A2F-A33E-5C5690956880}" name="2049"/>
    <tableColumn id="12" xr3:uid="{7444BEA8-E1CA-4DC9-8EFA-595F2227E6F1}" name="2050" dataCellStyle="Normal 2"/>
    <tableColumn id="37" xr3:uid="{66397D22-1882-442A-AC24-DF802367C7F9}" name="2051" dataCellStyle="Normal 2"/>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167EC-5ED4-4A52-B3BE-071898A76B35}">
  <sheetPr>
    <tabColor theme="8" tint="-0.249977111117893"/>
  </sheetPr>
  <dimension ref="B2:J10"/>
  <sheetViews>
    <sheetView showGridLines="0" tabSelected="1" workbookViewId="0"/>
  </sheetViews>
  <sheetFormatPr defaultRowHeight="14.25" x14ac:dyDescent="0.45"/>
  <cols>
    <col min="1" max="1" width="7" customWidth="1"/>
  </cols>
  <sheetData>
    <row r="2" spans="2:10" ht="23.1" customHeight="1" x14ac:dyDescent="0.45"/>
    <row r="3" spans="2:10" ht="91.9" x14ac:dyDescent="0.45">
      <c r="B3" s="112" t="s">
        <v>313</v>
      </c>
      <c r="C3" s="112"/>
      <c r="D3" s="112"/>
      <c r="E3" s="112"/>
      <c r="F3" s="112"/>
      <c r="G3" s="112"/>
      <c r="H3" s="112"/>
      <c r="I3" s="112"/>
      <c r="J3" s="112"/>
    </row>
    <row r="4" spans="2:10" ht="21" x14ac:dyDescent="0.65">
      <c r="B4" s="113" t="s">
        <v>314</v>
      </c>
      <c r="C4" s="113"/>
      <c r="D4" s="113"/>
      <c r="E4" s="113"/>
      <c r="F4" s="113"/>
      <c r="G4" s="113"/>
      <c r="H4" s="113"/>
      <c r="I4" s="113"/>
      <c r="J4" s="113"/>
    </row>
    <row r="5" spans="2:10" ht="21" x14ac:dyDescent="0.65">
      <c r="B5" s="94"/>
      <c r="C5" s="94"/>
      <c r="D5" s="94"/>
      <c r="E5" s="94"/>
      <c r="F5" s="94"/>
      <c r="G5" s="94"/>
      <c r="H5" s="94"/>
      <c r="I5" s="94"/>
      <c r="J5" s="94"/>
    </row>
    <row r="6" spans="2:10" ht="18" x14ac:dyDescent="0.55000000000000004">
      <c r="B6" s="11" t="s">
        <v>315</v>
      </c>
    </row>
    <row r="7" spans="2:10" ht="15.75" x14ac:dyDescent="0.5">
      <c r="B7" s="93"/>
    </row>
    <row r="8" spans="2:10" ht="15.75" x14ac:dyDescent="0.5">
      <c r="B8" s="92" t="s">
        <v>316</v>
      </c>
    </row>
    <row r="9" spans="2:10" x14ac:dyDescent="0.45">
      <c r="B9" s="8" t="s">
        <v>317</v>
      </c>
    </row>
    <row r="10" spans="2:10" x14ac:dyDescent="0.45">
      <c r="B10" s="8" t="s">
        <v>318</v>
      </c>
    </row>
  </sheetData>
  <mergeCells count="2">
    <mergeCell ref="B3:J3"/>
    <mergeCell ref="B4:J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sheetPr>
  <dimension ref="A2:E19"/>
  <sheetViews>
    <sheetView showGridLines="0" zoomScaleNormal="100" workbookViewId="0"/>
  </sheetViews>
  <sheetFormatPr defaultRowHeight="14.25" x14ac:dyDescent="0.45"/>
  <cols>
    <col min="1" max="1" width="4.59765625" customWidth="1"/>
    <col min="2" max="3" width="29.1328125" customWidth="1"/>
    <col min="4" max="4" width="132.1328125" style="17" customWidth="1"/>
    <col min="5" max="5" width="32.59765625" style="17" customWidth="1"/>
    <col min="6" max="6" width="22.86328125" customWidth="1"/>
    <col min="26" max="26" width="17.1328125" customWidth="1"/>
  </cols>
  <sheetData>
    <row r="2" spans="1:5" ht="39.75" customHeight="1" x14ac:dyDescent="0.75">
      <c r="B2" s="114" t="s">
        <v>300</v>
      </c>
      <c r="C2" s="114"/>
      <c r="D2" s="114"/>
      <c r="E2" s="62"/>
    </row>
    <row r="3" spans="1:5" ht="26.25" customHeight="1" x14ac:dyDescent="0.45">
      <c r="B3" s="81" t="s">
        <v>263</v>
      </c>
      <c r="C3" s="81"/>
      <c r="D3" s="78" t="s">
        <v>264</v>
      </c>
      <c r="E3"/>
    </row>
    <row r="4" spans="1:5" ht="36.75" customHeight="1" x14ac:dyDescent="0.45">
      <c r="B4" s="82" t="s">
        <v>0</v>
      </c>
      <c r="C4" s="82"/>
      <c r="D4" s="79" t="s">
        <v>299</v>
      </c>
      <c r="E4" s="63"/>
    </row>
    <row r="5" spans="1:5" ht="24" customHeight="1" x14ac:dyDescent="0.45">
      <c r="B5" s="83" t="s">
        <v>311</v>
      </c>
      <c r="C5" s="83"/>
      <c r="D5" s="61" t="s">
        <v>312</v>
      </c>
      <c r="E5" s="63"/>
    </row>
    <row r="6" spans="1:5" ht="39" customHeight="1" x14ac:dyDescent="0.45">
      <c r="B6" s="83" t="s">
        <v>2</v>
      </c>
      <c r="C6" s="83"/>
      <c r="D6" s="61" t="s">
        <v>309</v>
      </c>
      <c r="E6" s="63"/>
    </row>
    <row r="7" spans="1:5" ht="36.75" customHeight="1" x14ac:dyDescent="0.45">
      <c r="B7" s="83" t="s">
        <v>3</v>
      </c>
      <c r="C7" s="83"/>
      <c r="D7" s="61" t="s">
        <v>266</v>
      </c>
      <c r="E7" s="63"/>
    </row>
    <row r="8" spans="1:5" ht="40.5" customHeight="1" x14ac:dyDescent="0.45">
      <c r="B8" s="83" t="s">
        <v>1</v>
      </c>
      <c r="C8" s="83"/>
      <c r="D8" s="61" t="s">
        <v>265</v>
      </c>
      <c r="E8" s="63"/>
    </row>
    <row r="9" spans="1:5" ht="44.25" customHeight="1" x14ac:dyDescent="0.45">
      <c r="B9" s="83" t="s">
        <v>4</v>
      </c>
      <c r="C9" s="83"/>
      <c r="D9" s="61" t="s">
        <v>310</v>
      </c>
      <c r="E9" s="63"/>
    </row>
    <row r="10" spans="1:5" ht="26.25" customHeight="1" x14ac:dyDescent="0.45">
      <c r="B10" s="83" t="s">
        <v>261</v>
      </c>
      <c r="C10" s="83"/>
      <c r="D10" s="61" t="s">
        <v>267</v>
      </c>
      <c r="E10"/>
    </row>
    <row r="11" spans="1:5" ht="26.25" x14ac:dyDescent="0.45">
      <c r="B11" s="84" t="s">
        <v>301</v>
      </c>
      <c r="C11" s="84"/>
      <c r="D11" s="80" t="s">
        <v>308</v>
      </c>
      <c r="E11"/>
    </row>
    <row r="12" spans="1:5" ht="28.5" customHeight="1" x14ac:dyDescent="0.45">
      <c r="A12" t="s">
        <v>262</v>
      </c>
      <c r="B12" s="109" t="s">
        <v>321</v>
      </c>
      <c r="C12" s="111" t="s">
        <v>322</v>
      </c>
      <c r="D12" s="110" t="s">
        <v>323</v>
      </c>
      <c r="E12"/>
    </row>
    <row r="13" spans="1:5" x14ac:dyDescent="0.45">
      <c r="B13" s="1"/>
      <c r="C13" s="1"/>
      <c r="D13" s="18"/>
      <c r="E13" s="64"/>
    </row>
    <row r="14" spans="1:5" x14ac:dyDescent="0.45">
      <c r="B14" s="1"/>
      <c r="C14" s="1"/>
      <c r="D14" s="18"/>
      <c r="E14" s="64"/>
    </row>
    <row r="15" spans="1:5" x14ac:dyDescent="0.45">
      <c r="B15" s="1"/>
      <c r="C15" s="1"/>
      <c r="D15" s="18"/>
      <c r="E15" s="64"/>
    </row>
    <row r="16" spans="1:5" ht="25.5" x14ac:dyDescent="0.75">
      <c r="B16" s="114" t="s">
        <v>5</v>
      </c>
      <c r="C16" s="114"/>
      <c r="D16" s="114"/>
      <c r="E16" s="62"/>
    </row>
    <row r="17" spans="2:5" ht="37.5" customHeight="1" x14ac:dyDescent="0.45">
      <c r="B17" s="86" t="s">
        <v>302</v>
      </c>
      <c r="C17" s="86" t="s">
        <v>6</v>
      </c>
      <c r="D17" s="85" t="s">
        <v>306</v>
      </c>
      <c r="E17" s="65"/>
    </row>
    <row r="18" spans="2:5" x14ac:dyDescent="0.45">
      <c r="B18" s="86" t="s">
        <v>303</v>
      </c>
      <c r="C18" s="86" t="s">
        <v>7</v>
      </c>
      <c r="D18" s="85" t="s">
        <v>305</v>
      </c>
      <c r="E18" s="65"/>
    </row>
    <row r="19" spans="2:5" ht="41.25" customHeight="1" x14ac:dyDescent="0.45">
      <c r="B19" s="86" t="s">
        <v>304</v>
      </c>
      <c r="C19" s="86" t="s">
        <v>7</v>
      </c>
      <c r="D19" s="85" t="s">
        <v>307</v>
      </c>
      <c r="E19" s="65"/>
    </row>
  </sheetData>
  <mergeCells count="2">
    <mergeCell ref="B2:D2"/>
    <mergeCell ref="B16:D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26B7-F0CE-4EC4-BBA4-B24378467B23}">
  <sheetPr>
    <tabColor theme="8" tint="-0.249977111117893"/>
  </sheetPr>
  <dimension ref="B3:K78"/>
  <sheetViews>
    <sheetView showGridLines="0" workbookViewId="0">
      <pane xSplit="2" ySplit="3" topLeftCell="C16" activePane="bottomRight" state="frozen"/>
      <selection pane="topRight" activeCell="C1" sqref="C1"/>
      <selection pane="bottomLeft" activeCell="A4" sqref="A4"/>
      <selection pane="bottomRight"/>
    </sheetView>
  </sheetViews>
  <sheetFormatPr defaultRowHeight="14.25" x14ac:dyDescent="0.45"/>
  <cols>
    <col min="1" max="1" width="3.73046875" customWidth="1"/>
    <col min="2" max="2" width="13.1328125" style="6" customWidth="1"/>
    <col min="3" max="3" width="25.1328125" customWidth="1"/>
    <col min="4" max="4" width="74.73046875" style="17" customWidth="1"/>
    <col min="5" max="5" width="95.86328125" style="17" customWidth="1"/>
  </cols>
  <sheetData>
    <row r="3" spans="2:11" ht="16.149999999999999" thickBot="1" x14ac:dyDescent="0.55000000000000004">
      <c r="B3" s="107" t="s">
        <v>319</v>
      </c>
      <c r="C3" s="107" t="s">
        <v>200</v>
      </c>
      <c r="D3" s="108" t="s">
        <v>201</v>
      </c>
      <c r="E3" s="108" t="s">
        <v>202</v>
      </c>
    </row>
    <row r="4" spans="2:11" ht="42.75" x14ac:dyDescent="0.45">
      <c r="B4" s="116" t="s">
        <v>2</v>
      </c>
      <c r="C4" s="105" t="s">
        <v>41</v>
      </c>
      <c r="D4" s="106" t="s">
        <v>203</v>
      </c>
      <c r="E4" s="106"/>
      <c r="K4" s="59"/>
    </row>
    <row r="5" spans="2:11" x14ac:dyDescent="0.45">
      <c r="B5" s="115"/>
      <c r="C5" s="95" t="s">
        <v>91</v>
      </c>
      <c r="D5" s="96" t="s">
        <v>204</v>
      </c>
      <c r="E5" s="96"/>
    </row>
    <row r="6" spans="2:11" x14ac:dyDescent="0.45">
      <c r="B6" s="115"/>
      <c r="C6" s="95" t="s">
        <v>279</v>
      </c>
      <c r="D6" s="96" t="s">
        <v>282</v>
      </c>
      <c r="E6" s="96"/>
    </row>
    <row r="7" spans="2:11" ht="28.5" x14ac:dyDescent="0.45">
      <c r="B7" s="115"/>
      <c r="C7" s="95" t="s">
        <v>138</v>
      </c>
      <c r="D7" s="96" t="s">
        <v>205</v>
      </c>
      <c r="E7" s="96" t="s">
        <v>206</v>
      </c>
    </row>
    <row r="8" spans="2:11" x14ac:dyDescent="0.45">
      <c r="B8" s="115"/>
      <c r="C8" s="95" t="s">
        <v>68</v>
      </c>
      <c r="D8" s="96" t="s">
        <v>260</v>
      </c>
      <c r="E8" s="96" t="s">
        <v>207</v>
      </c>
    </row>
    <row r="9" spans="2:11" ht="42.75" x14ac:dyDescent="0.45">
      <c r="B9" s="115"/>
      <c r="C9" s="95" t="s">
        <v>283</v>
      </c>
      <c r="D9" s="96" t="s">
        <v>284</v>
      </c>
      <c r="E9" s="96" t="s">
        <v>208</v>
      </c>
    </row>
    <row r="10" spans="2:11" ht="28.5" x14ac:dyDescent="0.45">
      <c r="B10" s="115"/>
      <c r="C10" s="97" t="s">
        <v>54</v>
      </c>
      <c r="D10" s="98" t="s">
        <v>209</v>
      </c>
      <c r="E10" s="98" t="s">
        <v>210</v>
      </c>
    </row>
    <row r="11" spans="2:11" x14ac:dyDescent="0.45">
      <c r="B11" s="115"/>
      <c r="C11" s="95" t="s">
        <v>55</v>
      </c>
      <c r="D11" s="96" t="s">
        <v>211</v>
      </c>
      <c r="E11" s="96"/>
    </row>
    <row r="12" spans="2:11" ht="28.5" x14ac:dyDescent="0.45">
      <c r="B12" s="115"/>
      <c r="C12" s="95" t="s">
        <v>56</v>
      </c>
      <c r="D12" s="96" t="s">
        <v>212</v>
      </c>
      <c r="E12" s="96" t="s">
        <v>213</v>
      </c>
    </row>
    <row r="13" spans="2:11" x14ac:dyDescent="0.45">
      <c r="B13" s="115"/>
      <c r="C13" s="95" t="s">
        <v>57</v>
      </c>
      <c r="D13" s="96" t="s">
        <v>214</v>
      </c>
      <c r="E13" s="96"/>
    </row>
    <row r="14" spans="2:11" x14ac:dyDescent="0.45">
      <c r="B14" s="115"/>
      <c r="C14" s="95" t="s">
        <v>58</v>
      </c>
      <c r="D14" s="96" t="s">
        <v>215</v>
      </c>
      <c r="E14" s="96" t="s">
        <v>216</v>
      </c>
    </row>
    <row r="15" spans="2:11" ht="42.75" x14ac:dyDescent="0.45">
      <c r="B15" s="115"/>
      <c r="C15" s="95" t="s">
        <v>43</v>
      </c>
      <c r="D15" s="96" t="s">
        <v>217</v>
      </c>
      <c r="E15" s="96"/>
    </row>
    <row r="16" spans="2:11" x14ac:dyDescent="0.45">
      <c r="B16" s="115"/>
      <c r="C16" s="95" t="s">
        <v>44</v>
      </c>
      <c r="D16" s="96" t="s">
        <v>218</v>
      </c>
      <c r="E16" s="96"/>
    </row>
    <row r="17" spans="2:5" ht="28.5" x14ac:dyDescent="0.45">
      <c r="B17" s="115"/>
      <c r="C17" s="95" t="s">
        <v>88</v>
      </c>
      <c r="D17" s="96" t="s">
        <v>219</v>
      </c>
      <c r="E17" s="96"/>
    </row>
    <row r="18" spans="2:5" x14ac:dyDescent="0.45">
      <c r="B18" s="115"/>
      <c r="C18" s="99" t="s">
        <v>220</v>
      </c>
      <c r="D18" s="96" t="s">
        <v>320</v>
      </c>
      <c r="E18" s="96"/>
    </row>
    <row r="19" spans="2:5" x14ac:dyDescent="0.45">
      <c r="B19" s="100"/>
      <c r="C19" s="101"/>
      <c r="D19" s="102"/>
      <c r="E19" s="102"/>
    </row>
    <row r="20" spans="2:5" x14ac:dyDescent="0.45">
      <c r="B20" s="115" t="s">
        <v>1</v>
      </c>
      <c r="C20" s="95" t="s">
        <v>53</v>
      </c>
      <c r="D20" s="96" t="s">
        <v>221</v>
      </c>
      <c r="E20" s="96"/>
    </row>
    <row r="21" spans="2:5" x14ac:dyDescent="0.45">
      <c r="B21" s="115"/>
      <c r="C21" s="95" t="s">
        <v>91</v>
      </c>
      <c r="D21" s="96" t="s">
        <v>204</v>
      </c>
      <c r="E21" s="96"/>
    </row>
    <row r="22" spans="2:5" x14ac:dyDescent="0.45">
      <c r="B22" s="115"/>
      <c r="C22" s="95" t="s">
        <v>279</v>
      </c>
      <c r="D22" s="96" t="s">
        <v>282</v>
      </c>
      <c r="E22" s="96"/>
    </row>
    <row r="23" spans="2:5" ht="28.5" x14ac:dyDescent="0.45">
      <c r="B23" s="115"/>
      <c r="C23" s="95" t="s">
        <v>138</v>
      </c>
      <c r="D23" s="96" t="s">
        <v>205</v>
      </c>
      <c r="E23" s="96" t="s">
        <v>206</v>
      </c>
    </row>
    <row r="24" spans="2:5" x14ac:dyDescent="0.45">
      <c r="B24" s="115"/>
      <c r="C24" s="95" t="s">
        <v>54</v>
      </c>
      <c r="D24" s="96" t="s">
        <v>222</v>
      </c>
      <c r="E24" s="96"/>
    </row>
    <row r="25" spans="2:5" x14ac:dyDescent="0.45">
      <c r="B25" s="115"/>
      <c r="C25" s="95" t="s">
        <v>55</v>
      </c>
      <c r="D25" s="96" t="s">
        <v>211</v>
      </c>
      <c r="E25" s="96"/>
    </row>
    <row r="26" spans="2:5" ht="28.5" x14ac:dyDescent="0.45">
      <c r="B26" s="115"/>
      <c r="C26" s="95" t="s">
        <v>56</v>
      </c>
      <c r="D26" s="96" t="s">
        <v>212</v>
      </c>
      <c r="E26" s="96" t="s">
        <v>223</v>
      </c>
    </row>
    <row r="27" spans="2:5" x14ac:dyDescent="0.45">
      <c r="B27" s="115"/>
      <c r="C27" s="95" t="s">
        <v>57</v>
      </c>
      <c r="D27" s="96" t="s">
        <v>214</v>
      </c>
      <c r="E27" s="96"/>
    </row>
    <row r="28" spans="2:5" x14ac:dyDescent="0.45">
      <c r="B28" s="115"/>
      <c r="C28" s="95" t="s">
        <v>58</v>
      </c>
      <c r="D28" s="96" t="s">
        <v>215</v>
      </c>
      <c r="E28" s="96" t="s">
        <v>224</v>
      </c>
    </row>
    <row r="29" spans="2:5" ht="28.5" x14ac:dyDescent="0.45">
      <c r="B29" s="115"/>
      <c r="C29" s="97" t="s">
        <v>59</v>
      </c>
      <c r="D29" s="98" t="s">
        <v>225</v>
      </c>
      <c r="E29" s="96" t="s">
        <v>226</v>
      </c>
    </row>
    <row r="30" spans="2:5" x14ac:dyDescent="0.45">
      <c r="B30" s="115"/>
      <c r="C30" s="103" t="s">
        <v>220</v>
      </c>
      <c r="D30" s="98" t="s">
        <v>227</v>
      </c>
      <c r="E30" s="104"/>
    </row>
    <row r="31" spans="2:5" x14ac:dyDescent="0.45">
      <c r="B31" s="100"/>
      <c r="C31" s="101"/>
      <c r="D31" s="102"/>
      <c r="E31" s="102"/>
    </row>
    <row r="32" spans="2:5" ht="85.5" x14ac:dyDescent="0.45">
      <c r="B32" s="115" t="s">
        <v>3</v>
      </c>
      <c r="C32" s="95" t="s">
        <v>137</v>
      </c>
      <c r="D32" s="96" t="s">
        <v>228</v>
      </c>
      <c r="E32" s="96" t="s">
        <v>324</v>
      </c>
    </row>
    <row r="33" spans="2:5" x14ac:dyDescent="0.45">
      <c r="B33" s="115"/>
      <c r="C33" s="95" t="s">
        <v>53</v>
      </c>
      <c r="D33" s="96" t="s">
        <v>229</v>
      </c>
      <c r="E33" s="96"/>
    </row>
    <row r="34" spans="2:5" x14ac:dyDescent="0.45">
      <c r="B34" s="115"/>
      <c r="C34" s="95" t="s">
        <v>91</v>
      </c>
      <c r="D34" s="96" t="s">
        <v>204</v>
      </c>
      <c r="E34" s="96"/>
    </row>
    <row r="35" spans="2:5" x14ac:dyDescent="0.45">
      <c r="B35" s="115"/>
      <c r="C35" s="95" t="s">
        <v>279</v>
      </c>
      <c r="D35" s="96" t="s">
        <v>282</v>
      </c>
      <c r="E35" s="96"/>
    </row>
    <row r="36" spans="2:5" ht="28.5" x14ac:dyDescent="0.45">
      <c r="B36" s="115"/>
      <c r="C36" s="95" t="s">
        <v>138</v>
      </c>
      <c r="D36" s="96" t="s">
        <v>205</v>
      </c>
      <c r="E36" s="96" t="s">
        <v>206</v>
      </c>
    </row>
    <row r="37" spans="2:5" x14ac:dyDescent="0.45">
      <c r="B37" s="115"/>
      <c r="C37" s="95" t="s">
        <v>54</v>
      </c>
      <c r="D37" s="96" t="s">
        <v>222</v>
      </c>
      <c r="E37" s="96"/>
    </row>
    <row r="38" spans="2:5" x14ac:dyDescent="0.45">
      <c r="B38" s="115"/>
      <c r="C38" s="95" t="s">
        <v>55</v>
      </c>
      <c r="D38" s="96" t="s">
        <v>211</v>
      </c>
      <c r="E38" s="96"/>
    </row>
    <row r="39" spans="2:5" ht="28.5" x14ac:dyDescent="0.45">
      <c r="B39" s="115"/>
      <c r="C39" s="95" t="s">
        <v>56</v>
      </c>
      <c r="D39" s="96" t="s">
        <v>212</v>
      </c>
      <c r="E39" s="96" t="s">
        <v>223</v>
      </c>
    </row>
    <row r="40" spans="2:5" x14ac:dyDescent="0.45">
      <c r="B40" s="115"/>
      <c r="C40" s="95" t="s">
        <v>57</v>
      </c>
      <c r="D40" s="96" t="s">
        <v>214</v>
      </c>
      <c r="E40" s="96"/>
    </row>
    <row r="41" spans="2:5" x14ac:dyDescent="0.45">
      <c r="B41" s="115"/>
      <c r="C41" s="95" t="s">
        <v>58</v>
      </c>
      <c r="D41" s="96" t="s">
        <v>230</v>
      </c>
      <c r="E41" s="96" t="s">
        <v>224</v>
      </c>
    </row>
    <row r="42" spans="2:5" x14ac:dyDescent="0.45">
      <c r="B42" s="115"/>
      <c r="C42" s="95" t="s">
        <v>61</v>
      </c>
      <c r="D42" s="96" t="s">
        <v>231</v>
      </c>
      <c r="E42" s="96"/>
    </row>
    <row r="43" spans="2:5" x14ac:dyDescent="0.45">
      <c r="B43" s="115"/>
      <c r="C43" s="95" t="s">
        <v>280</v>
      </c>
      <c r="D43" s="96" t="s">
        <v>285</v>
      </c>
      <c r="E43" s="96"/>
    </row>
    <row r="44" spans="2:5" x14ac:dyDescent="0.45">
      <c r="B44" s="115"/>
      <c r="C44" s="97" t="s">
        <v>60</v>
      </c>
      <c r="D44" s="98" t="s">
        <v>232</v>
      </c>
      <c r="E44" s="96"/>
    </row>
    <row r="45" spans="2:5" x14ac:dyDescent="0.45">
      <c r="B45" s="115"/>
      <c r="C45" s="103" t="s">
        <v>220</v>
      </c>
      <c r="D45" s="96" t="s">
        <v>233</v>
      </c>
      <c r="E45" s="96"/>
    </row>
    <row r="46" spans="2:5" ht="28.5" x14ac:dyDescent="0.45">
      <c r="B46" s="115"/>
      <c r="C46" s="95" t="s">
        <v>88</v>
      </c>
      <c r="D46" s="96" t="s">
        <v>234</v>
      </c>
      <c r="E46" s="96"/>
    </row>
    <row r="47" spans="2:5" x14ac:dyDescent="0.45">
      <c r="B47" s="100"/>
      <c r="C47" s="101"/>
      <c r="D47" s="102"/>
      <c r="E47" s="102"/>
    </row>
    <row r="48" spans="2:5" x14ac:dyDescent="0.45">
      <c r="B48" s="115" t="s">
        <v>4</v>
      </c>
      <c r="C48" s="95" t="s">
        <v>53</v>
      </c>
      <c r="D48" s="96" t="s">
        <v>235</v>
      </c>
      <c r="E48" s="96"/>
    </row>
    <row r="49" spans="2:5" x14ac:dyDescent="0.45">
      <c r="B49" s="115"/>
      <c r="C49" s="95" t="s">
        <v>91</v>
      </c>
      <c r="D49" s="96" t="s">
        <v>204</v>
      </c>
      <c r="E49" s="96"/>
    </row>
    <row r="50" spans="2:5" x14ac:dyDescent="0.45">
      <c r="B50" s="115"/>
      <c r="C50" s="95" t="s">
        <v>279</v>
      </c>
      <c r="D50" s="96" t="s">
        <v>282</v>
      </c>
      <c r="E50" s="96"/>
    </row>
    <row r="51" spans="2:5" ht="28.5" x14ac:dyDescent="0.45">
      <c r="B51" s="115"/>
      <c r="C51" s="95" t="s">
        <v>138</v>
      </c>
      <c r="D51" s="96" t="s">
        <v>205</v>
      </c>
      <c r="E51" s="96" t="s">
        <v>206</v>
      </c>
    </row>
    <row r="52" spans="2:5" x14ac:dyDescent="0.45">
      <c r="B52" s="115"/>
      <c r="C52" s="95" t="s">
        <v>54</v>
      </c>
      <c r="D52" s="96" t="s">
        <v>222</v>
      </c>
      <c r="E52" s="96"/>
    </row>
    <row r="53" spans="2:5" x14ac:dyDescent="0.45">
      <c r="B53" s="115"/>
      <c r="C53" s="95" t="s">
        <v>55</v>
      </c>
      <c r="D53" s="96" t="s">
        <v>211</v>
      </c>
      <c r="E53" s="96"/>
    </row>
    <row r="54" spans="2:5" ht="28.5" x14ac:dyDescent="0.45">
      <c r="B54" s="115"/>
      <c r="C54" s="95" t="s">
        <v>56</v>
      </c>
      <c r="D54" s="96" t="s">
        <v>212</v>
      </c>
      <c r="E54" s="96" t="s">
        <v>223</v>
      </c>
    </row>
    <row r="55" spans="2:5" x14ac:dyDescent="0.45">
      <c r="B55" s="115"/>
      <c r="C55" s="97" t="s">
        <v>57</v>
      </c>
      <c r="D55" s="96" t="s">
        <v>214</v>
      </c>
      <c r="E55" s="96"/>
    </row>
    <row r="56" spans="2:5" x14ac:dyDescent="0.45">
      <c r="B56" s="115"/>
      <c r="C56" s="95" t="s">
        <v>58</v>
      </c>
      <c r="D56" s="96" t="s">
        <v>215</v>
      </c>
      <c r="E56" s="96" t="s">
        <v>224</v>
      </c>
    </row>
    <row r="57" spans="2:5" x14ac:dyDescent="0.45">
      <c r="B57" s="115"/>
      <c r="C57" s="97" t="s">
        <v>66</v>
      </c>
      <c r="D57" s="98" t="s">
        <v>236</v>
      </c>
      <c r="E57" s="96"/>
    </row>
    <row r="58" spans="2:5" ht="28.5" x14ac:dyDescent="0.45">
      <c r="B58" s="115"/>
      <c r="C58" s="95" t="s">
        <v>86</v>
      </c>
      <c r="D58" s="98" t="s">
        <v>237</v>
      </c>
      <c r="E58" s="96" t="s">
        <v>238</v>
      </c>
    </row>
    <row r="59" spans="2:5" x14ac:dyDescent="0.45">
      <c r="B59" s="115"/>
      <c r="C59" s="95" t="s">
        <v>87</v>
      </c>
      <c r="D59" s="96" t="s">
        <v>239</v>
      </c>
      <c r="E59" s="96"/>
    </row>
    <row r="60" spans="2:5" x14ac:dyDescent="0.45">
      <c r="B60" s="115"/>
      <c r="C60" s="97" t="s">
        <v>240</v>
      </c>
      <c r="D60" s="98" t="s">
        <v>241</v>
      </c>
      <c r="E60" s="96"/>
    </row>
    <row r="61" spans="2:5" x14ac:dyDescent="0.45">
      <c r="B61" s="115"/>
      <c r="C61" s="97" t="s">
        <v>242</v>
      </c>
      <c r="D61" s="98" t="s">
        <v>243</v>
      </c>
      <c r="E61" s="96"/>
    </row>
    <row r="62" spans="2:5" ht="28.5" x14ac:dyDescent="0.45">
      <c r="B62" s="115"/>
      <c r="C62" s="95" t="s">
        <v>88</v>
      </c>
      <c r="D62" s="96" t="s">
        <v>244</v>
      </c>
      <c r="E62" s="96"/>
    </row>
    <row r="63" spans="2:5" x14ac:dyDescent="0.45">
      <c r="B63" s="100"/>
      <c r="C63" s="101"/>
      <c r="D63" s="102"/>
      <c r="E63" s="102"/>
    </row>
    <row r="64" spans="2:5" x14ac:dyDescent="0.45">
      <c r="B64" s="115" t="s">
        <v>245</v>
      </c>
      <c r="C64" s="95" t="s">
        <v>53</v>
      </c>
      <c r="D64" s="96" t="s">
        <v>246</v>
      </c>
      <c r="E64" s="96"/>
    </row>
    <row r="65" spans="2:5" x14ac:dyDescent="0.45">
      <c r="B65" s="115"/>
      <c r="C65" s="95" t="s">
        <v>91</v>
      </c>
      <c r="D65" s="96" t="s">
        <v>204</v>
      </c>
      <c r="E65" s="96"/>
    </row>
    <row r="66" spans="2:5" x14ac:dyDescent="0.45">
      <c r="B66" s="115"/>
      <c r="C66" s="95" t="s">
        <v>279</v>
      </c>
      <c r="D66" s="96" t="s">
        <v>282</v>
      </c>
      <c r="E66" s="96"/>
    </row>
    <row r="67" spans="2:5" ht="28.5" x14ac:dyDescent="0.45">
      <c r="B67" s="115"/>
      <c r="C67" s="95" t="s">
        <v>138</v>
      </c>
      <c r="D67" s="96" t="s">
        <v>205</v>
      </c>
      <c r="E67" s="96" t="s">
        <v>206</v>
      </c>
    </row>
    <row r="68" spans="2:5" ht="42.75" x14ac:dyDescent="0.45">
      <c r="B68" s="115"/>
      <c r="C68" s="95" t="s">
        <v>247</v>
      </c>
      <c r="D68" s="96" t="s">
        <v>248</v>
      </c>
      <c r="E68" s="96" t="s">
        <v>249</v>
      </c>
    </row>
    <row r="69" spans="2:5" ht="28.5" x14ac:dyDescent="0.45">
      <c r="B69" s="115"/>
      <c r="C69" s="95" t="s">
        <v>250</v>
      </c>
      <c r="D69" s="96" t="s">
        <v>251</v>
      </c>
      <c r="E69" s="96" t="s">
        <v>252</v>
      </c>
    </row>
    <row r="70" spans="2:5" x14ac:dyDescent="0.45">
      <c r="B70" s="100"/>
      <c r="C70" s="101"/>
      <c r="D70" s="102"/>
      <c r="E70" s="102"/>
    </row>
    <row r="71" spans="2:5" x14ac:dyDescent="0.45">
      <c r="B71" s="115" t="s">
        <v>89</v>
      </c>
      <c r="C71" s="95" t="s">
        <v>91</v>
      </c>
      <c r="D71" s="96" t="s">
        <v>204</v>
      </c>
      <c r="E71" s="96"/>
    </row>
    <row r="72" spans="2:5" x14ac:dyDescent="0.45">
      <c r="B72" s="115"/>
      <c r="C72" s="95" t="s">
        <v>279</v>
      </c>
      <c r="D72" s="96" t="s">
        <v>282</v>
      </c>
      <c r="E72" s="96"/>
    </row>
    <row r="73" spans="2:5" ht="28.5" x14ac:dyDescent="0.45">
      <c r="B73" s="115"/>
      <c r="C73" s="95" t="s">
        <v>90</v>
      </c>
      <c r="D73" s="96" t="s">
        <v>286</v>
      </c>
      <c r="E73" s="96" t="s">
        <v>253</v>
      </c>
    </row>
    <row r="74" spans="2:5" ht="28.5" x14ac:dyDescent="0.45">
      <c r="B74" s="115"/>
      <c r="C74" s="95" t="s">
        <v>62</v>
      </c>
      <c r="D74" s="98" t="s">
        <v>254</v>
      </c>
      <c r="E74" s="96"/>
    </row>
    <row r="75" spans="2:5" ht="28.5" x14ac:dyDescent="0.45">
      <c r="B75" s="115"/>
      <c r="C75" s="95" t="s">
        <v>101</v>
      </c>
      <c r="D75" s="96" t="s">
        <v>255</v>
      </c>
      <c r="E75" s="96" t="s">
        <v>256</v>
      </c>
    </row>
    <row r="76" spans="2:5" ht="28.5" x14ac:dyDescent="0.45">
      <c r="B76" s="115"/>
      <c r="C76" s="95" t="s">
        <v>102</v>
      </c>
      <c r="D76" s="96" t="s">
        <v>257</v>
      </c>
      <c r="E76" s="96" t="s">
        <v>256</v>
      </c>
    </row>
    <row r="77" spans="2:5" x14ac:dyDescent="0.45">
      <c r="B77" s="115"/>
      <c r="C77" s="95" t="s">
        <v>120</v>
      </c>
      <c r="D77" s="96" t="s">
        <v>258</v>
      </c>
      <c r="E77" s="96" t="s">
        <v>259</v>
      </c>
    </row>
    <row r="78" spans="2:5" x14ac:dyDescent="0.45">
      <c r="B78" s="115"/>
      <c r="C78" s="103" t="s">
        <v>220</v>
      </c>
      <c r="D78" s="98" t="s">
        <v>287</v>
      </c>
      <c r="E78" s="96"/>
    </row>
  </sheetData>
  <mergeCells count="6">
    <mergeCell ref="B71:B78"/>
    <mergeCell ref="B4:B18"/>
    <mergeCell ref="B20:B30"/>
    <mergeCell ref="B32:B46"/>
    <mergeCell ref="B48:B62"/>
    <mergeCell ref="B64:B69"/>
  </mergeCells>
  <pageMargins left="0.7" right="0.7" top="0.75" bottom="0.75" header="0.3" footer="0.3"/>
  <pageSetup paperSize="9" orientation="portrait" horizont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AL572"/>
  <sheetViews>
    <sheetView showGridLines="0" zoomScale="65" zoomScaleNormal="51" workbookViewId="0">
      <pane ySplit="1" topLeftCell="A2" activePane="bottomLeft" state="frozen"/>
      <selection pane="bottomLeft"/>
    </sheetView>
  </sheetViews>
  <sheetFormatPr defaultRowHeight="14.25" x14ac:dyDescent="0.45"/>
  <cols>
    <col min="1" max="1" width="44.59765625" customWidth="1"/>
    <col min="2" max="2" width="63.1328125" customWidth="1"/>
    <col min="3" max="33" width="7.59765625" customWidth="1"/>
    <col min="34" max="34" width="6.1328125" customWidth="1"/>
  </cols>
  <sheetData>
    <row r="1" spans="1:33" ht="15.75" customHeight="1" x14ac:dyDescent="0.45">
      <c r="C1" s="6">
        <v>2021</v>
      </c>
      <c r="D1" s="6">
        <v>2022</v>
      </c>
      <c r="E1" s="6">
        <v>2023</v>
      </c>
      <c r="F1" s="6">
        <v>2024</v>
      </c>
      <c r="G1" s="6">
        <v>2025</v>
      </c>
      <c r="H1" s="6">
        <v>2026</v>
      </c>
      <c r="I1" s="6">
        <v>2027</v>
      </c>
      <c r="J1" s="6">
        <v>2028</v>
      </c>
      <c r="K1" s="6">
        <v>2029</v>
      </c>
      <c r="L1" s="6">
        <v>2030</v>
      </c>
      <c r="M1" s="6">
        <v>2031</v>
      </c>
      <c r="N1" s="6">
        <v>2032</v>
      </c>
      <c r="O1" s="6">
        <v>2033</v>
      </c>
      <c r="P1" s="6">
        <v>2034</v>
      </c>
      <c r="Q1" s="6">
        <v>2035</v>
      </c>
      <c r="R1" s="6">
        <v>2036</v>
      </c>
      <c r="S1" s="6">
        <v>2037</v>
      </c>
      <c r="T1" s="6">
        <v>2038</v>
      </c>
      <c r="U1" s="6">
        <v>2039</v>
      </c>
      <c r="V1" s="6">
        <v>2040</v>
      </c>
      <c r="W1" s="6">
        <v>2041</v>
      </c>
      <c r="X1" s="6">
        <v>2042</v>
      </c>
      <c r="Y1" s="6">
        <v>2043</v>
      </c>
      <c r="Z1" s="6">
        <v>2044</v>
      </c>
      <c r="AA1" s="6">
        <v>2045</v>
      </c>
      <c r="AB1" s="6">
        <v>2046</v>
      </c>
      <c r="AC1" s="6">
        <v>2047</v>
      </c>
      <c r="AD1" s="6">
        <v>2048</v>
      </c>
      <c r="AE1" s="6">
        <v>2049</v>
      </c>
      <c r="AF1" s="6">
        <v>2050</v>
      </c>
      <c r="AG1" s="6">
        <v>2051</v>
      </c>
    </row>
    <row r="4" spans="1:33" ht="18.75" customHeight="1" x14ac:dyDescent="0.55000000000000004">
      <c r="A4" s="5"/>
      <c r="B4" s="5"/>
    </row>
    <row r="5" spans="1:33" ht="18.75" customHeight="1" x14ac:dyDescent="0.55000000000000004">
      <c r="A5" s="15" t="s">
        <v>8</v>
      </c>
      <c r="B5" s="55"/>
    </row>
    <row r="6" spans="1:33" ht="18.75" customHeight="1" x14ac:dyDescent="0.55000000000000004">
      <c r="A6" s="13" t="s">
        <v>69</v>
      </c>
      <c r="B6" s="56" t="s">
        <v>9</v>
      </c>
    </row>
    <row r="7" spans="1:33" ht="18.75" customHeight="1" x14ac:dyDescent="0.55000000000000004">
      <c r="A7" s="13" t="s">
        <v>4</v>
      </c>
      <c r="B7" s="56" t="s">
        <v>10</v>
      </c>
    </row>
    <row r="8" spans="1:33" ht="18.75" customHeight="1" x14ac:dyDescent="0.55000000000000004">
      <c r="A8" s="13" t="s">
        <v>4</v>
      </c>
      <c r="B8" s="56" t="s">
        <v>11</v>
      </c>
    </row>
    <row r="9" spans="1:33" ht="18.75" customHeight="1" x14ac:dyDescent="0.55000000000000004">
      <c r="B9" s="57"/>
    </row>
    <row r="10" spans="1:33" ht="18.75" customHeight="1" x14ac:dyDescent="0.55000000000000004">
      <c r="A10" s="11" t="s">
        <v>12</v>
      </c>
      <c r="B10" s="57"/>
    </row>
    <row r="11" spans="1:33" ht="18.75" customHeight="1" x14ac:dyDescent="0.55000000000000004">
      <c r="A11" s="13" t="s">
        <v>13</v>
      </c>
      <c r="B11" s="58">
        <v>0.27777777777777779</v>
      </c>
    </row>
    <row r="12" spans="1:33" ht="18.75" customHeight="1" x14ac:dyDescent="0.55000000000000004">
      <c r="A12" s="13" t="s">
        <v>95</v>
      </c>
      <c r="B12" s="56">
        <f>0.03154*1000</f>
        <v>31.54</v>
      </c>
    </row>
    <row r="13" spans="1:33" ht="18.75" customHeight="1" x14ac:dyDescent="0.55000000000000004">
      <c r="A13" s="5"/>
      <c r="B13" s="5"/>
    </row>
    <row r="14" spans="1:33" ht="18.75" customHeight="1" x14ac:dyDescent="0.55000000000000004">
      <c r="A14" s="5"/>
      <c r="B14" s="5"/>
    </row>
    <row r="15" spans="1:33" ht="18.75" customHeight="1" x14ac:dyDescent="0.55000000000000004">
      <c r="A15" s="5"/>
      <c r="B15" s="5"/>
    </row>
    <row r="18" spans="1:33" ht="26.25" customHeight="1" x14ac:dyDescent="0.75">
      <c r="A18" s="26" t="s">
        <v>3</v>
      </c>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row>
    <row r="20" spans="1:33" ht="21" customHeight="1" x14ac:dyDescent="0.65">
      <c r="A20" s="9" t="s">
        <v>127</v>
      </c>
      <c r="B20" s="8" t="s">
        <v>100</v>
      </c>
      <c r="C20" s="8"/>
      <c r="D20" s="8"/>
      <c r="E20" s="8"/>
      <c r="F20" s="8"/>
      <c r="G20" s="8"/>
    </row>
    <row r="21" spans="1:33" ht="21" customHeight="1" x14ac:dyDescent="0.45">
      <c r="A21" s="53" t="s">
        <v>196</v>
      </c>
      <c r="B21" s="52" t="s">
        <v>297</v>
      </c>
    </row>
    <row r="22" spans="1:33" ht="15.75" customHeight="1" x14ac:dyDescent="0.45">
      <c r="B22" s="6"/>
      <c r="C22" s="6">
        <v>2021</v>
      </c>
      <c r="D22" s="6">
        <v>2022</v>
      </c>
      <c r="E22" s="6">
        <v>2023</v>
      </c>
      <c r="F22" s="6">
        <v>2024</v>
      </c>
      <c r="G22" s="6">
        <v>2025</v>
      </c>
      <c r="H22" s="6">
        <v>2026</v>
      </c>
      <c r="I22" s="6">
        <v>2027</v>
      </c>
      <c r="J22" s="6">
        <v>2028</v>
      </c>
      <c r="K22" s="6">
        <v>2029</v>
      </c>
      <c r="L22" s="6">
        <v>2030</v>
      </c>
      <c r="M22" s="6">
        <v>2031</v>
      </c>
      <c r="N22" s="6">
        <v>2032</v>
      </c>
      <c r="O22" s="6">
        <v>2033</v>
      </c>
      <c r="P22" s="6">
        <v>2034</v>
      </c>
      <c r="Q22" s="6">
        <v>2035</v>
      </c>
      <c r="R22" s="6">
        <v>2036</v>
      </c>
      <c r="S22" s="6">
        <v>2037</v>
      </c>
      <c r="T22" s="6">
        <v>2038</v>
      </c>
      <c r="U22" s="6">
        <v>2039</v>
      </c>
      <c r="V22" s="6">
        <v>2040</v>
      </c>
      <c r="W22" s="6">
        <v>2041</v>
      </c>
      <c r="X22" s="6">
        <v>2042</v>
      </c>
      <c r="Y22" s="6">
        <v>2043</v>
      </c>
      <c r="Z22" s="6">
        <v>2044</v>
      </c>
      <c r="AA22" s="6">
        <v>2045</v>
      </c>
      <c r="AB22" s="6">
        <v>2046</v>
      </c>
      <c r="AC22" s="6">
        <v>2047</v>
      </c>
      <c r="AD22" s="6">
        <v>2048</v>
      </c>
      <c r="AE22" s="6">
        <v>2049</v>
      </c>
      <c r="AF22" s="6">
        <v>2050</v>
      </c>
      <c r="AG22" s="6">
        <v>2051</v>
      </c>
    </row>
    <row r="23" spans="1:33" ht="15.75" customHeight="1" x14ac:dyDescent="0.45">
      <c r="A23" t="s">
        <v>125</v>
      </c>
      <c r="B23" s="4" t="s">
        <v>14</v>
      </c>
      <c r="C23" s="30">
        <f>IFERROR(C24+C25,"")</f>
        <v>0</v>
      </c>
      <c r="D23" s="30">
        <f t="shared" ref="D23:AG23" si="0">IFERROR(D24+D25,"")</f>
        <v>0</v>
      </c>
      <c r="E23" s="30">
        <f t="shared" si="0"/>
        <v>0</v>
      </c>
      <c r="F23" s="30">
        <f t="shared" si="0"/>
        <v>0</v>
      </c>
      <c r="G23" s="30">
        <f t="shared" si="0"/>
        <v>0</v>
      </c>
      <c r="H23" s="30">
        <f t="shared" si="0"/>
        <v>0</v>
      </c>
      <c r="I23" s="30">
        <f t="shared" si="0"/>
        <v>0</v>
      </c>
      <c r="J23" s="30">
        <f t="shared" si="0"/>
        <v>0</v>
      </c>
      <c r="K23" s="30">
        <f t="shared" si="0"/>
        <v>0</v>
      </c>
      <c r="L23" s="30">
        <f t="shared" si="0"/>
        <v>0</v>
      </c>
      <c r="M23" s="30">
        <f t="shared" si="0"/>
        <v>0</v>
      </c>
      <c r="N23" s="30">
        <f t="shared" si="0"/>
        <v>0</v>
      </c>
      <c r="O23" s="30">
        <f t="shared" si="0"/>
        <v>0</v>
      </c>
      <c r="P23" s="30">
        <f t="shared" si="0"/>
        <v>0</v>
      </c>
      <c r="Q23" s="30">
        <f t="shared" si="0"/>
        <v>0</v>
      </c>
      <c r="R23" s="30">
        <f t="shared" si="0"/>
        <v>0</v>
      </c>
      <c r="S23" s="30">
        <f t="shared" si="0"/>
        <v>0</v>
      </c>
      <c r="T23" s="30">
        <f t="shared" si="0"/>
        <v>0</v>
      </c>
      <c r="U23" s="30">
        <f t="shared" si="0"/>
        <v>0</v>
      </c>
      <c r="V23" s="30">
        <f t="shared" si="0"/>
        <v>0</v>
      </c>
      <c r="W23" s="30">
        <f t="shared" si="0"/>
        <v>0</v>
      </c>
      <c r="X23" s="30">
        <f t="shared" si="0"/>
        <v>0</v>
      </c>
      <c r="Y23" s="30">
        <f t="shared" si="0"/>
        <v>0</v>
      </c>
      <c r="Z23" s="30">
        <f t="shared" si="0"/>
        <v>0</v>
      </c>
      <c r="AA23" s="30">
        <f t="shared" si="0"/>
        <v>0</v>
      </c>
      <c r="AB23" s="30">
        <f t="shared" si="0"/>
        <v>0</v>
      </c>
      <c r="AC23" s="30">
        <f t="shared" si="0"/>
        <v>0</v>
      </c>
      <c r="AD23" s="30">
        <f t="shared" si="0"/>
        <v>0</v>
      </c>
      <c r="AE23" s="30">
        <f t="shared" si="0"/>
        <v>0</v>
      </c>
      <c r="AF23" s="30">
        <f t="shared" si="0"/>
        <v>0</v>
      </c>
      <c r="AG23" s="30">
        <f t="shared" si="0"/>
        <v>0</v>
      </c>
    </row>
    <row r="24" spans="1:33" x14ac:dyDescent="0.45">
      <c r="B24" s="24" t="s">
        <v>15</v>
      </c>
      <c r="C24" s="28">
        <f>IFERROR(SUMIFS(Emissions[2021],Emissions[[CO2_NonCO2]:[CO2_NonCO2]],$B24,Emissions[[Sector_group]:[Sector_group]],$B$23, Emissions[[Emissions_category]:[Emissions_category]],$B$21)/1000,"")</f>
        <v>0</v>
      </c>
      <c r="D24" s="28">
        <f>IFERROR(SUMIFS(Emissions[2022],Emissions[[CO2_NonCO2]:[CO2_NonCO2]],$B24,Emissions[[Sector_group]:[Sector_group]],$B$23, Emissions[[Emissions_category]:[Emissions_category]],$B$21)/1000,"")</f>
        <v>0</v>
      </c>
      <c r="E24" s="28">
        <f>IFERROR(SUMIFS(Emissions[2023],Emissions[[CO2_NonCO2]:[CO2_NonCO2]],$B24,Emissions[[Sector_group]:[Sector_group]],$B$23, Emissions[[Emissions_category]:[Emissions_category]],$B$21)/1000,"")</f>
        <v>0</v>
      </c>
      <c r="F24" s="28">
        <f>IFERROR(SUMIFS(Emissions[2024],Emissions[[CO2_NonCO2]:[CO2_NonCO2]],$B24,Emissions[[Sector_group]:[Sector_group]],$B$23, Emissions[[Emissions_category]:[Emissions_category]],$B$21)/1000,"")</f>
        <v>0</v>
      </c>
      <c r="G24" s="28">
        <f>IFERROR(SUMIFS(Emissions[2025],Emissions[[CO2_NonCO2]:[CO2_NonCO2]],$B24,Emissions[[Sector_group]:[Sector_group]],$B$23, Emissions[[Emissions_category]:[Emissions_category]],$B$21)/1000,"")</f>
        <v>0</v>
      </c>
      <c r="H24" s="28">
        <f>IFERROR(SUMIFS(Emissions[2026],Emissions[[CO2_NonCO2]:[CO2_NonCO2]],$B24,Emissions[[Sector_group]:[Sector_group]],$B$23, Emissions[[Emissions_category]:[Emissions_category]],$B$21)/1000,"")</f>
        <v>0</v>
      </c>
      <c r="I24" s="28">
        <f>IFERROR(SUMIFS(Emissions[2027],Emissions[[CO2_NonCO2]:[CO2_NonCO2]],$B24,Emissions[[Sector_group]:[Sector_group]],$B$23, Emissions[[Emissions_category]:[Emissions_category]],$B$21)/1000,"")</f>
        <v>0</v>
      </c>
      <c r="J24" s="28">
        <f>IFERROR(SUMIFS(Emissions[2028],Emissions[[CO2_NonCO2]:[CO2_NonCO2]],$B24,Emissions[[Sector_group]:[Sector_group]],$B$23, Emissions[[Emissions_category]:[Emissions_category]],$B$21)/1000,"")</f>
        <v>0</v>
      </c>
      <c r="K24" s="28">
        <f>IFERROR(SUMIFS(Emissions[2029],Emissions[[CO2_NonCO2]:[CO2_NonCO2]],$B24,Emissions[[Sector_group]:[Sector_group]],$B$23, Emissions[[Emissions_category]:[Emissions_category]],$B$21)/1000,"")</f>
        <v>0</v>
      </c>
      <c r="L24" s="28">
        <f>IFERROR(SUMIFS(Emissions[2030],Emissions[[CO2_NonCO2]:[CO2_NonCO2]],$B24,Emissions[[Sector_group]:[Sector_group]],$B$23, Emissions[[Emissions_category]:[Emissions_category]],$B$21)/1000,"")</f>
        <v>0</v>
      </c>
      <c r="M24" s="28">
        <f>IFERROR(SUMIFS(Emissions[2031],Emissions[[CO2_NonCO2]:[CO2_NonCO2]],$B24,Emissions[[Sector_group]:[Sector_group]],$B$23, Emissions[[Emissions_category]:[Emissions_category]],$B$21)/1000,"")</f>
        <v>0</v>
      </c>
      <c r="N24" s="28">
        <f>IFERROR(SUMIFS(Emissions[2032],Emissions[[CO2_NonCO2]:[CO2_NonCO2]],$B24,Emissions[[Sector_group]:[Sector_group]],$B$23, Emissions[[Emissions_category]:[Emissions_category]],$B$21)/1000,"")</f>
        <v>0</v>
      </c>
      <c r="O24" s="28">
        <f>IFERROR(SUMIFS(Emissions[2033],Emissions[[CO2_NonCO2]:[CO2_NonCO2]],$B24,Emissions[[Sector_group]:[Sector_group]],$B$23, Emissions[[Emissions_category]:[Emissions_category]],$B$21)/1000,"")</f>
        <v>0</v>
      </c>
      <c r="P24" s="28">
        <f>IFERROR(SUMIFS(Emissions[2034],Emissions[[CO2_NonCO2]:[CO2_NonCO2]],$B24,Emissions[[Sector_group]:[Sector_group]],$B$23, Emissions[[Emissions_category]:[Emissions_category]],$B$21)/1000,"")</f>
        <v>0</v>
      </c>
      <c r="Q24" s="28">
        <f>IFERROR(SUMIFS(Emissions[2035],Emissions[[CO2_NonCO2]:[CO2_NonCO2]],$B24,Emissions[[Sector_group]:[Sector_group]],$B$23, Emissions[[Emissions_category]:[Emissions_category]],$B$21)/1000,"")</f>
        <v>0</v>
      </c>
      <c r="R24" s="28">
        <f>IFERROR(SUMIFS(Emissions[2036],Emissions[[CO2_NonCO2]:[CO2_NonCO2]],$B24,Emissions[[Sector_group]:[Sector_group]],$B$23, Emissions[[Emissions_category]:[Emissions_category]],$B$21)/1000,"")</f>
        <v>0</v>
      </c>
      <c r="S24" s="28">
        <f>IFERROR(SUMIFS(Emissions[2037],Emissions[[CO2_NonCO2]:[CO2_NonCO2]],$B24,Emissions[[Sector_group]:[Sector_group]],$B$23, Emissions[[Emissions_category]:[Emissions_category]],$B$21)/1000,"")</f>
        <v>0</v>
      </c>
      <c r="T24" s="28">
        <f>IFERROR(SUMIFS(Emissions[2038],Emissions[[CO2_NonCO2]:[CO2_NonCO2]],$B24,Emissions[[Sector_group]:[Sector_group]],$B$23, Emissions[[Emissions_category]:[Emissions_category]],$B$21)/1000,"")</f>
        <v>0</v>
      </c>
      <c r="U24" s="28">
        <f>IFERROR(SUMIFS(Emissions[2039],Emissions[[CO2_NonCO2]:[CO2_NonCO2]],$B24,Emissions[[Sector_group]:[Sector_group]],$B$23, Emissions[[Emissions_category]:[Emissions_category]],$B$21)/1000,"")</f>
        <v>0</v>
      </c>
      <c r="V24" s="28">
        <f>IFERROR(SUMIFS(Emissions[2040],Emissions[[CO2_NonCO2]:[CO2_NonCO2]],$B24,Emissions[[Sector_group]:[Sector_group]],$B$23, Emissions[[Emissions_category]:[Emissions_category]],$B$21)/1000,"")</f>
        <v>0</v>
      </c>
      <c r="W24" s="28">
        <f>IFERROR(SUMIFS(Emissions[2041],Emissions[[CO2_NonCO2]:[CO2_NonCO2]],$B24,Emissions[[Sector_group]:[Sector_group]],$B$23, Emissions[[Emissions_category]:[Emissions_category]],$B$21)/1000,"")</f>
        <v>0</v>
      </c>
      <c r="X24" s="28">
        <f>IFERROR(SUMIFS(Emissions[2042],Emissions[[CO2_NonCO2]:[CO2_NonCO2]],$B24,Emissions[[Sector_group]:[Sector_group]],$B$23, Emissions[[Emissions_category]:[Emissions_category]],$B$21)/1000,"")</f>
        <v>0</v>
      </c>
      <c r="Y24" s="28">
        <f>IFERROR(SUMIFS(Emissions[2043],Emissions[[CO2_NonCO2]:[CO2_NonCO2]],$B24,Emissions[[Sector_group]:[Sector_group]],$B$23, Emissions[[Emissions_category]:[Emissions_category]],$B$21)/1000,"")</f>
        <v>0</v>
      </c>
      <c r="Z24" s="28">
        <f>IFERROR(SUMIFS(Emissions[2044],Emissions[[CO2_NonCO2]:[CO2_NonCO2]],$B24,Emissions[[Sector_group]:[Sector_group]],$B$23, Emissions[[Emissions_category]:[Emissions_category]],$B$21)/1000,"")</f>
        <v>0</v>
      </c>
      <c r="AA24" s="28">
        <f>IFERROR(SUMIFS(Emissions[2045],Emissions[[CO2_NonCO2]:[CO2_NonCO2]],$B24,Emissions[[Sector_group]:[Sector_group]],$B$23, Emissions[[Emissions_category]:[Emissions_category]],$B$21)/1000,"")</f>
        <v>0</v>
      </c>
      <c r="AB24" s="28">
        <f>IFERROR(SUMIFS(Emissions[2046],Emissions[[CO2_NonCO2]:[CO2_NonCO2]],$B24,Emissions[[Sector_group]:[Sector_group]],$B$23, Emissions[[Emissions_category]:[Emissions_category]],$B$21)/1000,"")</f>
        <v>0</v>
      </c>
      <c r="AC24" s="28">
        <f>IFERROR(SUMIFS(Emissions[2047],Emissions[[CO2_NonCO2]:[CO2_NonCO2]],$B24,Emissions[[Sector_group]:[Sector_group]],$B$23, Emissions[[Emissions_category]:[Emissions_category]],$B$21)/1000,"")</f>
        <v>0</v>
      </c>
      <c r="AD24" s="28">
        <f>IFERROR(SUMIFS(Emissions[2048],Emissions[[CO2_NonCO2]:[CO2_NonCO2]],$B24,Emissions[[Sector_group]:[Sector_group]],$B$23, Emissions[[Emissions_category]:[Emissions_category]],$B$21)/1000,"")</f>
        <v>0</v>
      </c>
      <c r="AE24" s="28">
        <f>IFERROR(SUMIFS(Emissions[2049],Emissions[[CO2_NonCO2]:[CO2_NonCO2]],$B24,Emissions[[Sector_group]:[Sector_group]],$B$23, Emissions[[Emissions_category]:[Emissions_category]],$B$21)/1000,"")</f>
        <v>0</v>
      </c>
      <c r="AF24" s="28">
        <f>IFERROR(SUMIFS(Emissions[2050],Emissions[[CO2_NonCO2]:[CO2_NonCO2]],$B24,Emissions[[Sector_group]:[Sector_group]],$B$23, Emissions[[Emissions_category]:[Emissions_category]],$B$21)/1000,"")</f>
        <v>0</v>
      </c>
      <c r="AG24" s="28">
        <f>IFERROR(SUMIFS(Emissions[2051],Emissions[[CO2_NonCO2]:[CO2_NonCO2]],$B24,Emissions[[Sector_group]:[Sector_group]],$B$23, Emissions[[Emissions_category]:[Emissions_category]],$B$21)/1000,"")</f>
        <v>0</v>
      </c>
    </row>
    <row r="25" spans="1:33" x14ac:dyDescent="0.45">
      <c r="B25" s="12" t="s">
        <v>64</v>
      </c>
      <c r="C25" s="28">
        <f>IFERROR(SUMIFS(Emissions[2021],Emissions[[CO2_NonCO2]:[CO2_NonCO2]],$B25,Emissions[[Sector_group]:[Sector_group]],$B$23, Emissions[[Emissions_category]:[Emissions_category]],$B$21)/1000,"")</f>
        <v>0</v>
      </c>
      <c r="D25" s="28">
        <f>IFERROR(SUMIFS(Emissions[2022],Emissions[[CO2_NonCO2]:[CO2_NonCO2]],$B25,Emissions[[Sector_group]:[Sector_group]],$B$23, Emissions[[Emissions_category]:[Emissions_category]],$B$21)/1000,"")</f>
        <v>0</v>
      </c>
      <c r="E25" s="28">
        <f>IFERROR(SUMIFS(Emissions[2023],Emissions[[CO2_NonCO2]:[CO2_NonCO2]],$B25,Emissions[[Sector_group]:[Sector_group]],$B$23, Emissions[[Emissions_category]:[Emissions_category]],$B$21)/1000,"")</f>
        <v>0</v>
      </c>
      <c r="F25" s="28">
        <f>IFERROR(SUMIFS(Emissions[2024],Emissions[[CO2_NonCO2]:[CO2_NonCO2]],$B25,Emissions[[Sector_group]:[Sector_group]],$B$23, Emissions[[Emissions_category]:[Emissions_category]],$B$21)/1000,"")</f>
        <v>0</v>
      </c>
      <c r="G25" s="28">
        <f>IFERROR(SUMIFS(Emissions[2025],Emissions[[CO2_NonCO2]:[CO2_NonCO2]],$B25,Emissions[[Sector_group]:[Sector_group]],$B$23, Emissions[[Emissions_category]:[Emissions_category]],$B$21)/1000,"")</f>
        <v>0</v>
      </c>
      <c r="H25" s="28">
        <f>IFERROR(SUMIFS(Emissions[2026],Emissions[[CO2_NonCO2]:[CO2_NonCO2]],$B25,Emissions[[Sector_group]:[Sector_group]],$B$23, Emissions[[Emissions_category]:[Emissions_category]],$B$21)/1000,"")</f>
        <v>0</v>
      </c>
      <c r="I25" s="28">
        <f>IFERROR(SUMIFS(Emissions[2027],Emissions[[CO2_NonCO2]:[CO2_NonCO2]],$B25,Emissions[[Sector_group]:[Sector_group]],$B$23, Emissions[[Emissions_category]:[Emissions_category]],$B$21)/1000,"")</f>
        <v>0</v>
      </c>
      <c r="J25" s="28">
        <f>IFERROR(SUMIFS(Emissions[2028],Emissions[[CO2_NonCO2]:[CO2_NonCO2]],$B25,Emissions[[Sector_group]:[Sector_group]],$B$23, Emissions[[Emissions_category]:[Emissions_category]],$B$21)/1000,"")</f>
        <v>0</v>
      </c>
      <c r="K25" s="28">
        <f>IFERROR(SUMIFS(Emissions[2029],Emissions[[CO2_NonCO2]:[CO2_NonCO2]],$B25,Emissions[[Sector_group]:[Sector_group]],$B$23, Emissions[[Emissions_category]:[Emissions_category]],$B$21)/1000,"")</f>
        <v>0</v>
      </c>
      <c r="L25" s="28">
        <f>IFERROR(SUMIFS(Emissions[2030],Emissions[[CO2_NonCO2]:[CO2_NonCO2]],$B25,Emissions[[Sector_group]:[Sector_group]],$B$23, Emissions[[Emissions_category]:[Emissions_category]],$B$21)/1000,"")</f>
        <v>0</v>
      </c>
      <c r="M25" s="28">
        <f>IFERROR(SUMIFS(Emissions[2031],Emissions[[CO2_NonCO2]:[CO2_NonCO2]],$B25,Emissions[[Sector_group]:[Sector_group]],$B$23, Emissions[[Emissions_category]:[Emissions_category]],$B$21)/1000,"")</f>
        <v>0</v>
      </c>
      <c r="N25" s="28">
        <f>IFERROR(SUMIFS(Emissions[2032],Emissions[[CO2_NonCO2]:[CO2_NonCO2]],$B25,Emissions[[Sector_group]:[Sector_group]],$B$23, Emissions[[Emissions_category]:[Emissions_category]],$B$21)/1000,"")</f>
        <v>0</v>
      </c>
      <c r="O25" s="28">
        <f>IFERROR(SUMIFS(Emissions[2033],Emissions[[CO2_NonCO2]:[CO2_NonCO2]],$B25,Emissions[[Sector_group]:[Sector_group]],$B$23, Emissions[[Emissions_category]:[Emissions_category]],$B$21)/1000,"")</f>
        <v>0</v>
      </c>
      <c r="P25" s="28">
        <f>IFERROR(SUMIFS(Emissions[2034],Emissions[[CO2_NonCO2]:[CO2_NonCO2]],$B25,Emissions[[Sector_group]:[Sector_group]],$B$23, Emissions[[Emissions_category]:[Emissions_category]],$B$21)/1000,"")</f>
        <v>0</v>
      </c>
      <c r="Q25" s="28">
        <f>IFERROR(SUMIFS(Emissions[2035],Emissions[[CO2_NonCO2]:[CO2_NonCO2]],$B25,Emissions[[Sector_group]:[Sector_group]],$B$23, Emissions[[Emissions_category]:[Emissions_category]],$B$21)/1000,"")</f>
        <v>0</v>
      </c>
      <c r="R25" s="28">
        <f>IFERROR(SUMIFS(Emissions[2036],Emissions[[CO2_NonCO2]:[CO2_NonCO2]],$B25,Emissions[[Sector_group]:[Sector_group]],$B$23, Emissions[[Emissions_category]:[Emissions_category]],$B$21)/1000,"")</f>
        <v>0</v>
      </c>
      <c r="S25" s="28">
        <f>IFERROR(SUMIFS(Emissions[2037],Emissions[[CO2_NonCO2]:[CO2_NonCO2]],$B25,Emissions[[Sector_group]:[Sector_group]],$B$23, Emissions[[Emissions_category]:[Emissions_category]],$B$21)/1000,"")</f>
        <v>0</v>
      </c>
      <c r="T25" s="28">
        <f>IFERROR(SUMIFS(Emissions[2038],Emissions[[CO2_NonCO2]:[CO2_NonCO2]],$B25,Emissions[[Sector_group]:[Sector_group]],$B$23, Emissions[[Emissions_category]:[Emissions_category]],$B$21)/1000,"")</f>
        <v>0</v>
      </c>
      <c r="U25" s="28">
        <f>IFERROR(SUMIFS(Emissions[2039],Emissions[[CO2_NonCO2]:[CO2_NonCO2]],$B25,Emissions[[Sector_group]:[Sector_group]],$B$23, Emissions[[Emissions_category]:[Emissions_category]],$B$21)/1000,"")</f>
        <v>0</v>
      </c>
      <c r="V25" s="28">
        <f>IFERROR(SUMIFS(Emissions[2040],Emissions[[CO2_NonCO2]:[CO2_NonCO2]],$B25,Emissions[[Sector_group]:[Sector_group]],$B$23, Emissions[[Emissions_category]:[Emissions_category]],$B$21)/1000,"")</f>
        <v>0</v>
      </c>
      <c r="W25" s="28">
        <f>IFERROR(SUMIFS(Emissions[2041],Emissions[[CO2_NonCO2]:[CO2_NonCO2]],$B25,Emissions[[Sector_group]:[Sector_group]],$B$23, Emissions[[Emissions_category]:[Emissions_category]],$B$21)/1000,"")</f>
        <v>0</v>
      </c>
      <c r="X25" s="28">
        <f>IFERROR(SUMIFS(Emissions[2042],Emissions[[CO2_NonCO2]:[CO2_NonCO2]],$B25,Emissions[[Sector_group]:[Sector_group]],$B$23, Emissions[[Emissions_category]:[Emissions_category]],$B$21)/1000,"")</f>
        <v>0</v>
      </c>
      <c r="Y25" s="28">
        <f>IFERROR(SUMIFS(Emissions[2043],Emissions[[CO2_NonCO2]:[CO2_NonCO2]],$B25,Emissions[[Sector_group]:[Sector_group]],$B$23, Emissions[[Emissions_category]:[Emissions_category]],$B$21)/1000,"")</f>
        <v>0</v>
      </c>
      <c r="Z25" s="28">
        <f>IFERROR(SUMIFS(Emissions[2044],Emissions[[CO2_NonCO2]:[CO2_NonCO2]],$B25,Emissions[[Sector_group]:[Sector_group]],$B$23, Emissions[[Emissions_category]:[Emissions_category]],$B$21)/1000,"")</f>
        <v>0</v>
      </c>
      <c r="AA25" s="28">
        <f>IFERROR(SUMIFS(Emissions[2045],Emissions[[CO2_NonCO2]:[CO2_NonCO2]],$B25,Emissions[[Sector_group]:[Sector_group]],$B$23, Emissions[[Emissions_category]:[Emissions_category]],$B$21)/1000,"")</f>
        <v>0</v>
      </c>
      <c r="AB25" s="28">
        <f>IFERROR(SUMIFS(Emissions[2046],Emissions[[CO2_NonCO2]:[CO2_NonCO2]],$B25,Emissions[[Sector_group]:[Sector_group]],$B$23, Emissions[[Emissions_category]:[Emissions_category]],$B$21)/1000,"")</f>
        <v>0</v>
      </c>
      <c r="AC25" s="28">
        <f>IFERROR(SUMIFS(Emissions[2047],Emissions[[CO2_NonCO2]:[CO2_NonCO2]],$B25,Emissions[[Sector_group]:[Sector_group]],$B$23, Emissions[[Emissions_category]:[Emissions_category]],$B$21)/1000,"")</f>
        <v>0</v>
      </c>
      <c r="AD25" s="28">
        <f>IFERROR(SUMIFS(Emissions[2048],Emissions[[CO2_NonCO2]:[CO2_NonCO2]],$B25,Emissions[[Sector_group]:[Sector_group]],$B$23, Emissions[[Emissions_category]:[Emissions_category]],$B$21)/1000,"")</f>
        <v>0</v>
      </c>
      <c r="AE25" s="28">
        <f>IFERROR(SUMIFS(Emissions[2049],Emissions[[CO2_NonCO2]:[CO2_NonCO2]],$B25,Emissions[[Sector_group]:[Sector_group]],$B$23, Emissions[[Emissions_category]:[Emissions_category]],$B$21)/1000,"")</f>
        <v>0</v>
      </c>
      <c r="AF25" s="28">
        <f>IFERROR(SUMIFS(Emissions[2050],Emissions[[CO2_NonCO2]:[CO2_NonCO2]],$B25,Emissions[[Sector_group]:[Sector_group]],$B$23, Emissions[[Emissions_category]:[Emissions_category]],$B$21)/1000,"")</f>
        <v>0</v>
      </c>
      <c r="AG25" s="28">
        <f>IFERROR(SUMIFS(Emissions[2051],Emissions[[CO2_NonCO2]:[CO2_NonCO2]],$B25,Emissions[[Sector_group]:[Sector_group]],$B$23, Emissions[[Emissions_category]:[Emissions_category]],$B$21)/1000,"")</f>
        <v>0</v>
      </c>
    </row>
    <row r="26" spans="1:33" x14ac:dyDescent="0.45">
      <c r="B26" s="4" t="s">
        <v>16</v>
      </c>
      <c r="C26" s="30">
        <f>IFERROR(C27+C28,"")</f>
        <v>0</v>
      </c>
      <c r="D26" s="30">
        <f t="shared" ref="D26:AG26" si="1">IFERROR(D27+D28,"")</f>
        <v>0</v>
      </c>
      <c r="E26" s="30">
        <f t="shared" si="1"/>
        <v>0</v>
      </c>
      <c r="F26" s="30">
        <f t="shared" si="1"/>
        <v>0</v>
      </c>
      <c r="G26" s="30">
        <f t="shared" si="1"/>
        <v>0</v>
      </c>
      <c r="H26" s="30">
        <f t="shared" si="1"/>
        <v>0</v>
      </c>
      <c r="I26" s="30">
        <f t="shared" si="1"/>
        <v>0</v>
      </c>
      <c r="J26" s="30">
        <f t="shared" si="1"/>
        <v>0</v>
      </c>
      <c r="K26" s="30">
        <f t="shared" si="1"/>
        <v>0</v>
      </c>
      <c r="L26" s="30">
        <f t="shared" si="1"/>
        <v>0</v>
      </c>
      <c r="M26" s="30">
        <f t="shared" si="1"/>
        <v>0</v>
      </c>
      <c r="N26" s="30">
        <f t="shared" si="1"/>
        <v>0</v>
      </c>
      <c r="O26" s="30">
        <f t="shared" si="1"/>
        <v>0</v>
      </c>
      <c r="P26" s="30">
        <f t="shared" si="1"/>
        <v>0</v>
      </c>
      <c r="Q26" s="30">
        <f t="shared" si="1"/>
        <v>0</v>
      </c>
      <c r="R26" s="30">
        <f t="shared" si="1"/>
        <v>0</v>
      </c>
      <c r="S26" s="30">
        <f t="shared" si="1"/>
        <v>0</v>
      </c>
      <c r="T26" s="30">
        <f t="shared" si="1"/>
        <v>0</v>
      </c>
      <c r="U26" s="30">
        <f t="shared" si="1"/>
        <v>0</v>
      </c>
      <c r="V26" s="30">
        <f t="shared" si="1"/>
        <v>0</v>
      </c>
      <c r="W26" s="30">
        <f t="shared" si="1"/>
        <v>0</v>
      </c>
      <c r="X26" s="30">
        <f t="shared" si="1"/>
        <v>0</v>
      </c>
      <c r="Y26" s="30">
        <f t="shared" si="1"/>
        <v>0</v>
      </c>
      <c r="Z26" s="30">
        <f t="shared" si="1"/>
        <v>0</v>
      </c>
      <c r="AA26" s="30">
        <f t="shared" si="1"/>
        <v>0</v>
      </c>
      <c r="AB26" s="30">
        <f t="shared" si="1"/>
        <v>0</v>
      </c>
      <c r="AC26" s="30">
        <f t="shared" si="1"/>
        <v>0</v>
      </c>
      <c r="AD26" s="30">
        <f t="shared" si="1"/>
        <v>0</v>
      </c>
      <c r="AE26" s="30">
        <f t="shared" si="1"/>
        <v>0</v>
      </c>
      <c r="AF26" s="30">
        <f t="shared" si="1"/>
        <v>0</v>
      </c>
      <c r="AG26" s="30">
        <f t="shared" si="1"/>
        <v>0</v>
      </c>
    </row>
    <row r="27" spans="1:33" x14ac:dyDescent="0.45">
      <c r="B27" s="12" t="s">
        <v>15</v>
      </c>
      <c r="C27" s="28">
        <f>IFERROR(SUMIFS(Emissions[2021],Emissions[[CO2_NonCO2]:[CO2_NonCO2]],$B27,Emissions[[Sector_group]:[Sector_group]],$B$23, Emissions[[Emissions_category]:[Emissions_category]],$B$21)/1000,"")</f>
        <v>0</v>
      </c>
      <c r="D27" s="28">
        <f>IFERROR(SUMIFS(Emissions[2022],Emissions[[CO2_NonCO2]:[CO2_NonCO2]],$B27,Emissions[[Sector_group]:[Sector_group]],$B$23, Emissions[[Emissions_category]:[Emissions_category]],$B$21)/1000,"")</f>
        <v>0</v>
      </c>
      <c r="E27" s="28">
        <f>IFERROR(SUMIFS(Emissions[2023],Emissions[[CO2_NonCO2]:[CO2_NonCO2]],$B27,Emissions[[Sector_group]:[Sector_group]],$B$23, Emissions[[Emissions_category]:[Emissions_category]],$B$21)/1000,"")</f>
        <v>0</v>
      </c>
      <c r="F27" s="28">
        <f>IFERROR(SUMIFS(Emissions[2024],Emissions[[CO2_NonCO2]:[CO2_NonCO2]],$B27,Emissions[[Sector_group]:[Sector_group]],$B$23, Emissions[[Emissions_category]:[Emissions_category]],$B$21)/1000,"")</f>
        <v>0</v>
      </c>
      <c r="G27" s="28">
        <f>IFERROR(SUMIFS(Emissions[2025],Emissions[[CO2_NonCO2]:[CO2_NonCO2]],$B27,Emissions[[Sector_group]:[Sector_group]],$B$23, Emissions[[Emissions_category]:[Emissions_category]],$B$21)/1000,"")</f>
        <v>0</v>
      </c>
      <c r="H27" s="28">
        <f>IFERROR(SUMIFS(Emissions[2026],Emissions[[CO2_NonCO2]:[CO2_NonCO2]],$B27,Emissions[[Sector_group]:[Sector_group]],$B$23, Emissions[[Emissions_category]:[Emissions_category]],$B$21)/1000,"")</f>
        <v>0</v>
      </c>
      <c r="I27" s="28">
        <f>IFERROR(SUMIFS(Emissions[2027],Emissions[[CO2_NonCO2]:[CO2_NonCO2]],$B27,Emissions[[Sector_group]:[Sector_group]],$B$23, Emissions[[Emissions_category]:[Emissions_category]],$B$21)/1000,"")</f>
        <v>0</v>
      </c>
      <c r="J27" s="28">
        <f>IFERROR(SUMIFS(Emissions[2028],Emissions[[CO2_NonCO2]:[CO2_NonCO2]],$B27,Emissions[[Sector_group]:[Sector_group]],$B$23, Emissions[[Emissions_category]:[Emissions_category]],$B$21)/1000,"")</f>
        <v>0</v>
      </c>
      <c r="K27" s="28">
        <f>IFERROR(SUMIFS(Emissions[2029],Emissions[[CO2_NonCO2]:[CO2_NonCO2]],$B27,Emissions[[Sector_group]:[Sector_group]],$B$23, Emissions[[Emissions_category]:[Emissions_category]],$B$21)/1000,"")</f>
        <v>0</v>
      </c>
      <c r="L27" s="28">
        <f>IFERROR(SUMIFS(Emissions[2030],Emissions[[CO2_NonCO2]:[CO2_NonCO2]],$B27,Emissions[[Sector_group]:[Sector_group]],$B$23, Emissions[[Emissions_category]:[Emissions_category]],$B$21)/1000,"")</f>
        <v>0</v>
      </c>
      <c r="M27" s="28">
        <f>IFERROR(SUMIFS(Emissions[2031],Emissions[[CO2_NonCO2]:[CO2_NonCO2]],$B27,Emissions[[Sector_group]:[Sector_group]],$B$23, Emissions[[Emissions_category]:[Emissions_category]],$B$21)/1000,"")</f>
        <v>0</v>
      </c>
      <c r="N27" s="28">
        <f>IFERROR(SUMIFS(Emissions[2032],Emissions[[CO2_NonCO2]:[CO2_NonCO2]],$B27,Emissions[[Sector_group]:[Sector_group]],$B$23, Emissions[[Emissions_category]:[Emissions_category]],$B$21)/1000,"")</f>
        <v>0</v>
      </c>
      <c r="O27" s="28">
        <f>IFERROR(SUMIFS(Emissions[2033],Emissions[[CO2_NonCO2]:[CO2_NonCO2]],$B27,Emissions[[Sector_group]:[Sector_group]],$B$23, Emissions[[Emissions_category]:[Emissions_category]],$B$21)/1000,"")</f>
        <v>0</v>
      </c>
      <c r="P27" s="28">
        <f>IFERROR(SUMIFS(Emissions[2034],Emissions[[CO2_NonCO2]:[CO2_NonCO2]],$B27,Emissions[[Sector_group]:[Sector_group]],$B$23, Emissions[[Emissions_category]:[Emissions_category]],$B$21)/1000,"")</f>
        <v>0</v>
      </c>
      <c r="Q27" s="28">
        <f>IFERROR(SUMIFS(Emissions[2035],Emissions[[CO2_NonCO2]:[CO2_NonCO2]],$B27,Emissions[[Sector_group]:[Sector_group]],$B$23, Emissions[[Emissions_category]:[Emissions_category]],$B$21)/1000,"")</f>
        <v>0</v>
      </c>
      <c r="R27" s="28">
        <f>IFERROR(SUMIFS(Emissions[2036],Emissions[[CO2_NonCO2]:[CO2_NonCO2]],$B27,Emissions[[Sector_group]:[Sector_group]],$B$23, Emissions[[Emissions_category]:[Emissions_category]],$B$21)/1000,"")</f>
        <v>0</v>
      </c>
      <c r="S27" s="28">
        <f>IFERROR(SUMIFS(Emissions[2037],Emissions[[CO2_NonCO2]:[CO2_NonCO2]],$B27,Emissions[[Sector_group]:[Sector_group]],$B$23, Emissions[[Emissions_category]:[Emissions_category]],$B$21)/1000,"")</f>
        <v>0</v>
      </c>
      <c r="T27" s="28">
        <f>IFERROR(SUMIFS(Emissions[2038],Emissions[[CO2_NonCO2]:[CO2_NonCO2]],$B27,Emissions[[Sector_group]:[Sector_group]],$B$23, Emissions[[Emissions_category]:[Emissions_category]],$B$21)/1000,"")</f>
        <v>0</v>
      </c>
      <c r="U27" s="28">
        <f>IFERROR(SUMIFS(Emissions[2039],Emissions[[CO2_NonCO2]:[CO2_NonCO2]],$B27,Emissions[[Sector_group]:[Sector_group]],$B$23, Emissions[[Emissions_category]:[Emissions_category]],$B$21)/1000,"")</f>
        <v>0</v>
      </c>
      <c r="V27" s="28">
        <f>IFERROR(SUMIFS(Emissions[2040],Emissions[[CO2_NonCO2]:[CO2_NonCO2]],$B27,Emissions[[Sector_group]:[Sector_group]],$B$23, Emissions[[Emissions_category]:[Emissions_category]],$B$21)/1000,"")</f>
        <v>0</v>
      </c>
      <c r="W27" s="28">
        <f>IFERROR(SUMIFS(Emissions[2041],Emissions[[CO2_NonCO2]:[CO2_NonCO2]],$B27,Emissions[[Sector_group]:[Sector_group]],$B$23, Emissions[[Emissions_category]:[Emissions_category]],$B$21)/1000,"")</f>
        <v>0</v>
      </c>
      <c r="X27" s="28">
        <f>IFERROR(SUMIFS(Emissions[2042],Emissions[[CO2_NonCO2]:[CO2_NonCO2]],$B27,Emissions[[Sector_group]:[Sector_group]],$B$23, Emissions[[Emissions_category]:[Emissions_category]],$B$21)/1000,"")</f>
        <v>0</v>
      </c>
      <c r="Y27" s="28">
        <f>IFERROR(SUMIFS(Emissions[2043],Emissions[[CO2_NonCO2]:[CO2_NonCO2]],$B27,Emissions[[Sector_group]:[Sector_group]],$B$23, Emissions[[Emissions_category]:[Emissions_category]],$B$21)/1000,"")</f>
        <v>0</v>
      </c>
      <c r="Z27" s="28">
        <f>IFERROR(SUMIFS(Emissions[2044],Emissions[[CO2_NonCO2]:[CO2_NonCO2]],$B27,Emissions[[Sector_group]:[Sector_group]],$B$23, Emissions[[Emissions_category]:[Emissions_category]],$B$21)/1000,"")</f>
        <v>0</v>
      </c>
      <c r="AA27" s="28">
        <f>IFERROR(SUMIFS(Emissions[2045],Emissions[[CO2_NonCO2]:[CO2_NonCO2]],$B27,Emissions[[Sector_group]:[Sector_group]],$B$23, Emissions[[Emissions_category]:[Emissions_category]],$B$21)/1000,"")</f>
        <v>0</v>
      </c>
      <c r="AB27" s="28">
        <f>IFERROR(SUMIFS(Emissions[2046],Emissions[[CO2_NonCO2]:[CO2_NonCO2]],$B27,Emissions[[Sector_group]:[Sector_group]],$B$23, Emissions[[Emissions_category]:[Emissions_category]],$B$21)/1000,"")</f>
        <v>0</v>
      </c>
      <c r="AC27" s="28">
        <f>IFERROR(SUMIFS(Emissions[2047],Emissions[[CO2_NonCO2]:[CO2_NonCO2]],$B27,Emissions[[Sector_group]:[Sector_group]],$B$23, Emissions[[Emissions_category]:[Emissions_category]],$B$21)/1000,"")</f>
        <v>0</v>
      </c>
      <c r="AD27" s="28">
        <f>IFERROR(SUMIFS(Emissions[2048],Emissions[[CO2_NonCO2]:[CO2_NonCO2]],$B27,Emissions[[Sector_group]:[Sector_group]],$B$23, Emissions[[Emissions_category]:[Emissions_category]],$B$21)/1000,"")</f>
        <v>0</v>
      </c>
      <c r="AE27" s="28">
        <f>IFERROR(SUMIFS(Emissions[2049],Emissions[[CO2_NonCO2]:[CO2_NonCO2]],$B27,Emissions[[Sector_group]:[Sector_group]],$B$23, Emissions[[Emissions_category]:[Emissions_category]],$B$21)/1000,"")</f>
        <v>0</v>
      </c>
      <c r="AF27" s="28">
        <f>IFERROR(SUMIFS(Emissions[2050],Emissions[[CO2_NonCO2]:[CO2_NonCO2]],$B27,Emissions[[Sector_group]:[Sector_group]],$B$23, Emissions[[Emissions_category]:[Emissions_category]],$B$21)/1000,"")</f>
        <v>0</v>
      </c>
      <c r="AG27" s="28">
        <f>IFERROR(SUMIFS(Emissions[2051],Emissions[[CO2_NonCO2]:[CO2_NonCO2]],$B27,Emissions[[Sector_group]:[Sector_group]],$B$23, Emissions[[Emissions_category]:[Emissions_category]],$B$21)/1000,"")</f>
        <v>0</v>
      </c>
    </row>
    <row r="28" spans="1:33" x14ac:dyDescent="0.45">
      <c r="B28" s="12" t="s">
        <v>64</v>
      </c>
      <c r="C28" s="28">
        <f>IFERROR(SUMIFS(Emissions[2021],Emissions[[CO2_NonCO2]:[CO2_NonCO2]],$B28,Emissions[[Sector_group]:[Sector_group]],$B$23, Emissions[[Emissions_category]:[Emissions_category]],$B$21)/1000,"")</f>
        <v>0</v>
      </c>
      <c r="D28" s="28">
        <f>IFERROR(SUMIFS(Emissions[2022],Emissions[[CO2_NonCO2]:[CO2_NonCO2]],$B28,Emissions[[Sector_group]:[Sector_group]],$B$23, Emissions[[Emissions_category]:[Emissions_category]],$B$21)/1000,"")</f>
        <v>0</v>
      </c>
      <c r="E28" s="28">
        <f>IFERROR(SUMIFS(Emissions[2023],Emissions[[CO2_NonCO2]:[CO2_NonCO2]],$B28,Emissions[[Sector_group]:[Sector_group]],$B$23, Emissions[[Emissions_category]:[Emissions_category]],$B$21)/1000,"")</f>
        <v>0</v>
      </c>
      <c r="F28" s="28">
        <f>IFERROR(SUMIFS(Emissions[2024],Emissions[[CO2_NonCO2]:[CO2_NonCO2]],$B28,Emissions[[Sector_group]:[Sector_group]],$B$23, Emissions[[Emissions_category]:[Emissions_category]],$B$21)/1000,"")</f>
        <v>0</v>
      </c>
      <c r="G28" s="28">
        <f>IFERROR(SUMIFS(Emissions[2025],Emissions[[CO2_NonCO2]:[CO2_NonCO2]],$B28,Emissions[[Sector_group]:[Sector_group]],$B$23, Emissions[[Emissions_category]:[Emissions_category]],$B$21)/1000,"")</f>
        <v>0</v>
      </c>
      <c r="H28" s="28">
        <f>IFERROR(SUMIFS(Emissions[2026],Emissions[[CO2_NonCO2]:[CO2_NonCO2]],$B28,Emissions[[Sector_group]:[Sector_group]],$B$23, Emissions[[Emissions_category]:[Emissions_category]],$B$21)/1000,"")</f>
        <v>0</v>
      </c>
      <c r="I28" s="28">
        <f>IFERROR(SUMIFS(Emissions[2027],Emissions[[CO2_NonCO2]:[CO2_NonCO2]],$B28,Emissions[[Sector_group]:[Sector_group]],$B$23, Emissions[[Emissions_category]:[Emissions_category]],$B$21)/1000,"")</f>
        <v>0</v>
      </c>
      <c r="J28" s="28">
        <f>IFERROR(SUMIFS(Emissions[2028],Emissions[[CO2_NonCO2]:[CO2_NonCO2]],$B28,Emissions[[Sector_group]:[Sector_group]],$B$23, Emissions[[Emissions_category]:[Emissions_category]],$B$21)/1000,"")</f>
        <v>0</v>
      </c>
      <c r="K28" s="28">
        <f>IFERROR(SUMIFS(Emissions[2029],Emissions[[CO2_NonCO2]:[CO2_NonCO2]],$B28,Emissions[[Sector_group]:[Sector_group]],$B$23, Emissions[[Emissions_category]:[Emissions_category]],$B$21)/1000,"")</f>
        <v>0</v>
      </c>
      <c r="L28" s="28">
        <f>IFERROR(SUMIFS(Emissions[2030],Emissions[[CO2_NonCO2]:[CO2_NonCO2]],$B28,Emissions[[Sector_group]:[Sector_group]],$B$23, Emissions[[Emissions_category]:[Emissions_category]],$B$21)/1000,"")</f>
        <v>0</v>
      </c>
      <c r="M28" s="28">
        <f>IFERROR(SUMIFS(Emissions[2031],Emissions[[CO2_NonCO2]:[CO2_NonCO2]],$B28,Emissions[[Sector_group]:[Sector_group]],$B$23, Emissions[[Emissions_category]:[Emissions_category]],$B$21)/1000,"")</f>
        <v>0</v>
      </c>
      <c r="N28" s="28">
        <f>IFERROR(SUMIFS(Emissions[2032],Emissions[[CO2_NonCO2]:[CO2_NonCO2]],$B28,Emissions[[Sector_group]:[Sector_group]],$B$23, Emissions[[Emissions_category]:[Emissions_category]],$B$21)/1000,"")</f>
        <v>0</v>
      </c>
      <c r="O28" s="28">
        <f>IFERROR(SUMIFS(Emissions[2033],Emissions[[CO2_NonCO2]:[CO2_NonCO2]],$B28,Emissions[[Sector_group]:[Sector_group]],$B$23, Emissions[[Emissions_category]:[Emissions_category]],$B$21)/1000,"")</f>
        <v>0</v>
      </c>
      <c r="P28" s="28">
        <f>IFERROR(SUMIFS(Emissions[2034],Emissions[[CO2_NonCO2]:[CO2_NonCO2]],$B28,Emissions[[Sector_group]:[Sector_group]],$B$23, Emissions[[Emissions_category]:[Emissions_category]],$B$21)/1000,"")</f>
        <v>0</v>
      </c>
      <c r="Q28" s="28">
        <f>IFERROR(SUMIFS(Emissions[2035],Emissions[[CO2_NonCO2]:[CO2_NonCO2]],$B28,Emissions[[Sector_group]:[Sector_group]],$B$23, Emissions[[Emissions_category]:[Emissions_category]],$B$21)/1000,"")</f>
        <v>0</v>
      </c>
      <c r="R28" s="28">
        <f>IFERROR(SUMIFS(Emissions[2036],Emissions[[CO2_NonCO2]:[CO2_NonCO2]],$B28,Emissions[[Sector_group]:[Sector_group]],$B$23, Emissions[[Emissions_category]:[Emissions_category]],$B$21)/1000,"")</f>
        <v>0</v>
      </c>
      <c r="S28" s="28">
        <f>IFERROR(SUMIFS(Emissions[2037],Emissions[[CO2_NonCO2]:[CO2_NonCO2]],$B28,Emissions[[Sector_group]:[Sector_group]],$B$23, Emissions[[Emissions_category]:[Emissions_category]],$B$21)/1000,"")</f>
        <v>0</v>
      </c>
      <c r="T28" s="28">
        <f>IFERROR(SUMIFS(Emissions[2038],Emissions[[CO2_NonCO2]:[CO2_NonCO2]],$B28,Emissions[[Sector_group]:[Sector_group]],$B$23, Emissions[[Emissions_category]:[Emissions_category]],$B$21)/1000,"")</f>
        <v>0</v>
      </c>
      <c r="U28" s="28">
        <f>IFERROR(SUMIFS(Emissions[2039],Emissions[[CO2_NonCO2]:[CO2_NonCO2]],$B28,Emissions[[Sector_group]:[Sector_group]],$B$23, Emissions[[Emissions_category]:[Emissions_category]],$B$21)/1000,"")</f>
        <v>0</v>
      </c>
      <c r="V28" s="28">
        <f>IFERROR(SUMIFS(Emissions[2040],Emissions[[CO2_NonCO2]:[CO2_NonCO2]],$B28,Emissions[[Sector_group]:[Sector_group]],$B$23, Emissions[[Emissions_category]:[Emissions_category]],$B$21)/1000,"")</f>
        <v>0</v>
      </c>
      <c r="W28" s="28">
        <f>IFERROR(SUMIFS(Emissions[2041],Emissions[[CO2_NonCO2]:[CO2_NonCO2]],$B28,Emissions[[Sector_group]:[Sector_group]],$B$23, Emissions[[Emissions_category]:[Emissions_category]],$B$21)/1000,"")</f>
        <v>0</v>
      </c>
      <c r="X28" s="28">
        <f>IFERROR(SUMIFS(Emissions[2042],Emissions[[CO2_NonCO2]:[CO2_NonCO2]],$B28,Emissions[[Sector_group]:[Sector_group]],$B$23, Emissions[[Emissions_category]:[Emissions_category]],$B$21)/1000,"")</f>
        <v>0</v>
      </c>
      <c r="Y28" s="28">
        <f>IFERROR(SUMIFS(Emissions[2043],Emissions[[CO2_NonCO2]:[CO2_NonCO2]],$B28,Emissions[[Sector_group]:[Sector_group]],$B$23, Emissions[[Emissions_category]:[Emissions_category]],$B$21)/1000,"")</f>
        <v>0</v>
      </c>
      <c r="Z28" s="28">
        <f>IFERROR(SUMIFS(Emissions[2044],Emissions[[CO2_NonCO2]:[CO2_NonCO2]],$B28,Emissions[[Sector_group]:[Sector_group]],$B$23, Emissions[[Emissions_category]:[Emissions_category]],$B$21)/1000,"")</f>
        <v>0</v>
      </c>
      <c r="AA28" s="28">
        <f>IFERROR(SUMIFS(Emissions[2045],Emissions[[CO2_NonCO2]:[CO2_NonCO2]],$B28,Emissions[[Sector_group]:[Sector_group]],$B$23, Emissions[[Emissions_category]:[Emissions_category]],$B$21)/1000,"")</f>
        <v>0</v>
      </c>
      <c r="AB28" s="28">
        <f>IFERROR(SUMIFS(Emissions[2046],Emissions[[CO2_NonCO2]:[CO2_NonCO2]],$B28,Emissions[[Sector_group]:[Sector_group]],$B$23, Emissions[[Emissions_category]:[Emissions_category]],$B$21)/1000,"")</f>
        <v>0</v>
      </c>
      <c r="AC28" s="28">
        <f>IFERROR(SUMIFS(Emissions[2047],Emissions[[CO2_NonCO2]:[CO2_NonCO2]],$B28,Emissions[[Sector_group]:[Sector_group]],$B$23, Emissions[[Emissions_category]:[Emissions_category]],$B$21)/1000,"")</f>
        <v>0</v>
      </c>
      <c r="AD28" s="28">
        <f>IFERROR(SUMIFS(Emissions[2048],Emissions[[CO2_NonCO2]:[CO2_NonCO2]],$B28,Emissions[[Sector_group]:[Sector_group]],$B$23, Emissions[[Emissions_category]:[Emissions_category]],$B$21)/1000,"")</f>
        <v>0</v>
      </c>
      <c r="AE28" s="28">
        <f>IFERROR(SUMIFS(Emissions[2049],Emissions[[CO2_NonCO2]:[CO2_NonCO2]],$B28,Emissions[[Sector_group]:[Sector_group]],$B$23, Emissions[[Emissions_category]:[Emissions_category]],$B$21)/1000,"")</f>
        <v>0</v>
      </c>
      <c r="AF28" s="28">
        <f>IFERROR(SUMIFS(Emissions[2050],Emissions[[CO2_NonCO2]:[CO2_NonCO2]],$B28,Emissions[[Sector_group]:[Sector_group]],$B$23, Emissions[[Emissions_category]:[Emissions_category]],$B$21)/1000,"")</f>
        <v>0</v>
      </c>
      <c r="AG28" s="28">
        <f>IFERROR(SUMIFS(Emissions[2051],Emissions[[CO2_NonCO2]:[CO2_NonCO2]],$B28,Emissions[[Sector_group]:[Sector_group]],$B$23, Emissions[[Emissions_category]:[Emissions_category]],$B$21)/1000,"")</f>
        <v>0</v>
      </c>
    </row>
    <row r="29" spans="1:33" x14ac:dyDescent="0.45">
      <c r="B29" s="4" t="s">
        <v>26</v>
      </c>
      <c r="C29" s="30">
        <f>IFERROR(C30+C31,"")</f>
        <v>0</v>
      </c>
      <c r="D29" s="30">
        <f t="shared" ref="D29:AG29" si="2">IFERROR(D30+D31,"")</f>
        <v>0</v>
      </c>
      <c r="E29" s="30">
        <f t="shared" si="2"/>
        <v>0</v>
      </c>
      <c r="F29" s="30">
        <f t="shared" si="2"/>
        <v>0</v>
      </c>
      <c r="G29" s="30">
        <f t="shared" si="2"/>
        <v>0</v>
      </c>
      <c r="H29" s="30">
        <f t="shared" si="2"/>
        <v>0</v>
      </c>
      <c r="I29" s="30">
        <f t="shared" si="2"/>
        <v>0</v>
      </c>
      <c r="J29" s="30">
        <f t="shared" si="2"/>
        <v>0</v>
      </c>
      <c r="K29" s="30">
        <f t="shared" si="2"/>
        <v>0</v>
      </c>
      <c r="L29" s="30">
        <f t="shared" si="2"/>
        <v>0</v>
      </c>
      <c r="M29" s="30">
        <f t="shared" si="2"/>
        <v>0</v>
      </c>
      <c r="N29" s="30">
        <f t="shared" si="2"/>
        <v>0</v>
      </c>
      <c r="O29" s="30">
        <f t="shared" si="2"/>
        <v>0</v>
      </c>
      <c r="P29" s="30">
        <f t="shared" si="2"/>
        <v>0</v>
      </c>
      <c r="Q29" s="30">
        <f t="shared" si="2"/>
        <v>0</v>
      </c>
      <c r="R29" s="30">
        <f t="shared" si="2"/>
        <v>0</v>
      </c>
      <c r="S29" s="30">
        <f t="shared" si="2"/>
        <v>0</v>
      </c>
      <c r="T29" s="30">
        <f t="shared" si="2"/>
        <v>0</v>
      </c>
      <c r="U29" s="30">
        <f t="shared" si="2"/>
        <v>0</v>
      </c>
      <c r="V29" s="30">
        <f t="shared" si="2"/>
        <v>0</v>
      </c>
      <c r="W29" s="30">
        <f t="shared" si="2"/>
        <v>0</v>
      </c>
      <c r="X29" s="30">
        <f t="shared" si="2"/>
        <v>0</v>
      </c>
      <c r="Y29" s="30">
        <f t="shared" si="2"/>
        <v>0</v>
      </c>
      <c r="Z29" s="30">
        <f t="shared" si="2"/>
        <v>0</v>
      </c>
      <c r="AA29" s="30">
        <f t="shared" si="2"/>
        <v>0</v>
      </c>
      <c r="AB29" s="30">
        <f t="shared" si="2"/>
        <v>0</v>
      </c>
      <c r="AC29" s="30">
        <f t="shared" si="2"/>
        <v>0</v>
      </c>
      <c r="AD29" s="30">
        <f t="shared" si="2"/>
        <v>0</v>
      </c>
      <c r="AE29" s="30">
        <f t="shared" si="2"/>
        <v>0</v>
      </c>
      <c r="AF29" s="30">
        <f t="shared" si="2"/>
        <v>0</v>
      </c>
      <c r="AG29" s="30">
        <f t="shared" si="2"/>
        <v>0</v>
      </c>
    </row>
    <row r="30" spans="1:33" x14ac:dyDescent="0.45">
      <c r="B30" s="12" t="s">
        <v>15</v>
      </c>
      <c r="C30" s="28">
        <f>IFERROR(SUMIFS(Emissions[2021],Emissions[[CO2_NonCO2]:[CO2_NonCO2]],$B30,Emissions[[Sector_group]:[Sector_group]],$B$23, Emissions[[Emissions_category]:[Emissions_category]],$B$21)/1000,"")</f>
        <v>0</v>
      </c>
      <c r="D30" s="28">
        <f>IFERROR(SUMIFS(Emissions[2022],Emissions[[CO2_NonCO2]:[CO2_NonCO2]],$B30,Emissions[[Sector_group]:[Sector_group]],$B$23, Emissions[[Emissions_category]:[Emissions_category]],$B$21)/1000,"")</f>
        <v>0</v>
      </c>
      <c r="E30" s="28">
        <f>IFERROR(SUMIFS(Emissions[2023],Emissions[[CO2_NonCO2]:[CO2_NonCO2]],$B30,Emissions[[Sector_group]:[Sector_group]],$B$23, Emissions[[Emissions_category]:[Emissions_category]],$B$21)/1000,"")</f>
        <v>0</v>
      </c>
      <c r="F30" s="28">
        <f>IFERROR(SUMIFS(Emissions[2024],Emissions[[CO2_NonCO2]:[CO2_NonCO2]],$B30,Emissions[[Sector_group]:[Sector_group]],$B$23, Emissions[[Emissions_category]:[Emissions_category]],$B$21)/1000,"")</f>
        <v>0</v>
      </c>
      <c r="G30" s="28">
        <f>IFERROR(SUMIFS(Emissions[2025],Emissions[[CO2_NonCO2]:[CO2_NonCO2]],$B30,Emissions[[Sector_group]:[Sector_group]],$B$23, Emissions[[Emissions_category]:[Emissions_category]],$B$21)/1000,"")</f>
        <v>0</v>
      </c>
      <c r="H30" s="28">
        <f>IFERROR(SUMIFS(Emissions[2026],Emissions[[CO2_NonCO2]:[CO2_NonCO2]],$B30,Emissions[[Sector_group]:[Sector_group]],$B$23, Emissions[[Emissions_category]:[Emissions_category]],$B$21)/1000,"")</f>
        <v>0</v>
      </c>
      <c r="I30" s="28">
        <f>IFERROR(SUMIFS(Emissions[2027],Emissions[[CO2_NonCO2]:[CO2_NonCO2]],$B30,Emissions[[Sector_group]:[Sector_group]],$B$23, Emissions[[Emissions_category]:[Emissions_category]],$B$21)/1000,"")</f>
        <v>0</v>
      </c>
      <c r="J30" s="28">
        <f>IFERROR(SUMIFS(Emissions[2028],Emissions[[CO2_NonCO2]:[CO2_NonCO2]],$B30,Emissions[[Sector_group]:[Sector_group]],$B$23, Emissions[[Emissions_category]:[Emissions_category]],$B$21)/1000,"")</f>
        <v>0</v>
      </c>
      <c r="K30" s="28">
        <f>IFERROR(SUMIFS(Emissions[2029],Emissions[[CO2_NonCO2]:[CO2_NonCO2]],$B30,Emissions[[Sector_group]:[Sector_group]],$B$23, Emissions[[Emissions_category]:[Emissions_category]],$B$21)/1000,"")</f>
        <v>0</v>
      </c>
      <c r="L30" s="28">
        <f>IFERROR(SUMIFS(Emissions[2030],Emissions[[CO2_NonCO2]:[CO2_NonCO2]],$B30,Emissions[[Sector_group]:[Sector_group]],$B$23, Emissions[[Emissions_category]:[Emissions_category]],$B$21)/1000,"")</f>
        <v>0</v>
      </c>
      <c r="M30" s="28">
        <f>IFERROR(SUMIFS(Emissions[2031],Emissions[[CO2_NonCO2]:[CO2_NonCO2]],$B30,Emissions[[Sector_group]:[Sector_group]],$B$23, Emissions[[Emissions_category]:[Emissions_category]],$B$21)/1000,"")</f>
        <v>0</v>
      </c>
      <c r="N30" s="28">
        <f>IFERROR(SUMIFS(Emissions[2032],Emissions[[CO2_NonCO2]:[CO2_NonCO2]],$B30,Emissions[[Sector_group]:[Sector_group]],$B$23, Emissions[[Emissions_category]:[Emissions_category]],$B$21)/1000,"")</f>
        <v>0</v>
      </c>
      <c r="O30" s="28">
        <f>IFERROR(SUMIFS(Emissions[2033],Emissions[[CO2_NonCO2]:[CO2_NonCO2]],$B30,Emissions[[Sector_group]:[Sector_group]],$B$23, Emissions[[Emissions_category]:[Emissions_category]],$B$21)/1000,"")</f>
        <v>0</v>
      </c>
      <c r="P30" s="28">
        <f>IFERROR(SUMIFS(Emissions[2034],Emissions[[CO2_NonCO2]:[CO2_NonCO2]],$B30,Emissions[[Sector_group]:[Sector_group]],$B$23, Emissions[[Emissions_category]:[Emissions_category]],$B$21)/1000,"")</f>
        <v>0</v>
      </c>
      <c r="Q30" s="28">
        <f>IFERROR(SUMIFS(Emissions[2035],Emissions[[CO2_NonCO2]:[CO2_NonCO2]],$B30,Emissions[[Sector_group]:[Sector_group]],$B$23, Emissions[[Emissions_category]:[Emissions_category]],$B$21)/1000,"")</f>
        <v>0</v>
      </c>
      <c r="R30" s="28">
        <f>IFERROR(SUMIFS(Emissions[2036],Emissions[[CO2_NonCO2]:[CO2_NonCO2]],$B30,Emissions[[Sector_group]:[Sector_group]],$B$23, Emissions[[Emissions_category]:[Emissions_category]],$B$21)/1000,"")</f>
        <v>0</v>
      </c>
      <c r="S30" s="28">
        <f>IFERROR(SUMIFS(Emissions[2037],Emissions[[CO2_NonCO2]:[CO2_NonCO2]],$B30,Emissions[[Sector_group]:[Sector_group]],$B$23, Emissions[[Emissions_category]:[Emissions_category]],$B$21)/1000,"")</f>
        <v>0</v>
      </c>
      <c r="T30" s="28">
        <f>IFERROR(SUMIFS(Emissions[2038],Emissions[[CO2_NonCO2]:[CO2_NonCO2]],$B30,Emissions[[Sector_group]:[Sector_group]],$B$23, Emissions[[Emissions_category]:[Emissions_category]],$B$21)/1000,"")</f>
        <v>0</v>
      </c>
      <c r="U30" s="28">
        <f>IFERROR(SUMIFS(Emissions[2039],Emissions[[CO2_NonCO2]:[CO2_NonCO2]],$B30,Emissions[[Sector_group]:[Sector_group]],$B$23, Emissions[[Emissions_category]:[Emissions_category]],$B$21)/1000,"")</f>
        <v>0</v>
      </c>
      <c r="V30" s="28">
        <f>IFERROR(SUMIFS(Emissions[2040],Emissions[[CO2_NonCO2]:[CO2_NonCO2]],$B30,Emissions[[Sector_group]:[Sector_group]],$B$23, Emissions[[Emissions_category]:[Emissions_category]],$B$21)/1000,"")</f>
        <v>0</v>
      </c>
      <c r="W30" s="28">
        <f>IFERROR(SUMIFS(Emissions[2041],Emissions[[CO2_NonCO2]:[CO2_NonCO2]],$B30,Emissions[[Sector_group]:[Sector_group]],$B$23, Emissions[[Emissions_category]:[Emissions_category]],$B$21)/1000,"")</f>
        <v>0</v>
      </c>
      <c r="X30" s="28">
        <f>IFERROR(SUMIFS(Emissions[2042],Emissions[[CO2_NonCO2]:[CO2_NonCO2]],$B30,Emissions[[Sector_group]:[Sector_group]],$B$23, Emissions[[Emissions_category]:[Emissions_category]],$B$21)/1000,"")</f>
        <v>0</v>
      </c>
      <c r="Y30" s="28">
        <f>IFERROR(SUMIFS(Emissions[2043],Emissions[[CO2_NonCO2]:[CO2_NonCO2]],$B30,Emissions[[Sector_group]:[Sector_group]],$B$23, Emissions[[Emissions_category]:[Emissions_category]],$B$21)/1000,"")</f>
        <v>0</v>
      </c>
      <c r="Z30" s="28">
        <f>IFERROR(SUMIFS(Emissions[2044],Emissions[[CO2_NonCO2]:[CO2_NonCO2]],$B30,Emissions[[Sector_group]:[Sector_group]],$B$23, Emissions[[Emissions_category]:[Emissions_category]],$B$21)/1000,"")</f>
        <v>0</v>
      </c>
      <c r="AA30" s="28">
        <f>IFERROR(SUMIFS(Emissions[2045],Emissions[[CO2_NonCO2]:[CO2_NonCO2]],$B30,Emissions[[Sector_group]:[Sector_group]],$B$23, Emissions[[Emissions_category]:[Emissions_category]],$B$21)/1000,"")</f>
        <v>0</v>
      </c>
      <c r="AB30" s="28">
        <f>IFERROR(SUMIFS(Emissions[2046],Emissions[[CO2_NonCO2]:[CO2_NonCO2]],$B30,Emissions[[Sector_group]:[Sector_group]],$B$23, Emissions[[Emissions_category]:[Emissions_category]],$B$21)/1000,"")</f>
        <v>0</v>
      </c>
      <c r="AC30" s="28">
        <f>IFERROR(SUMIFS(Emissions[2047],Emissions[[CO2_NonCO2]:[CO2_NonCO2]],$B30,Emissions[[Sector_group]:[Sector_group]],$B$23, Emissions[[Emissions_category]:[Emissions_category]],$B$21)/1000,"")</f>
        <v>0</v>
      </c>
      <c r="AD30" s="28">
        <f>IFERROR(SUMIFS(Emissions[2048],Emissions[[CO2_NonCO2]:[CO2_NonCO2]],$B30,Emissions[[Sector_group]:[Sector_group]],$B$23, Emissions[[Emissions_category]:[Emissions_category]],$B$21)/1000,"")</f>
        <v>0</v>
      </c>
      <c r="AE30" s="28">
        <f>IFERROR(SUMIFS(Emissions[2049],Emissions[[CO2_NonCO2]:[CO2_NonCO2]],$B30,Emissions[[Sector_group]:[Sector_group]],$B$23, Emissions[[Emissions_category]:[Emissions_category]],$B$21)/1000,"")</f>
        <v>0</v>
      </c>
      <c r="AF30" s="28">
        <f>IFERROR(SUMIFS(Emissions[2050],Emissions[[CO2_NonCO2]:[CO2_NonCO2]],$B30,Emissions[[Sector_group]:[Sector_group]],$B$23, Emissions[[Emissions_category]:[Emissions_category]],$B$21)/1000,"")</f>
        <v>0</v>
      </c>
      <c r="AG30" s="28">
        <f>IFERROR(SUMIFS(Emissions[2051],Emissions[[CO2_NonCO2]:[CO2_NonCO2]],$B30,Emissions[[Sector_group]:[Sector_group]],$B$23, Emissions[[Emissions_category]:[Emissions_category]],$B$21)/1000,"")</f>
        <v>0</v>
      </c>
    </row>
    <row r="31" spans="1:33" x14ac:dyDescent="0.45">
      <c r="B31" s="12" t="s">
        <v>64</v>
      </c>
      <c r="C31" s="28">
        <f>IFERROR(SUMIFS(Emissions[2021],Emissions[[CO2_NonCO2]:[CO2_NonCO2]],$B31,Emissions[[Sector_group]:[Sector_group]],$B$23, Emissions[[Emissions_category]:[Emissions_category]],$B$21)/1000,"")</f>
        <v>0</v>
      </c>
      <c r="D31" s="28">
        <f>IFERROR(SUMIFS(Emissions[2022],Emissions[[CO2_NonCO2]:[CO2_NonCO2]],$B31,Emissions[[Sector_group]:[Sector_group]],$B$23, Emissions[[Emissions_category]:[Emissions_category]],$B$21)/1000,"")</f>
        <v>0</v>
      </c>
      <c r="E31" s="28">
        <f>IFERROR(SUMIFS(Emissions[2023],Emissions[[CO2_NonCO2]:[CO2_NonCO2]],$B31,Emissions[[Sector_group]:[Sector_group]],$B$23, Emissions[[Emissions_category]:[Emissions_category]],$B$21)/1000,"")</f>
        <v>0</v>
      </c>
      <c r="F31" s="28">
        <f>IFERROR(SUMIFS(Emissions[2024],Emissions[[CO2_NonCO2]:[CO2_NonCO2]],$B31,Emissions[[Sector_group]:[Sector_group]],$B$23, Emissions[[Emissions_category]:[Emissions_category]],$B$21)/1000,"")</f>
        <v>0</v>
      </c>
      <c r="G31" s="28">
        <f>IFERROR(SUMIFS(Emissions[2025],Emissions[[CO2_NonCO2]:[CO2_NonCO2]],$B31,Emissions[[Sector_group]:[Sector_group]],$B$23, Emissions[[Emissions_category]:[Emissions_category]],$B$21)/1000,"")</f>
        <v>0</v>
      </c>
      <c r="H31" s="28">
        <f>IFERROR(SUMIFS(Emissions[2026],Emissions[[CO2_NonCO2]:[CO2_NonCO2]],$B31,Emissions[[Sector_group]:[Sector_group]],$B$23, Emissions[[Emissions_category]:[Emissions_category]],$B$21)/1000,"")</f>
        <v>0</v>
      </c>
      <c r="I31" s="28">
        <f>IFERROR(SUMIFS(Emissions[2027],Emissions[[CO2_NonCO2]:[CO2_NonCO2]],$B31,Emissions[[Sector_group]:[Sector_group]],$B$23, Emissions[[Emissions_category]:[Emissions_category]],$B$21)/1000,"")</f>
        <v>0</v>
      </c>
      <c r="J31" s="28">
        <f>IFERROR(SUMIFS(Emissions[2028],Emissions[[CO2_NonCO2]:[CO2_NonCO2]],$B31,Emissions[[Sector_group]:[Sector_group]],$B$23, Emissions[[Emissions_category]:[Emissions_category]],$B$21)/1000,"")</f>
        <v>0</v>
      </c>
      <c r="K31" s="28">
        <f>IFERROR(SUMIFS(Emissions[2029],Emissions[[CO2_NonCO2]:[CO2_NonCO2]],$B31,Emissions[[Sector_group]:[Sector_group]],$B$23, Emissions[[Emissions_category]:[Emissions_category]],$B$21)/1000,"")</f>
        <v>0</v>
      </c>
      <c r="L31" s="28">
        <f>IFERROR(SUMIFS(Emissions[2030],Emissions[[CO2_NonCO2]:[CO2_NonCO2]],$B31,Emissions[[Sector_group]:[Sector_group]],$B$23, Emissions[[Emissions_category]:[Emissions_category]],$B$21)/1000,"")</f>
        <v>0</v>
      </c>
      <c r="M31" s="28">
        <f>IFERROR(SUMIFS(Emissions[2031],Emissions[[CO2_NonCO2]:[CO2_NonCO2]],$B31,Emissions[[Sector_group]:[Sector_group]],$B$23, Emissions[[Emissions_category]:[Emissions_category]],$B$21)/1000,"")</f>
        <v>0</v>
      </c>
      <c r="N31" s="28">
        <f>IFERROR(SUMIFS(Emissions[2032],Emissions[[CO2_NonCO2]:[CO2_NonCO2]],$B31,Emissions[[Sector_group]:[Sector_group]],$B$23, Emissions[[Emissions_category]:[Emissions_category]],$B$21)/1000,"")</f>
        <v>0</v>
      </c>
      <c r="O31" s="28">
        <f>IFERROR(SUMIFS(Emissions[2033],Emissions[[CO2_NonCO2]:[CO2_NonCO2]],$B31,Emissions[[Sector_group]:[Sector_group]],$B$23, Emissions[[Emissions_category]:[Emissions_category]],$B$21)/1000,"")</f>
        <v>0</v>
      </c>
      <c r="P31" s="28">
        <f>IFERROR(SUMIFS(Emissions[2034],Emissions[[CO2_NonCO2]:[CO2_NonCO2]],$B31,Emissions[[Sector_group]:[Sector_group]],$B$23, Emissions[[Emissions_category]:[Emissions_category]],$B$21)/1000,"")</f>
        <v>0</v>
      </c>
      <c r="Q31" s="28">
        <f>IFERROR(SUMIFS(Emissions[2035],Emissions[[CO2_NonCO2]:[CO2_NonCO2]],$B31,Emissions[[Sector_group]:[Sector_group]],$B$23, Emissions[[Emissions_category]:[Emissions_category]],$B$21)/1000,"")</f>
        <v>0</v>
      </c>
      <c r="R31" s="28">
        <f>IFERROR(SUMIFS(Emissions[2036],Emissions[[CO2_NonCO2]:[CO2_NonCO2]],$B31,Emissions[[Sector_group]:[Sector_group]],$B$23, Emissions[[Emissions_category]:[Emissions_category]],$B$21)/1000,"")</f>
        <v>0</v>
      </c>
      <c r="S31" s="28">
        <f>IFERROR(SUMIFS(Emissions[2037],Emissions[[CO2_NonCO2]:[CO2_NonCO2]],$B31,Emissions[[Sector_group]:[Sector_group]],$B$23, Emissions[[Emissions_category]:[Emissions_category]],$B$21)/1000,"")</f>
        <v>0</v>
      </c>
      <c r="T31" s="28">
        <f>IFERROR(SUMIFS(Emissions[2038],Emissions[[CO2_NonCO2]:[CO2_NonCO2]],$B31,Emissions[[Sector_group]:[Sector_group]],$B$23, Emissions[[Emissions_category]:[Emissions_category]],$B$21)/1000,"")</f>
        <v>0</v>
      </c>
      <c r="U31" s="28">
        <f>IFERROR(SUMIFS(Emissions[2039],Emissions[[CO2_NonCO2]:[CO2_NonCO2]],$B31,Emissions[[Sector_group]:[Sector_group]],$B$23, Emissions[[Emissions_category]:[Emissions_category]],$B$21)/1000,"")</f>
        <v>0</v>
      </c>
      <c r="V31" s="28">
        <f>IFERROR(SUMIFS(Emissions[2040],Emissions[[CO2_NonCO2]:[CO2_NonCO2]],$B31,Emissions[[Sector_group]:[Sector_group]],$B$23, Emissions[[Emissions_category]:[Emissions_category]],$B$21)/1000,"")</f>
        <v>0</v>
      </c>
      <c r="W31" s="28">
        <f>IFERROR(SUMIFS(Emissions[2041],Emissions[[CO2_NonCO2]:[CO2_NonCO2]],$B31,Emissions[[Sector_group]:[Sector_group]],$B$23, Emissions[[Emissions_category]:[Emissions_category]],$B$21)/1000,"")</f>
        <v>0</v>
      </c>
      <c r="X31" s="28">
        <f>IFERROR(SUMIFS(Emissions[2042],Emissions[[CO2_NonCO2]:[CO2_NonCO2]],$B31,Emissions[[Sector_group]:[Sector_group]],$B$23, Emissions[[Emissions_category]:[Emissions_category]],$B$21)/1000,"")</f>
        <v>0</v>
      </c>
      <c r="Y31" s="28">
        <f>IFERROR(SUMIFS(Emissions[2043],Emissions[[CO2_NonCO2]:[CO2_NonCO2]],$B31,Emissions[[Sector_group]:[Sector_group]],$B$23, Emissions[[Emissions_category]:[Emissions_category]],$B$21)/1000,"")</f>
        <v>0</v>
      </c>
      <c r="Z31" s="28">
        <f>IFERROR(SUMIFS(Emissions[2044],Emissions[[CO2_NonCO2]:[CO2_NonCO2]],$B31,Emissions[[Sector_group]:[Sector_group]],$B$23, Emissions[[Emissions_category]:[Emissions_category]],$B$21)/1000,"")</f>
        <v>0</v>
      </c>
      <c r="AA31" s="28">
        <f>IFERROR(SUMIFS(Emissions[2045],Emissions[[CO2_NonCO2]:[CO2_NonCO2]],$B31,Emissions[[Sector_group]:[Sector_group]],$B$23, Emissions[[Emissions_category]:[Emissions_category]],$B$21)/1000,"")</f>
        <v>0</v>
      </c>
      <c r="AB31" s="28">
        <f>IFERROR(SUMIFS(Emissions[2046],Emissions[[CO2_NonCO2]:[CO2_NonCO2]],$B31,Emissions[[Sector_group]:[Sector_group]],$B$23, Emissions[[Emissions_category]:[Emissions_category]],$B$21)/1000,"")</f>
        <v>0</v>
      </c>
      <c r="AC31" s="28">
        <f>IFERROR(SUMIFS(Emissions[2047],Emissions[[CO2_NonCO2]:[CO2_NonCO2]],$B31,Emissions[[Sector_group]:[Sector_group]],$B$23, Emissions[[Emissions_category]:[Emissions_category]],$B$21)/1000,"")</f>
        <v>0</v>
      </c>
      <c r="AD31" s="28">
        <f>IFERROR(SUMIFS(Emissions[2048],Emissions[[CO2_NonCO2]:[CO2_NonCO2]],$B31,Emissions[[Sector_group]:[Sector_group]],$B$23, Emissions[[Emissions_category]:[Emissions_category]],$B$21)/1000,"")</f>
        <v>0</v>
      </c>
      <c r="AE31" s="28">
        <f>IFERROR(SUMIFS(Emissions[2049],Emissions[[CO2_NonCO2]:[CO2_NonCO2]],$B31,Emissions[[Sector_group]:[Sector_group]],$B$23, Emissions[[Emissions_category]:[Emissions_category]],$B$21)/1000,"")</f>
        <v>0</v>
      </c>
      <c r="AF31" s="28">
        <f>IFERROR(SUMIFS(Emissions[2050],Emissions[[CO2_NonCO2]:[CO2_NonCO2]],$B31,Emissions[[Sector_group]:[Sector_group]],$B$23, Emissions[[Emissions_category]:[Emissions_category]],$B$21)/1000,"")</f>
        <v>0</v>
      </c>
      <c r="AG31" s="28">
        <f>IFERROR(SUMIFS(Emissions[2051],Emissions[[CO2_NonCO2]:[CO2_NonCO2]],$B31,Emissions[[Sector_group]:[Sector_group]],$B$23, Emissions[[Emissions_category]:[Emissions_category]],$B$21)/1000,"")</f>
        <v>0</v>
      </c>
    </row>
    <row r="32" spans="1:33" ht="14.65" thickBot="1" x14ac:dyDescent="0.5">
      <c r="B32" s="29" t="s">
        <v>124</v>
      </c>
      <c r="C32" s="31">
        <f>IFERROR(C23+C26+C29,"")</f>
        <v>0</v>
      </c>
      <c r="D32" s="31">
        <f t="shared" ref="D32:AG32" si="3">IFERROR(D23+D26+D29,"")</f>
        <v>0</v>
      </c>
      <c r="E32" s="31">
        <f t="shared" si="3"/>
        <v>0</v>
      </c>
      <c r="F32" s="31">
        <f t="shared" si="3"/>
        <v>0</v>
      </c>
      <c r="G32" s="31">
        <f t="shared" si="3"/>
        <v>0</v>
      </c>
      <c r="H32" s="31">
        <f t="shared" si="3"/>
        <v>0</v>
      </c>
      <c r="I32" s="31">
        <f t="shared" si="3"/>
        <v>0</v>
      </c>
      <c r="J32" s="31">
        <f t="shared" si="3"/>
        <v>0</v>
      </c>
      <c r="K32" s="31">
        <f t="shared" si="3"/>
        <v>0</v>
      </c>
      <c r="L32" s="31">
        <f t="shared" si="3"/>
        <v>0</v>
      </c>
      <c r="M32" s="31">
        <f t="shared" si="3"/>
        <v>0</v>
      </c>
      <c r="N32" s="31">
        <f t="shared" si="3"/>
        <v>0</v>
      </c>
      <c r="O32" s="31">
        <f t="shared" si="3"/>
        <v>0</v>
      </c>
      <c r="P32" s="31">
        <f t="shared" si="3"/>
        <v>0</v>
      </c>
      <c r="Q32" s="31">
        <f t="shared" si="3"/>
        <v>0</v>
      </c>
      <c r="R32" s="31">
        <f t="shared" si="3"/>
        <v>0</v>
      </c>
      <c r="S32" s="31">
        <f t="shared" si="3"/>
        <v>0</v>
      </c>
      <c r="T32" s="31">
        <f t="shared" si="3"/>
        <v>0</v>
      </c>
      <c r="U32" s="31">
        <f t="shared" si="3"/>
        <v>0</v>
      </c>
      <c r="V32" s="31">
        <f t="shared" si="3"/>
        <v>0</v>
      </c>
      <c r="W32" s="31">
        <f t="shared" si="3"/>
        <v>0</v>
      </c>
      <c r="X32" s="31">
        <f t="shared" si="3"/>
        <v>0</v>
      </c>
      <c r="Y32" s="31">
        <f t="shared" si="3"/>
        <v>0</v>
      </c>
      <c r="Z32" s="31">
        <f t="shared" si="3"/>
        <v>0</v>
      </c>
      <c r="AA32" s="31">
        <f t="shared" si="3"/>
        <v>0</v>
      </c>
      <c r="AB32" s="31">
        <f t="shared" si="3"/>
        <v>0</v>
      </c>
      <c r="AC32" s="31">
        <f t="shared" si="3"/>
        <v>0</v>
      </c>
      <c r="AD32" s="31">
        <f t="shared" si="3"/>
        <v>0</v>
      </c>
      <c r="AE32" s="31">
        <f t="shared" si="3"/>
        <v>0</v>
      </c>
      <c r="AF32" s="31">
        <f t="shared" si="3"/>
        <v>0</v>
      </c>
      <c r="AG32" s="31">
        <f t="shared" si="3"/>
        <v>0</v>
      </c>
    </row>
    <row r="33" spans="1:33" ht="14.65" thickTop="1" x14ac:dyDescent="0.45"/>
    <row r="36" spans="1:33" x14ac:dyDescent="0.45">
      <c r="A36" t="s">
        <v>110</v>
      </c>
      <c r="C36" s="6">
        <v>2021</v>
      </c>
      <c r="D36" s="6">
        <v>2022</v>
      </c>
      <c r="E36" s="6">
        <v>2023</v>
      </c>
      <c r="F36" s="6">
        <v>2024</v>
      </c>
      <c r="G36" s="6">
        <v>2025</v>
      </c>
      <c r="H36" s="6">
        <v>2026</v>
      </c>
      <c r="I36" s="6">
        <v>2027</v>
      </c>
      <c r="J36" s="6">
        <v>2028</v>
      </c>
      <c r="K36" s="6">
        <v>2029</v>
      </c>
      <c r="L36" s="6">
        <v>2030</v>
      </c>
      <c r="M36" s="6">
        <v>2031</v>
      </c>
      <c r="N36" s="6">
        <v>2032</v>
      </c>
      <c r="O36" s="6">
        <v>2033</v>
      </c>
      <c r="P36" s="6">
        <v>2034</v>
      </c>
      <c r="Q36" s="6">
        <v>2035</v>
      </c>
      <c r="R36" s="6">
        <v>2036</v>
      </c>
      <c r="S36" s="6">
        <v>2037</v>
      </c>
      <c r="T36" s="6">
        <v>2038</v>
      </c>
      <c r="U36" s="6">
        <v>2039</v>
      </c>
      <c r="V36" s="6">
        <v>2040</v>
      </c>
      <c r="W36" s="6">
        <v>2041</v>
      </c>
      <c r="X36" s="6">
        <v>2042</v>
      </c>
      <c r="Y36" s="6">
        <v>2043</v>
      </c>
      <c r="Z36" s="6">
        <v>2044</v>
      </c>
      <c r="AA36" s="6">
        <v>2045</v>
      </c>
      <c r="AB36" s="6">
        <v>2046</v>
      </c>
      <c r="AC36" s="6">
        <v>2047</v>
      </c>
      <c r="AD36" s="6">
        <v>2048</v>
      </c>
      <c r="AE36" s="6">
        <v>2049</v>
      </c>
      <c r="AF36" s="6">
        <v>2050</v>
      </c>
      <c r="AG36" s="6">
        <v>2051</v>
      </c>
    </row>
    <row r="37" spans="1:33" x14ac:dyDescent="0.45">
      <c r="B37" s="4" t="s">
        <v>65</v>
      </c>
      <c r="C37" s="30">
        <f>IFERROR(SUMIFS(Emissions[2021],Emissions[[Emission_type]:[Emission_type]],$B$37,Emissions[[Sector_group]:[Sector_group]],"Industry",Emissions[[Emissions_category]:[Emissions_category]],$B$21)/1000,"")</f>
        <v>0</v>
      </c>
      <c r="D37" s="30">
        <f>IFERROR(SUMIFS(Emissions[2022],Emissions[[Emission_type]:[Emission_type]],$B$37,Emissions[[Sector_group]:[Sector_group]],"Industry",Emissions[[Emissions_category]:[Emissions_category]],$B$21)/1000,"")</f>
        <v>0</v>
      </c>
      <c r="E37" s="30">
        <f>IFERROR(SUMIFS(Emissions[2023],Emissions[[Emission_type]:[Emission_type]],$B$37,Emissions[[Sector_group]:[Sector_group]],"Industry",Emissions[[Emissions_category]:[Emissions_category]],$B$21)/1000,"")</f>
        <v>0</v>
      </c>
      <c r="F37" s="30">
        <f>IFERROR(SUMIFS(Emissions[2024],Emissions[[Emission_type]:[Emission_type]],$B$37,Emissions[[Sector_group]:[Sector_group]],"Industry",Emissions[[Emissions_category]:[Emissions_category]],$B$21)/1000,"")</f>
        <v>0</v>
      </c>
      <c r="G37" s="30">
        <f>IFERROR(SUMIFS(Emissions[2025],Emissions[[Emission_type]:[Emission_type]],$B$37,Emissions[[Sector_group]:[Sector_group]],"Industry",Emissions[[Emissions_category]:[Emissions_category]],$B$21)/1000,"")</f>
        <v>0</v>
      </c>
      <c r="H37" s="30">
        <f>IFERROR(SUMIFS(Emissions[2026],Emissions[[Emission_type]:[Emission_type]],$B$37,Emissions[[Sector_group]:[Sector_group]],"Industry",Emissions[[Emissions_category]:[Emissions_category]],$B$21)/1000,"")</f>
        <v>0</v>
      </c>
      <c r="I37" s="30">
        <f>IFERROR(SUMIFS(Emissions[2027],Emissions[[Emission_type]:[Emission_type]],$B$37,Emissions[[Sector_group]:[Sector_group]],"Industry",Emissions[[Emissions_category]:[Emissions_category]],$B$21)/1000,"")</f>
        <v>0</v>
      </c>
      <c r="J37" s="30">
        <f>IFERROR(SUMIFS(Emissions[2028],Emissions[[Emission_type]:[Emission_type]],$B$37,Emissions[[Sector_group]:[Sector_group]],"Industry",Emissions[[Emissions_category]:[Emissions_category]],$B$21)/1000,"")</f>
        <v>0</v>
      </c>
      <c r="K37" s="30">
        <f>IFERROR(SUMIFS(Emissions[2029],Emissions[[Emission_type]:[Emission_type]],$B$37,Emissions[[Sector_group]:[Sector_group]],"Industry",Emissions[[Emissions_category]:[Emissions_category]],$B$21)/1000,"")</f>
        <v>0</v>
      </c>
      <c r="L37" s="30">
        <f>IFERROR(SUMIFS(Emissions[2030],Emissions[[Emission_type]:[Emission_type]],$B$37,Emissions[[Sector_group]:[Sector_group]],"Industry",Emissions[[Emissions_category]:[Emissions_category]],$B$21)/1000,"")</f>
        <v>0</v>
      </c>
      <c r="M37" s="30">
        <f>IFERROR(SUMIFS(Emissions[2031],Emissions[[Emission_type]:[Emission_type]],$B$37,Emissions[[Sector_group]:[Sector_group]],"Industry",Emissions[[Emissions_category]:[Emissions_category]],$B$21)/1000,"")</f>
        <v>0</v>
      </c>
      <c r="N37" s="30">
        <f>IFERROR(SUMIFS(Emissions[2032],Emissions[[Emission_type]:[Emission_type]],$B$37,Emissions[[Sector_group]:[Sector_group]],"Industry",Emissions[[Emissions_category]:[Emissions_category]],$B$21)/1000,"")</f>
        <v>0</v>
      </c>
      <c r="O37" s="30">
        <f>IFERROR(SUMIFS(Emissions[2033],Emissions[[Emission_type]:[Emission_type]],$B$37,Emissions[[Sector_group]:[Sector_group]],"Industry",Emissions[[Emissions_category]:[Emissions_category]],$B$21)/1000,"")</f>
        <v>0</v>
      </c>
      <c r="P37" s="30">
        <f>IFERROR(SUMIFS(Emissions[2034],Emissions[[Emission_type]:[Emission_type]],$B$37,Emissions[[Sector_group]:[Sector_group]],"Industry",Emissions[[Emissions_category]:[Emissions_category]],$B$21)/1000,"")</f>
        <v>0</v>
      </c>
      <c r="Q37" s="30">
        <f>IFERROR(SUMIFS(Emissions[2035],Emissions[[Emission_type]:[Emission_type]],$B$37,Emissions[[Sector_group]:[Sector_group]],"Industry",Emissions[[Emissions_category]:[Emissions_category]],$B$21)/1000,"")</f>
        <v>0</v>
      </c>
      <c r="R37" s="30">
        <f>IFERROR(SUMIFS(Emissions[2036],Emissions[[Emission_type]:[Emission_type]],$B$37,Emissions[[Sector_group]:[Sector_group]],"Industry",Emissions[[Emissions_category]:[Emissions_category]],$B$21)/1000,"")</f>
        <v>0</v>
      </c>
      <c r="S37" s="30">
        <f>IFERROR(SUMIFS(Emissions[2037],Emissions[[Emission_type]:[Emission_type]],$B$37,Emissions[[Sector_group]:[Sector_group]],"Industry",Emissions[[Emissions_category]:[Emissions_category]],$B$21)/1000,"")</f>
        <v>0</v>
      </c>
      <c r="T37" s="30">
        <f>IFERROR(SUMIFS(Emissions[2038],Emissions[[Emission_type]:[Emission_type]],$B$37,Emissions[[Sector_group]:[Sector_group]],"Industry",Emissions[[Emissions_category]:[Emissions_category]],$B$21)/1000,"")</f>
        <v>0</v>
      </c>
      <c r="U37" s="30">
        <f>IFERROR(SUMIFS(Emissions[2039],Emissions[[Emission_type]:[Emission_type]],$B$37,Emissions[[Sector_group]:[Sector_group]],"Industry",Emissions[[Emissions_category]:[Emissions_category]],$B$21)/1000,"")</f>
        <v>0</v>
      </c>
      <c r="V37" s="30">
        <f>IFERROR(SUMIFS(Emissions[2040],Emissions[[Emission_type]:[Emission_type]],$B$37,Emissions[[Sector_group]:[Sector_group]],"Industry",Emissions[[Emissions_category]:[Emissions_category]],$B$21)/1000,"")</f>
        <v>0</v>
      </c>
      <c r="W37" s="30">
        <f>IFERROR(SUMIFS(Emissions[2041],Emissions[[Emission_type]:[Emission_type]],$B$37,Emissions[[Sector_group]:[Sector_group]],"Industry",Emissions[[Emissions_category]:[Emissions_category]],$B$21)/1000,"")</f>
        <v>0</v>
      </c>
      <c r="X37" s="30">
        <f>IFERROR(SUMIFS(Emissions[2042],Emissions[[Emission_type]:[Emission_type]],$B$37,Emissions[[Sector_group]:[Sector_group]],"Industry",Emissions[[Emissions_category]:[Emissions_category]],$B$21)/1000,"")</f>
        <v>0</v>
      </c>
      <c r="Y37" s="30">
        <f>IFERROR(SUMIFS(Emissions[2043],Emissions[[Emission_type]:[Emission_type]],$B$37,Emissions[[Sector_group]:[Sector_group]],"Industry",Emissions[[Emissions_category]:[Emissions_category]],$B$21)/1000,"")</f>
        <v>0</v>
      </c>
      <c r="Z37" s="30">
        <f>IFERROR(SUMIFS(Emissions[2044],Emissions[[Emission_type]:[Emission_type]],$B$37,Emissions[[Sector_group]:[Sector_group]],"Industry",Emissions[[Emissions_category]:[Emissions_category]],$B$21)/1000,"")</f>
        <v>0</v>
      </c>
      <c r="AA37" s="30">
        <f>IFERROR(SUMIFS(Emissions[2045],Emissions[[Emission_type]:[Emission_type]],$B$37,Emissions[[Sector_group]:[Sector_group]],"Industry",Emissions[[Emissions_category]:[Emissions_category]],$B$21)/1000,"")</f>
        <v>0</v>
      </c>
      <c r="AB37" s="30">
        <f>IFERROR(SUMIFS(Emissions[2046],Emissions[[Emission_type]:[Emission_type]],$B$37,Emissions[[Sector_group]:[Sector_group]],"Industry",Emissions[[Emissions_category]:[Emissions_category]],$B$21)/1000,"")</f>
        <v>0</v>
      </c>
      <c r="AC37" s="30">
        <f>IFERROR(SUMIFS(Emissions[2047],Emissions[[Emission_type]:[Emission_type]],$B$37,Emissions[[Sector_group]:[Sector_group]],"Industry",Emissions[[Emissions_category]:[Emissions_category]],$B$21)/1000,"")</f>
        <v>0</v>
      </c>
      <c r="AD37" s="30">
        <f>IFERROR(SUMIFS(Emissions[2048],Emissions[[Emission_type]:[Emission_type]],$B$37,Emissions[[Sector_group]:[Sector_group]],"Industry",Emissions[[Emissions_category]:[Emissions_category]],$B$21)/1000,"")</f>
        <v>0</v>
      </c>
      <c r="AE37" s="30">
        <f>IFERROR(SUMIFS(Emissions[2049],Emissions[[Emission_type]:[Emission_type]],$B$37,Emissions[[Sector_group]:[Sector_group]],"Industry",Emissions[[Emissions_category]:[Emissions_category]],$B$21)/1000,"")</f>
        <v>0</v>
      </c>
      <c r="AF37" s="30">
        <f>IFERROR(SUMIFS(Emissions[2050],Emissions[[Emission_type]:[Emission_type]],$B$37,Emissions[[Sector_group]:[Sector_group]],"Industry",Emissions[[Emissions_category]:[Emissions_category]],$B$21)/1000,"")</f>
        <v>0</v>
      </c>
      <c r="AG37" s="30">
        <f>IFERROR(SUMIFS(Emissions[2051],Emissions[[Emission_type]:[Emission_type]],$B$37,Emissions[[Sector_group]:[Sector_group]],"Industry",Emissions[[Emissions_category]:[Emissions_category]],$B$21)/1000,"")</f>
        <v>0</v>
      </c>
    </row>
    <row r="38" spans="1:33" x14ac:dyDescent="0.45">
      <c r="B38" s="24" t="s">
        <v>27</v>
      </c>
      <c r="C38" s="28">
        <f>IFERROR(SUMIFS(Emissions[2021],Emissions[[Emission_type]:[Emission_type]],$B$37,Emissions[[site_traded_status]:[site_traded_status]],$B38,Emissions[[Sector_group]:[Sector_group]],"Industry",Emissions[[Emissions_category]:[Emissions_category]],$B$21)/1000,"")</f>
        <v>0</v>
      </c>
      <c r="D38" s="28">
        <f>IFERROR(SUMIFS(Emissions[2022],Emissions[[Emission_type]:[Emission_type]],$B$37,Emissions[[site_traded_status]:[site_traded_status]],$B38,Emissions[[Sector_group]:[Sector_group]],"Industry",Emissions[[Emissions_category]:[Emissions_category]],$B$21)/1000,"")</f>
        <v>0</v>
      </c>
      <c r="E38" s="28">
        <f>IFERROR(SUMIFS(Emissions[2023],Emissions[[Emission_type]:[Emission_type]],$B$37,Emissions[[site_traded_status]:[site_traded_status]],$B38,Emissions[[Sector_group]:[Sector_group]],"Industry",Emissions[[Emissions_category]:[Emissions_category]],$B$21)/1000,"")</f>
        <v>0</v>
      </c>
      <c r="F38" s="28">
        <f>IFERROR(SUMIFS(Emissions[2024],Emissions[[Emission_type]:[Emission_type]],$B$37,Emissions[[site_traded_status]:[site_traded_status]],$B38,Emissions[[Sector_group]:[Sector_group]],"Industry",Emissions[[Emissions_category]:[Emissions_category]],$B$21)/1000,"")</f>
        <v>0</v>
      </c>
      <c r="G38" s="28">
        <f>IFERROR(SUMIFS(Emissions[2025],Emissions[[Emission_type]:[Emission_type]],$B$37,Emissions[[site_traded_status]:[site_traded_status]],$B38,Emissions[[Sector_group]:[Sector_group]],"Industry",Emissions[[Emissions_category]:[Emissions_category]],$B$21)/1000,"")</f>
        <v>0</v>
      </c>
      <c r="H38" s="28">
        <f>IFERROR(SUMIFS(Emissions[2026],Emissions[[Emission_type]:[Emission_type]],$B$37,Emissions[[site_traded_status]:[site_traded_status]],$B38,Emissions[[Sector_group]:[Sector_group]],"Industry",Emissions[[Emissions_category]:[Emissions_category]],$B$21)/1000,"")</f>
        <v>0</v>
      </c>
      <c r="I38" s="28">
        <f>IFERROR(SUMIFS(Emissions[2027],Emissions[[Emission_type]:[Emission_type]],$B$37,Emissions[[site_traded_status]:[site_traded_status]],$B38,Emissions[[Sector_group]:[Sector_group]],"Industry",Emissions[[Emissions_category]:[Emissions_category]],$B$21)/1000,"")</f>
        <v>0</v>
      </c>
      <c r="J38" s="28">
        <f>IFERROR(SUMIFS(Emissions[2028],Emissions[[Emission_type]:[Emission_type]],$B$37,Emissions[[site_traded_status]:[site_traded_status]],$B38,Emissions[[Sector_group]:[Sector_group]],"Industry",Emissions[[Emissions_category]:[Emissions_category]],$B$21)/1000,"")</f>
        <v>0</v>
      </c>
      <c r="K38" s="28">
        <f>IFERROR(SUMIFS(Emissions[2029],Emissions[[Emission_type]:[Emission_type]],$B$37,Emissions[[site_traded_status]:[site_traded_status]],$B38,Emissions[[Sector_group]:[Sector_group]],"Industry",Emissions[[Emissions_category]:[Emissions_category]],$B$21)/1000,"")</f>
        <v>0</v>
      </c>
      <c r="L38" s="28">
        <f>IFERROR(SUMIFS(Emissions[2030],Emissions[[Emission_type]:[Emission_type]],$B$37,Emissions[[site_traded_status]:[site_traded_status]],$B38,Emissions[[Sector_group]:[Sector_group]],"Industry",Emissions[[Emissions_category]:[Emissions_category]],$B$21)/1000,"")</f>
        <v>0</v>
      </c>
      <c r="M38" s="28">
        <f>IFERROR(SUMIFS(Emissions[2031],Emissions[[Emission_type]:[Emission_type]],$B$37,Emissions[[site_traded_status]:[site_traded_status]],$B38,Emissions[[Sector_group]:[Sector_group]],"Industry",Emissions[[Emissions_category]:[Emissions_category]],$B$21)/1000,"")</f>
        <v>0</v>
      </c>
      <c r="N38" s="28">
        <f>IFERROR(SUMIFS(Emissions[2032],Emissions[[Emission_type]:[Emission_type]],$B$37,Emissions[[site_traded_status]:[site_traded_status]],$B38,Emissions[[Sector_group]:[Sector_group]],"Industry",Emissions[[Emissions_category]:[Emissions_category]],$B$21)/1000,"")</f>
        <v>0</v>
      </c>
      <c r="O38" s="28">
        <f>IFERROR(SUMIFS(Emissions[2033],Emissions[[Emission_type]:[Emission_type]],$B$37,Emissions[[site_traded_status]:[site_traded_status]],$B38,Emissions[[Sector_group]:[Sector_group]],"Industry",Emissions[[Emissions_category]:[Emissions_category]],$B$21)/1000,"")</f>
        <v>0</v>
      </c>
      <c r="P38" s="28">
        <f>IFERROR(SUMIFS(Emissions[2034],Emissions[[Emission_type]:[Emission_type]],$B$37,Emissions[[site_traded_status]:[site_traded_status]],$B38,Emissions[[Sector_group]:[Sector_group]],"Industry",Emissions[[Emissions_category]:[Emissions_category]],$B$21)/1000,"")</f>
        <v>0</v>
      </c>
      <c r="Q38" s="28">
        <f>IFERROR(SUMIFS(Emissions[2035],Emissions[[Emission_type]:[Emission_type]],$B$37,Emissions[[site_traded_status]:[site_traded_status]],$B38,Emissions[[Sector_group]:[Sector_group]],"Industry",Emissions[[Emissions_category]:[Emissions_category]],$B$21)/1000,"")</f>
        <v>0</v>
      </c>
      <c r="R38" s="28">
        <f>IFERROR(SUMIFS(Emissions[2036],Emissions[[Emission_type]:[Emission_type]],$B$37,Emissions[[site_traded_status]:[site_traded_status]],$B38,Emissions[[Sector_group]:[Sector_group]],"Industry",Emissions[[Emissions_category]:[Emissions_category]],$B$21)/1000,"")</f>
        <v>0</v>
      </c>
      <c r="S38" s="28">
        <f>IFERROR(SUMIFS(Emissions[2037],Emissions[[Emission_type]:[Emission_type]],$B$37,Emissions[[site_traded_status]:[site_traded_status]],$B38,Emissions[[Sector_group]:[Sector_group]],"Industry",Emissions[[Emissions_category]:[Emissions_category]],$B$21)/1000,"")</f>
        <v>0</v>
      </c>
      <c r="T38" s="28">
        <f>IFERROR(SUMIFS(Emissions[2038],Emissions[[Emission_type]:[Emission_type]],$B$37,Emissions[[site_traded_status]:[site_traded_status]],$B38,Emissions[[Sector_group]:[Sector_group]],"Industry",Emissions[[Emissions_category]:[Emissions_category]],$B$21)/1000,"")</f>
        <v>0</v>
      </c>
      <c r="U38" s="28">
        <f>IFERROR(SUMIFS(Emissions[2039],Emissions[[Emission_type]:[Emission_type]],$B$37,Emissions[[site_traded_status]:[site_traded_status]],$B38,Emissions[[Sector_group]:[Sector_group]],"Industry",Emissions[[Emissions_category]:[Emissions_category]],$B$21)/1000,"")</f>
        <v>0</v>
      </c>
      <c r="V38" s="28">
        <f>IFERROR(SUMIFS(Emissions[2040],Emissions[[Emission_type]:[Emission_type]],$B$37,Emissions[[site_traded_status]:[site_traded_status]],$B38,Emissions[[Sector_group]:[Sector_group]],"Industry",Emissions[[Emissions_category]:[Emissions_category]],$B$21)/1000,"")</f>
        <v>0</v>
      </c>
      <c r="W38" s="28">
        <f>IFERROR(SUMIFS(Emissions[2041],Emissions[[Emission_type]:[Emission_type]],$B$37,Emissions[[site_traded_status]:[site_traded_status]],$B38,Emissions[[Sector_group]:[Sector_group]],"Industry",Emissions[[Emissions_category]:[Emissions_category]],$B$21)/1000,"")</f>
        <v>0</v>
      </c>
      <c r="X38" s="28">
        <f>IFERROR(SUMIFS(Emissions[2042],Emissions[[Emission_type]:[Emission_type]],$B$37,Emissions[[site_traded_status]:[site_traded_status]],$B38,Emissions[[Sector_group]:[Sector_group]],"Industry",Emissions[[Emissions_category]:[Emissions_category]],$B$21)/1000,"")</f>
        <v>0</v>
      </c>
      <c r="Y38" s="28">
        <f>IFERROR(SUMIFS(Emissions[2043],Emissions[[Emission_type]:[Emission_type]],$B$37,Emissions[[site_traded_status]:[site_traded_status]],$B38,Emissions[[Sector_group]:[Sector_group]],"Industry",Emissions[[Emissions_category]:[Emissions_category]],$B$21)/1000,"")</f>
        <v>0</v>
      </c>
      <c r="Z38" s="28">
        <f>IFERROR(SUMIFS(Emissions[2044],Emissions[[Emission_type]:[Emission_type]],$B$37,Emissions[[site_traded_status]:[site_traded_status]],$B38,Emissions[[Sector_group]:[Sector_group]],"Industry",Emissions[[Emissions_category]:[Emissions_category]],$B$21)/1000,"")</f>
        <v>0</v>
      </c>
      <c r="AA38" s="28">
        <f>IFERROR(SUMIFS(Emissions[2045],Emissions[[Emission_type]:[Emission_type]],$B$37,Emissions[[site_traded_status]:[site_traded_status]],$B38,Emissions[[Sector_group]:[Sector_group]],"Industry",Emissions[[Emissions_category]:[Emissions_category]],$B$21)/1000,"")</f>
        <v>0</v>
      </c>
      <c r="AB38" s="28">
        <f>IFERROR(SUMIFS(Emissions[2046],Emissions[[Emission_type]:[Emission_type]],$B$37,Emissions[[site_traded_status]:[site_traded_status]],$B38,Emissions[[Sector_group]:[Sector_group]],"Industry",Emissions[[Emissions_category]:[Emissions_category]],$B$21)/1000,"")</f>
        <v>0</v>
      </c>
      <c r="AC38" s="28">
        <f>IFERROR(SUMIFS(Emissions[2047],Emissions[[Emission_type]:[Emission_type]],$B$37,Emissions[[site_traded_status]:[site_traded_status]],$B38,Emissions[[Sector_group]:[Sector_group]],"Industry",Emissions[[Emissions_category]:[Emissions_category]],$B$21)/1000,"")</f>
        <v>0</v>
      </c>
      <c r="AD38" s="28">
        <f>IFERROR(SUMIFS(Emissions[2048],Emissions[[Emission_type]:[Emission_type]],$B$37,Emissions[[site_traded_status]:[site_traded_status]],$B38,Emissions[[Sector_group]:[Sector_group]],"Industry",Emissions[[Emissions_category]:[Emissions_category]],$B$21)/1000,"")</f>
        <v>0</v>
      </c>
      <c r="AE38" s="28">
        <f>IFERROR(SUMIFS(Emissions[2049],Emissions[[Emission_type]:[Emission_type]],$B$37,Emissions[[site_traded_status]:[site_traded_status]],$B38,Emissions[[Sector_group]:[Sector_group]],"Industry",Emissions[[Emissions_category]:[Emissions_category]],$B$21)/1000,"")</f>
        <v>0</v>
      </c>
      <c r="AF38" s="28">
        <f>IFERROR(SUMIFS(Emissions[2050],Emissions[[Emission_type]:[Emission_type]],$B$37,Emissions[[site_traded_status]:[site_traded_status]],$B38,Emissions[[Sector_group]:[Sector_group]],"Industry",Emissions[[Emissions_category]:[Emissions_category]],$B$21)/1000,"")</f>
        <v>0</v>
      </c>
      <c r="AG38" s="28">
        <f>IFERROR(SUMIFS(Emissions[2051],Emissions[[Emission_type]:[Emission_type]],$B$37,Emissions[[site_traded_status]:[site_traded_status]],$B38,Emissions[[Sector_group]:[Sector_group]],"Industry",Emissions[[Emissions_category]:[Emissions_category]],$B$21)/1000,"")</f>
        <v>0</v>
      </c>
    </row>
    <row r="39" spans="1:33" x14ac:dyDescent="0.45">
      <c r="B39" s="24" t="s">
        <v>63</v>
      </c>
      <c r="C39" s="28">
        <f>IFERROR(SUMIFS(Emissions[2021],Emissions[[Emission_type]:[Emission_type]],$B$37,Emissions[[site_traded_status]:[site_traded_status]],$B39,Emissions[[Sector_group]:[Sector_group]],"Industry",Emissions[[Emissions_category]:[Emissions_category]],$B$21)/1000,"")</f>
        <v>0</v>
      </c>
      <c r="D39" s="28">
        <f>IFERROR(SUMIFS(Emissions[2022],Emissions[[Emission_type]:[Emission_type]],$B$37,Emissions[[site_traded_status]:[site_traded_status]],$B39,Emissions[[Sector_group]:[Sector_group]],"Industry",Emissions[[Emissions_category]:[Emissions_category]],$B$21)/1000,"")</f>
        <v>0</v>
      </c>
      <c r="E39" s="28">
        <f>IFERROR(SUMIFS(Emissions[2023],Emissions[[Emission_type]:[Emission_type]],$B$37,Emissions[[site_traded_status]:[site_traded_status]],$B39,Emissions[[Sector_group]:[Sector_group]],"Industry",Emissions[[Emissions_category]:[Emissions_category]],$B$21)/1000,"")</f>
        <v>0</v>
      </c>
      <c r="F39" s="28">
        <f>IFERROR(SUMIFS(Emissions[2024],Emissions[[Emission_type]:[Emission_type]],$B$37,Emissions[[site_traded_status]:[site_traded_status]],$B39,Emissions[[Sector_group]:[Sector_group]],"Industry",Emissions[[Emissions_category]:[Emissions_category]],$B$21)/1000,"")</f>
        <v>0</v>
      </c>
      <c r="G39" s="28">
        <f>IFERROR(SUMIFS(Emissions[2025],Emissions[[Emission_type]:[Emission_type]],$B$37,Emissions[[site_traded_status]:[site_traded_status]],$B39,Emissions[[Sector_group]:[Sector_group]],"Industry",Emissions[[Emissions_category]:[Emissions_category]],$B$21)/1000,"")</f>
        <v>0</v>
      </c>
      <c r="H39" s="28">
        <f>IFERROR(SUMIFS(Emissions[2026],Emissions[[Emission_type]:[Emission_type]],$B$37,Emissions[[site_traded_status]:[site_traded_status]],$B39,Emissions[[Sector_group]:[Sector_group]],"Industry",Emissions[[Emissions_category]:[Emissions_category]],$B$21)/1000,"")</f>
        <v>0</v>
      </c>
      <c r="I39" s="28">
        <f>IFERROR(SUMIFS(Emissions[2027],Emissions[[Emission_type]:[Emission_type]],$B$37,Emissions[[site_traded_status]:[site_traded_status]],$B39,Emissions[[Sector_group]:[Sector_group]],"Industry",Emissions[[Emissions_category]:[Emissions_category]],$B$21)/1000,"")</f>
        <v>0</v>
      </c>
      <c r="J39" s="28">
        <f>IFERROR(SUMIFS(Emissions[2028],Emissions[[Emission_type]:[Emission_type]],$B$37,Emissions[[site_traded_status]:[site_traded_status]],$B39,Emissions[[Sector_group]:[Sector_group]],"Industry",Emissions[[Emissions_category]:[Emissions_category]],$B$21)/1000,"")</f>
        <v>0</v>
      </c>
      <c r="K39" s="28">
        <f>IFERROR(SUMIFS(Emissions[2029],Emissions[[Emission_type]:[Emission_type]],$B$37,Emissions[[site_traded_status]:[site_traded_status]],$B39,Emissions[[Sector_group]:[Sector_group]],"Industry",Emissions[[Emissions_category]:[Emissions_category]],$B$21)/1000,"")</f>
        <v>0</v>
      </c>
      <c r="L39" s="28">
        <f>IFERROR(SUMIFS(Emissions[2030],Emissions[[Emission_type]:[Emission_type]],$B$37,Emissions[[site_traded_status]:[site_traded_status]],$B39,Emissions[[Sector_group]:[Sector_group]],"Industry",Emissions[[Emissions_category]:[Emissions_category]],$B$21)/1000,"")</f>
        <v>0</v>
      </c>
      <c r="M39" s="28">
        <f>IFERROR(SUMIFS(Emissions[2031],Emissions[[Emission_type]:[Emission_type]],$B$37,Emissions[[site_traded_status]:[site_traded_status]],$B39,Emissions[[Sector_group]:[Sector_group]],"Industry",Emissions[[Emissions_category]:[Emissions_category]],$B$21)/1000,"")</f>
        <v>0</v>
      </c>
      <c r="N39" s="28">
        <f>IFERROR(SUMIFS(Emissions[2032],Emissions[[Emission_type]:[Emission_type]],$B$37,Emissions[[site_traded_status]:[site_traded_status]],$B39,Emissions[[Sector_group]:[Sector_group]],"Industry",Emissions[[Emissions_category]:[Emissions_category]],$B$21)/1000,"")</f>
        <v>0</v>
      </c>
      <c r="O39" s="28">
        <f>IFERROR(SUMIFS(Emissions[2033],Emissions[[Emission_type]:[Emission_type]],$B$37,Emissions[[site_traded_status]:[site_traded_status]],$B39,Emissions[[Sector_group]:[Sector_group]],"Industry",Emissions[[Emissions_category]:[Emissions_category]],$B$21)/1000,"")</f>
        <v>0</v>
      </c>
      <c r="P39" s="28">
        <f>IFERROR(SUMIFS(Emissions[2034],Emissions[[Emission_type]:[Emission_type]],$B$37,Emissions[[site_traded_status]:[site_traded_status]],$B39,Emissions[[Sector_group]:[Sector_group]],"Industry",Emissions[[Emissions_category]:[Emissions_category]],$B$21)/1000,"")</f>
        <v>0</v>
      </c>
      <c r="Q39" s="28">
        <f>IFERROR(SUMIFS(Emissions[2035],Emissions[[Emission_type]:[Emission_type]],$B$37,Emissions[[site_traded_status]:[site_traded_status]],$B39,Emissions[[Sector_group]:[Sector_group]],"Industry",Emissions[[Emissions_category]:[Emissions_category]],$B$21)/1000,"")</f>
        <v>0</v>
      </c>
      <c r="R39" s="28">
        <f>IFERROR(SUMIFS(Emissions[2036],Emissions[[Emission_type]:[Emission_type]],$B$37,Emissions[[site_traded_status]:[site_traded_status]],$B39,Emissions[[Sector_group]:[Sector_group]],"Industry",Emissions[[Emissions_category]:[Emissions_category]],$B$21)/1000,"")</f>
        <v>0</v>
      </c>
      <c r="S39" s="28">
        <f>IFERROR(SUMIFS(Emissions[2037],Emissions[[Emission_type]:[Emission_type]],$B$37,Emissions[[site_traded_status]:[site_traded_status]],$B39,Emissions[[Sector_group]:[Sector_group]],"Industry",Emissions[[Emissions_category]:[Emissions_category]],$B$21)/1000,"")</f>
        <v>0</v>
      </c>
      <c r="T39" s="28">
        <f>IFERROR(SUMIFS(Emissions[2038],Emissions[[Emission_type]:[Emission_type]],$B$37,Emissions[[site_traded_status]:[site_traded_status]],$B39,Emissions[[Sector_group]:[Sector_group]],"Industry",Emissions[[Emissions_category]:[Emissions_category]],$B$21)/1000,"")</f>
        <v>0</v>
      </c>
      <c r="U39" s="28">
        <f>IFERROR(SUMIFS(Emissions[2039],Emissions[[Emission_type]:[Emission_type]],$B$37,Emissions[[site_traded_status]:[site_traded_status]],$B39,Emissions[[Sector_group]:[Sector_group]],"Industry",Emissions[[Emissions_category]:[Emissions_category]],$B$21)/1000,"")</f>
        <v>0</v>
      </c>
      <c r="V39" s="28">
        <f>IFERROR(SUMIFS(Emissions[2040],Emissions[[Emission_type]:[Emission_type]],$B$37,Emissions[[site_traded_status]:[site_traded_status]],$B39,Emissions[[Sector_group]:[Sector_group]],"Industry",Emissions[[Emissions_category]:[Emissions_category]],$B$21)/1000,"")</f>
        <v>0</v>
      </c>
      <c r="W39" s="28">
        <f>IFERROR(SUMIFS(Emissions[2041],Emissions[[Emission_type]:[Emission_type]],$B$37,Emissions[[site_traded_status]:[site_traded_status]],$B39,Emissions[[Sector_group]:[Sector_group]],"Industry",Emissions[[Emissions_category]:[Emissions_category]],$B$21)/1000,"")</f>
        <v>0</v>
      </c>
      <c r="X39" s="28">
        <f>IFERROR(SUMIFS(Emissions[2042],Emissions[[Emission_type]:[Emission_type]],$B$37,Emissions[[site_traded_status]:[site_traded_status]],$B39,Emissions[[Sector_group]:[Sector_group]],"Industry",Emissions[[Emissions_category]:[Emissions_category]],$B$21)/1000,"")</f>
        <v>0</v>
      </c>
      <c r="Y39" s="28">
        <f>IFERROR(SUMIFS(Emissions[2043],Emissions[[Emission_type]:[Emission_type]],$B$37,Emissions[[site_traded_status]:[site_traded_status]],$B39,Emissions[[Sector_group]:[Sector_group]],"Industry",Emissions[[Emissions_category]:[Emissions_category]],$B$21)/1000,"")</f>
        <v>0</v>
      </c>
      <c r="Z39" s="28">
        <f>IFERROR(SUMIFS(Emissions[2044],Emissions[[Emission_type]:[Emission_type]],$B$37,Emissions[[site_traded_status]:[site_traded_status]],$B39,Emissions[[Sector_group]:[Sector_group]],"Industry",Emissions[[Emissions_category]:[Emissions_category]],$B$21)/1000,"")</f>
        <v>0</v>
      </c>
      <c r="AA39" s="28">
        <f>IFERROR(SUMIFS(Emissions[2045],Emissions[[Emission_type]:[Emission_type]],$B$37,Emissions[[site_traded_status]:[site_traded_status]],$B39,Emissions[[Sector_group]:[Sector_group]],"Industry",Emissions[[Emissions_category]:[Emissions_category]],$B$21)/1000,"")</f>
        <v>0</v>
      </c>
      <c r="AB39" s="28">
        <f>IFERROR(SUMIFS(Emissions[2046],Emissions[[Emission_type]:[Emission_type]],$B$37,Emissions[[site_traded_status]:[site_traded_status]],$B39,Emissions[[Sector_group]:[Sector_group]],"Industry",Emissions[[Emissions_category]:[Emissions_category]],$B$21)/1000,"")</f>
        <v>0</v>
      </c>
      <c r="AC39" s="28">
        <f>IFERROR(SUMIFS(Emissions[2047],Emissions[[Emission_type]:[Emission_type]],$B$37,Emissions[[site_traded_status]:[site_traded_status]],$B39,Emissions[[Sector_group]:[Sector_group]],"Industry",Emissions[[Emissions_category]:[Emissions_category]],$B$21)/1000,"")</f>
        <v>0</v>
      </c>
      <c r="AD39" s="28">
        <f>IFERROR(SUMIFS(Emissions[2048],Emissions[[Emission_type]:[Emission_type]],$B$37,Emissions[[site_traded_status]:[site_traded_status]],$B39,Emissions[[Sector_group]:[Sector_group]],"Industry",Emissions[[Emissions_category]:[Emissions_category]],$B$21)/1000,"")</f>
        <v>0</v>
      </c>
      <c r="AE39" s="28">
        <f>IFERROR(SUMIFS(Emissions[2049],Emissions[[Emission_type]:[Emission_type]],$B$37,Emissions[[site_traded_status]:[site_traded_status]],$B39,Emissions[[Sector_group]:[Sector_group]],"Industry",Emissions[[Emissions_category]:[Emissions_category]],$B$21)/1000,"")</f>
        <v>0</v>
      </c>
      <c r="AF39" s="28">
        <f>IFERROR(SUMIFS(Emissions[2050],Emissions[[Emission_type]:[Emission_type]],$B$37,Emissions[[site_traded_status]:[site_traded_status]],$B39,Emissions[[Sector_group]:[Sector_group]],"Industry",Emissions[[Emissions_category]:[Emissions_category]],$B$21)/1000,"")</f>
        <v>0</v>
      </c>
      <c r="AG39" s="28">
        <f>IFERROR(SUMIFS(Emissions[2051],Emissions[[Emission_type]:[Emission_type]],$B$37,Emissions[[site_traded_status]:[site_traded_status]],$B39,Emissions[[Sector_group]:[Sector_group]],"Industry",Emissions[[Emissions_category]:[Emissions_category]],$B$21)/1000,"")</f>
        <v>0</v>
      </c>
    </row>
    <row r="40" spans="1:33" x14ac:dyDescent="0.45">
      <c r="B40" s="35" t="s">
        <v>4</v>
      </c>
      <c r="C40" s="30">
        <f>IFERROR(SUMIFS(Emissions[2021],Emissions[[Emission_type]:[Emission_type]],$B$40,Emissions[[Sector_group]:[Sector_group]],"Industry",Emissions[[Emissions_category]:[Emissions_category]],$B$21)/1000,"")</f>
        <v>0</v>
      </c>
      <c r="D40" s="30">
        <f>IFERROR(SUMIFS(Emissions[2022],Emissions[[Emission_type]:[Emission_type]],$B$40,Emissions[[Sector_group]:[Sector_group]],"Industry",Emissions[[Emissions_category]:[Emissions_category]],$B$21)/1000,"")</f>
        <v>0</v>
      </c>
      <c r="E40" s="30">
        <f>IFERROR(SUMIFS(Emissions[2023],Emissions[[Emission_type]:[Emission_type]],$B$40,Emissions[[Sector_group]:[Sector_group]],"Industry",Emissions[[Emissions_category]:[Emissions_category]],$B$21)/1000,"")</f>
        <v>0</v>
      </c>
      <c r="F40" s="30">
        <f>IFERROR(SUMIFS(Emissions[2024],Emissions[[Emission_type]:[Emission_type]],$B$40,Emissions[[Sector_group]:[Sector_group]],"Industry",Emissions[[Emissions_category]:[Emissions_category]],$B$21)/1000,"")</f>
        <v>0</v>
      </c>
      <c r="G40" s="30">
        <f>IFERROR(SUMIFS(Emissions[2025],Emissions[[Emission_type]:[Emission_type]],$B$40,Emissions[[Sector_group]:[Sector_group]],"Industry",Emissions[[Emissions_category]:[Emissions_category]],$B$21)/1000,"")</f>
        <v>0</v>
      </c>
      <c r="H40" s="30">
        <f>IFERROR(SUMIFS(Emissions[2026],Emissions[[Emission_type]:[Emission_type]],$B$40,Emissions[[Sector_group]:[Sector_group]],"Industry",Emissions[[Emissions_category]:[Emissions_category]],$B$21)/1000,"")</f>
        <v>0</v>
      </c>
      <c r="I40" s="30">
        <f>IFERROR(SUMIFS(Emissions[2027],Emissions[[Emission_type]:[Emission_type]],$B$40,Emissions[[Sector_group]:[Sector_group]],"Industry",Emissions[[Emissions_category]:[Emissions_category]],$B$21)/1000,"")</f>
        <v>0</v>
      </c>
      <c r="J40" s="30">
        <f>IFERROR(SUMIFS(Emissions[2028],Emissions[[Emission_type]:[Emission_type]],$B$40,Emissions[[Sector_group]:[Sector_group]],"Industry",Emissions[[Emissions_category]:[Emissions_category]],$B$21)/1000,"")</f>
        <v>0</v>
      </c>
      <c r="K40" s="30">
        <f>IFERROR(SUMIFS(Emissions[2029],Emissions[[Emission_type]:[Emission_type]],$B$40,Emissions[[Sector_group]:[Sector_group]],"Industry",Emissions[[Emissions_category]:[Emissions_category]],$B$21)/1000,"")</f>
        <v>0</v>
      </c>
      <c r="L40" s="30">
        <f>IFERROR(SUMIFS(Emissions[2030],Emissions[[Emission_type]:[Emission_type]],$B$40,Emissions[[Sector_group]:[Sector_group]],"Industry",Emissions[[Emissions_category]:[Emissions_category]],$B$21)/1000,"")</f>
        <v>0</v>
      </c>
      <c r="M40" s="30">
        <f>IFERROR(SUMIFS(Emissions[2031],Emissions[[Emission_type]:[Emission_type]],$B$40,Emissions[[Sector_group]:[Sector_group]],"Industry",Emissions[[Emissions_category]:[Emissions_category]],$B$21)/1000,"")</f>
        <v>0</v>
      </c>
      <c r="N40" s="30">
        <f>IFERROR(SUMIFS(Emissions[2032],Emissions[[Emission_type]:[Emission_type]],$B$40,Emissions[[Sector_group]:[Sector_group]],"Industry",Emissions[[Emissions_category]:[Emissions_category]],$B$21)/1000,"")</f>
        <v>0</v>
      </c>
      <c r="O40" s="30">
        <f>IFERROR(SUMIFS(Emissions[2033],Emissions[[Emission_type]:[Emission_type]],$B$40,Emissions[[Sector_group]:[Sector_group]],"Industry",Emissions[[Emissions_category]:[Emissions_category]],$B$21)/1000,"")</f>
        <v>0</v>
      </c>
      <c r="P40" s="30">
        <f>IFERROR(SUMIFS(Emissions[2034],Emissions[[Emission_type]:[Emission_type]],$B$40,Emissions[[Sector_group]:[Sector_group]],"Industry",Emissions[[Emissions_category]:[Emissions_category]],$B$21)/1000,"")</f>
        <v>0</v>
      </c>
      <c r="Q40" s="30">
        <f>IFERROR(SUMIFS(Emissions[2035],Emissions[[Emission_type]:[Emission_type]],$B$40,Emissions[[Sector_group]:[Sector_group]],"Industry",Emissions[[Emissions_category]:[Emissions_category]],$B$21)/1000,"")</f>
        <v>0</v>
      </c>
      <c r="R40" s="30">
        <f>IFERROR(SUMIFS(Emissions[2036],Emissions[[Emission_type]:[Emission_type]],$B$40,Emissions[[Sector_group]:[Sector_group]],"Industry",Emissions[[Emissions_category]:[Emissions_category]],$B$21)/1000,"")</f>
        <v>0</v>
      </c>
      <c r="S40" s="30">
        <f>IFERROR(SUMIFS(Emissions[2037],Emissions[[Emission_type]:[Emission_type]],$B$40,Emissions[[Sector_group]:[Sector_group]],"Industry",Emissions[[Emissions_category]:[Emissions_category]],$B$21)/1000,"")</f>
        <v>0</v>
      </c>
      <c r="T40" s="30">
        <f>IFERROR(SUMIFS(Emissions[2038],Emissions[[Emission_type]:[Emission_type]],$B$40,Emissions[[Sector_group]:[Sector_group]],"Industry",Emissions[[Emissions_category]:[Emissions_category]],$B$21)/1000,"")</f>
        <v>0</v>
      </c>
      <c r="U40" s="30">
        <f>IFERROR(SUMIFS(Emissions[2039],Emissions[[Emission_type]:[Emission_type]],$B$40,Emissions[[Sector_group]:[Sector_group]],"Industry",Emissions[[Emissions_category]:[Emissions_category]],$B$21)/1000,"")</f>
        <v>0</v>
      </c>
      <c r="V40" s="30">
        <f>IFERROR(SUMIFS(Emissions[2040],Emissions[[Emission_type]:[Emission_type]],$B$40,Emissions[[Sector_group]:[Sector_group]],"Industry",Emissions[[Emissions_category]:[Emissions_category]],$B$21)/1000,"")</f>
        <v>0</v>
      </c>
      <c r="W40" s="30">
        <f>IFERROR(SUMIFS(Emissions[2041],Emissions[[Emission_type]:[Emission_type]],$B$40,Emissions[[Sector_group]:[Sector_group]],"Industry",Emissions[[Emissions_category]:[Emissions_category]],$B$21)/1000,"")</f>
        <v>0</v>
      </c>
      <c r="X40" s="30">
        <f>IFERROR(SUMIFS(Emissions[2042],Emissions[[Emission_type]:[Emission_type]],$B$40,Emissions[[Sector_group]:[Sector_group]],"Industry",Emissions[[Emissions_category]:[Emissions_category]],$B$21)/1000,"")</f>
        <v>0</v>
      </c>
      <c r="Y40" s="30">
        <f>IFERROR(SUMIFS(Emissions[2043],Emissions[[Emission_type]:[Emission_type]],$B$40,Emissions[[Sector_group]:[Sector_group]],"Industry",Emissions[[Emissions_category]:[Emissions_category]],$B$21)/1000,"")</f>
        <v>0</v>
      </c>
      <c r="Z40" s="30">
        <f>IFERROR(SUMIFS(Emissions[2044],Emissions[[Emission_type]:[Emission_type]],$B$40,Emissions[[Sector_group]:[Sector_group]],"Industry",Emissions[[Emissions_category]:[Emissions_category]],$B$21)/1000,"")</f>
        <v>0</v>
      </c>
      <c r="AA40" s="30">
        <f>IFERROR(SUMIFS(Emissions[2045],Emissions[[Emission_type]:[Emission_type]],$B$40,Emissions[[Sector_group]:[Sector_group]],"Industry",Emissions[[Emissions_category]:[Emissions_category]],$B$21)/1000,"")</f>
        <v>0</v>
      </c>
      <c r="AB40" s="30">
        <f>IFERROR(SUMIFS(Emissions[2046],Emissions[[Emission_type]:[Emission_type]],$B$40,Emissions[[Sector_group]:[Sector_group]],"Industry",Emissions[[Emissions_category]:[Emissions_category]],$B$21)/1000,"")</f>
        <v>0</v>
      </c>
      <c r="AC40" s="30">
        <f>IFERROR(SUMIFS(Emissions[2047],Emissions[[Emission_type]:[Emission_type]],$B$40,Emissions[[Sector_group]:[Sector_group]],"Industry",Emissions[[Emissions_category]:[Emissions_category]],$B$21)/1000,"")</f>
        <v>0</v>
      </c>
      <c r="AD40" s="30">
        <f>IFERROR(SUMIFS(Emissions[2048],Emissions[[Emission_type]:[Emission_type]],$B$40,Emissions[[Sector_group]:[Sector_group]],"Industry",Emissions[[Emissions_category]:[Emissions_category]],$B$21)/1000,"")</f>
        <v>0</v>
      </c>
      <c r="AE40" s="30">
        <f>IFERROR(SUMIFS(Emissions[2049],Emissions[[Emission_type]:[Emission_type]],$B$40,Emissions[[Sector_group]:[Sector_group]],"Industry",Emissions[[Emissions_category]:[Emissions_category]],$B$21)/1000,"")</f>
        <v>0</v>
      </c>
      <c r="AF40" s="30">
        <f>IFERROR(SUMIFS(Emissions[2050],Emissions[[Emission_type]:[Emission_type]],$B$40,Emissions[[Sector_group]:[Sector_group]],"Industry",Emissions[[Emissions_category]:[Emissions_category]],$B$21)/1000,"")</f>
        <v>0</v>
      </c>
      <c r="AG40" s="30">
        <f>IFERROR(SUMIFS(Emissions[2051],Emissions[[Emission_type]:[Emission_type]],$B$40,Emissions[[Sector_group]:[Sector_group]],"Industry",Emissions[[Emissions_category]:[Emissions_category]],$B$21)/1000,"")</f>
        <v>0</v>
      </c>
    </row>
    <row r="41" spans="1:33" x14ac:dyDescent="0.45">
      <c r="A41" s="20"/>
      <c r="B41" s="24" t="s">
        <v>27</v>
      </c>
      <c r="C41" s="28">
        <f>IFERROR(SUMIFS(Emissions[2021],Emissions[[Emission_type]:[Emission_type]],$B$37,Emissions[[site_traded_status]:[site_traded_status]],$B41,Emissions[[Sector_group]:[Sector_group]],"Industry",Emissions[[Emissions_category]:[Emissions_category]],$B$21)/1000,"")</f>
        <v>0</v>
      </c>
      <c r="D41" s="28">
        <f>IFERROR(SUMIFS(Emissions[2022],Emissions[[Emission_type]:[Emission_type]],$B$37,Emissions[[site_traded_status]:[site_traded_status]],$B41,Emissions[[Sector_group]:[Sector_group]],"Industry",Emissions[[Emissions_category]:[Emissions_category]],$B$21)/1000,"")</f>
        <v>0</v>
      </c>
      <c r="E41" s="28">
        <f>IFERROR(SUMIFS(Emissions[2023],Emissions[[Emission_type]:[Emission_type]],$B$37,Emissions[[site_traded_status]:[site_traded_status]],$B41,Emissions[[Sector_group]:[Sector_group]],"Industry",Emissions[[Emissions_category]:[Emissions_category]],$B$21)/1000,"")</f>
        <v>0</v>
      </c>
      <c r="F41" s="28">
        <f>IFERROR(SUMIFS(Emissions[2024],Emissions[[Emission_type]:[Emission_type]],$B$37,Emissions[[site_traded_status]:[site_traded_status]],$B41,Emissions[[Sector_group]:[Sector_group]],"Industry",Emissions[[Emissions_category]:[Emissions_category]],$B$21)/1000,"")</f>
        <v>0</v>
      </c>
      <c r="G41" s="28">
        <f>IFERROR(SUMIFS(Emissions[2025],Emissions[[Emission_type]:[Emission_type]],$B$37,Emissions[[site_traded_status]:[site_traded_status]],$B41,Emissions[[Sector_group]:[Sector_group]],"Industry",Emissions[[Emissions_category]:[Emissions_category]],$B$21)/1000,"")</f>
        <v>0</v>
      </c>
      <c r="H41" s="28">
        <f>IFERROR(SUMIFS(Emissions[2026],Emissions[[Emission_type]:[Emission_type]],$B$37,Emissions[[site_traded_status]:[site_traded_status]],$B41,Emissions[[Sector_group]:[Sector_group]],"Industry",Emissions[[Emissions_category]:[Emissions_category]],$B$21)/1000,"")</f>
        <v>0</v>
      </c>
      <c r="I41" s="28">
        <f>IFERROR(SUMIFS(Emissions[2027],Emissions[[Emission_type]:[Emission_type]],$B$37,Emissions[[site_traded_status]:[site_traded_status]],$B41,Emissions[[Sector_group]:[Sector_group]],"Industry",Emissions[[Emissions_category]:[Emissions_category]],$B$21)/1000,"")</f>
        <v>0</v>
      </c>
      <c r="J41" s="28">
        <f>IFERROR(SUMIFS(Emissions[2028],Emissions[[Emission_type]:[Emission_type]],$B$37,Emissions[[site_traded_status]:[site_traded_status]],$B41,Emissions[[Sector_group]:[Sector_group]],"Industry",Emissions[[Emissions_category]:[Emissions_category]],$B$21)/1000,"")</f>
        <v>0</v>
      </c>
      <c r="K41" s="28">
        <f>IFERROR(SUMIFS(Emissions[2029],Emissions[[Emission_type]:[Emission_type]],$B$37,Emissions[[site_traded_status]:[site_traded_status]],$B41,Emissions[[Sector_group]:[Sector_group]],"Industry",Emissions[[Emissions_category]:[Emissions_category]],$B$21)/1000,"")</f>
        <v>0</v>
      </c>
      <c r="L41" s="28">
        <f>IFERROR(SUMIFS(Emissions[2030],Emissions[[Emission_type]:[Emission_type]],$B$37,Emissions[[site_traded_status]:[site_traded_status]],$B41,Emissions[[Sector_group]:[Sector_group]],"Industry",Emissions[[Emissions_category]:[Emissions_category]],$B$21)/1000,"")</f>
        <v>0</v>
      </c>
      <c r="M41" s="28">
        <f>IFERROR(SUMIFS(Emissions[2031],Emissions[[Emission_type]:[Emission_type]],$B$37,Emissions[[site_traded_status]:[site_traded_status]],$B41,Emissions[[Sector_group]:[Sector_group]],"Industry",Emissions[[Emissions_category]:[Emissions_category]],$B$21)/1000,"")</f>
        <v>0</v>
      </c>
      <c r="N41" s="28">
        <f>IFERROR(SUMIFS(Emissions[2032],Emissions[[Emission_type]:[Emission_type]],$B$37,Emissions[[site_traded_status]:[site_traded_status]],$B41,Emissions[[Sector_group]:[Sector_group]],"Industry",Emissions[[Emissions_category]:[Emissions_category]],$B$21)/1000,"")</f>
        <v>0</v>
      </c>
      <c r="O41" s="28">
        <f>IFERROR(SUMIFS(Emissions[2033],Emissions[[Emission_type]:[Emission_type]],$B$37,Emissions[[site_traded_status]:[site_traded_status]],$B41,Emissions[[Sector_group]:[Sector_group]],"Industry",Emissions[[Emissions_category]:[Emissions_category]],$B$21)/1000,"")</f>
        <v>0</v>
      </c>
      <c r="P41" s="28">
        <f>IFERROR(SUMIFS(Emissions[2034],Emissions[[Emission_type]:[Emission_type]],$B$37,Emissions[[site_traded_status]:[site_traded_status]],$B41,Emissions[[Sector_group]:[Sector_group]],"Industry",Emissions[[Emissions_category]:[Emissions_category]],$B$21)/1000,"")</f>
        <v>0</v>
      </c>
      <c r="Q41" s="28">
        <f>IFERROR(SUMIFS(Emissions[2035],Emissions[[Emission_type]:[Emission_type]],$B$37,Emissions[[site_traded_status]:[site_traded_status]],$B41,Emissions[[Sector_group]:[Sector_group]],"Industry",Emissions[[Emissions_category]:[Emissions_category]],$B$21)/1000,"")</f>
        <v>0</v>
      </c>
      <c r="R41" s="28">
        <f>IFERROR(SUMIFS(Emissions[2036],Emissions[[Emission_type]:[Emission_type]],$B$37,Emissions[[site_traded_status]:[site_traded_status]],$B41,Emissions[[Sector_group]:[Sector_group]],"Industry",Emissions[[Emissions_category]:[Emissions_category]],$B$21)/1000,"")</f>
        <v>0</v>
      </c>
      <c r="S41" s="28">
        <f>IFERROR(SUMIFS(Emissions[2037],Emissions[[Emission_type]:[Emission_type]],$B$37,Emissions[[site_traded_status]:[site_traded_status]],$B41,Emissions[[Sector_group]:[Sector_group]],"Industry",Emissions[[Emissions_category]:[Emissions_category]],$B$21)/1000,"")</f>
        <v>0</v>
      </c>
      <c r="T41" s="28">
        <f>IFERROR(SUMIFS(Emissions[2038],Emissions[[Emission_type]:[Emission_type]],$B$37,Emissions[[site_traded_status]:[site_traded_status]],$B41,Emissions[[Sector_group]:[Sector_group]],"Industry",Emissions[[Emissions_category]:[Emissions_category]],$B$21)/1000,"")</f>
        <v>0</v>
      </c>
      <c r="U41" s="28">
        <f>IFERROR(SUMIFS(Emissions[2039],Emissions[[Emission_type]:[Emission_type]],$B$37,Emissions[[site_traded_status]:[site_traded_status]],$B41,Emissions[[Sector_group]:[Sector_group]],"Industry",Emissions[[Emissions_category]:[Emissions_category]],$B$21)/1000,"")</f>
        <v>0</v>
      </c>
      <c r="V41" s="28">
        <f>IFERROR(SUMIFS(Emissions[2040],Emissions[[Emission_type]:[Emission_type]],$B$37,Emissions[[site_traded_status]:[site_traded_status]],$B41,Emissions[[Sector_group]:[Sector_group]],"Industry",Emissions[[Emissions_category]:[Emissions_category]],$B$21)/1000,"")</f>
        <v>0</v>
      </c>
      <c r="W41" s="28">
        <f>IFERROR(SUMIFS(Emissions[2041],Emissions[[Emission_type]:[Emission_type]],$B$37,Emissions[[site_traded_status]:[site_traded_status]],$B41,Emissions[[Sector_group]:[Sector_group]],"Industry",Emissions[[Emissions_category]:[Emissions_category]],$B$21)/1000,"")</f>
        <v>0</v>
      </c>
      <c r="X41" s="28">
        <f>IFERROR(SUMIFS(Emissions[2042],Emissions[[Emission_type]:[Emission_type]],$B$37,Emissions[[site_traded_status]:[site_traded_status]],$B41,Emissions[[Sector_group]:[Sector_group]],"Industry",Emissions[[Emissions_category]:[Emissions_category]],$B$21)/1000,"")</f>
        <v>0</v>
      </c>
      <c r="Y41" s="28">
        <f>IFERROR(SUMIFS(Emissions[2043],Emissions[[Emission_type]:[Emission_type]],$B$37,Emissions[[site_traded_status]:[site_traded_status]],$B41,Emissions[[Sector_group]:[Sector_group]],"Industry",Emissions[[Emissions_category]:[Emissions_category]],$B$21)/1000,"")</f>
        <v>0</v>
      </c>
      <c r="Z41" s="28">
        <f>IFERROR(SUMIFS(Emissions[2044],Emissions[[Emission_type]:[Emission_type]],$B$37,Emissions[[site_traded_status]:[site_traded_status]],$B41,Emissions[[Sector_group]:[Sector_group]],"Industry",Emissions[[Emissions_category]:[Emissions_category]],$B$21)/1000,"")</f>
        <v>0</v>
      </c>
      <c r="AA41" s="28">
        <f>IFERROR(SUMIFS(Emissions[2045],Emissions[[Emission_type]:[Emission_type]],$B$37,Emissions[[site_traded_status]:[site_traded_status]],$B41,Emissions[[Sector_group]:[Sector_group]],"Industry",Emissions[[Emissions_category]:[Emissions_category]],$B$21)/1000,"")</f>
        <v>0</v>
      </c>
      <c r="AB41" s="28">
        <f>IFERROR(SUMIFS(Emissions[2046],Emissions[[Emission_type]:[Emission_type]],$B$37,Emissions[[site_traded_status]:[site_traded_status]],$B41,Emissions[[Sector_group]:[Sector_group]],"Industry",Emissions[[Emissions_category]:[Emissions_category]],$B$21)/1000,"")</f>
        <v>0</v>
      </c>
      <c r="AC41" s="28">
        <f>IFERROR(SUMIFS(Emissions[2047],Emissions[[Emission_type]:[Emission_type]],$B$37,Emissions[[site_traded_status]:[site_traded_status]],$B41,Emissions[[Sector_group]:[Sector_group]],"Industry",Emissions[[Emissions_category]:[Emissions_category]],$B$21)/1000,"")</f>
        <v>0</v>
      </c>
      <c r="AD41" s="28">
        <f>IFERROR(SUMIFS(Emissions[2048],Emissions[[Emission_type]:[Emission_type]],$B$37,Emissions[[site_traded_status]:[site_traded_status]],$B41,Emissions[[Sector_group]:[Sector_group]],"Industry",Emissions[[Emissions_category]:[Emissions_category]],$B$21)/1000,"")</f>
        <v>0</v>
      </c>
      <c r="AE41" s="28">
        <f>IFERROR(SUMIFS(Emissions[2049],Emissions[[Emission_type]:[Emission_type]],$B$37,Emissions[[site_traded_status]:[site_traded_status]],$B41,Emissions[[Sector_group]:[Sector_group]],"Industry",Emissions[[Emissions_category]:[Emissions_category]],$B$21)/1000,"")</f>
        <v>0</v>
      </c>
      <c r="AF41" s="28">
        <f>IFERROR(SUMIFS(Emissions[2050],Emissions[[Emission_type]:[Emission_type]],$B$37,Emissions[[site_traded_status]:[site_traded_status]],$B41,Emissions[[Sector_group]:[Sector_group]],"Industry",Emissions[[Emissions_category]:[Emissions_category]],$B$21)/1000,"")</f>
        <v>0</v>
      </c>
      <c r="AG41" s="28">
        <f>IFERROR(SUMIFS(Emissions[2051],Emissions[[Emission_type]:[Emission_type]],$B$37,Emissions[[site_traded_status]:[site_traded_status]],$B41,Emissions[[Sector_group]:[Sector_group]],"Industry",Emissions[[Emissions_category]:[Emissions_category]],$B$21)/1000,"")</f>
        <v>0</v>
      </c>
    </row>
    <row r="42" spans="1:33" x14ac:dyDescent="0.45">
      <c r="B42" s="24" t="s">
        <v>63</v>
      </c>
      <c r="C42" s="28">
        <f>IFERROR(SUMIFS(Emissions[2021],Emissions[[Emission_type]:[Emission_type]],$B$37,Emissions[[site_traded_status]:[site_traded_status]],$B42,Emissions[[Sector_group]:[Sector_group]],"Industry",Emissions[[Emissions_category]:[Emissions_category]],$B$21)/1000,"")</f>
        <v>0</v>
      </c>
      <c r="D42" s="28">
        <f>IFERROR(SUMIFS(Emissions[2022],Emissions[[Emission_type]:[Emission_type]],$B$37,Emissions[[site_traded_status]:[site_traded_status]],$B42,Emissions[[Sector_group]:[Sector_group]],"Industry",Emissions[[Emissions_category]:[Emissions_category]],$B$21)/1000,"")</f>
        <v>0</v>
      </c>
      <c r="E42" s="28">
        <f>IFERROR(SUMIFS(Emissions[2023],Emissions[[Emission_type]:[Emission_type]],$B$37,Emissions[[site_traded_status]:[site_traded_status]],$B42,Emissions[[Sector_group]:[Sector_group]],"Industry",Emissions[[Emissions_category]:[Emissions_category]],$B$21)/1000,"")</f>
        <v>0</v>
      </c>
      <c r="F42" s="28">
        <f>IFERROR(SUMIFS(Emissions[2024],Emissions[[Emission_type]:[Emission_type]],$B$37,Emissions[[site_traded_status]:[site_traded_status]],$B42,Emissions[[Sector_group]:[Sector_group]],"Industry",Emissions[[Emissions_category]:[Emissions_category]],$B$21)/1000,"")</f>
        <v>0</v>
      </c>
      <c r="G42" s="28">
        <f>IFERROR(SUMIFS(Emissions[2025],Emissions[[Emission_type]:[Emission_type]],$B$37,Emissions[[site_traded_status]:[site_traded_status]],$B42,Emissions[[Sector_group]:[Sector_group]],"Industry",Emissions[[Emissions_category]:[Emissions_category]],$B$21)/1000,"")</f>
        <v>0</v>
      </c>
      <c r="H42" s="28">
        <f>IFERROR(SUMIFS(Emissions[2026],Emissions[[Emission_type]:[Emission_type]],$B$37,Emissions[[site_traded_status]:[site_traded_status]],$B42,Emissions[[Sector_group]:[Sector_group]],"Industry",Emissions[[Emissions_category]:[Emissions_category]],$B$21)/1000,"")</f>
        <v>0</v>
      </c>
      <c r="I42" s="28">
        <f>IFERROR(SUMIFS(Emissions[2027],Emissions[[Emission_type]:[Emission_type]],$B$37,Emissions[[site_traded_status]:[site_traded_status]],$B42,Emissions[[Sector_group]:[Sector_group]],"Industry",Emissions[[Emissions_category]:[Emissions_category]],$B$21)/1000,"")</f>
        <v>0</v>
      </c>
      <c r="J42" s="28">
        <f>IFERROR(SUMIFS(Emissions[2028],Emissions[[Emission_type]:[Emission_type]],$B$37,Emissions[[site_traded_status]:[site_traded_status]],$B42,Emissions[[Sector_group]:[Sector_group]],"Industry",Emissions[[Emissions_category]:[Emissions_category]],$B$21)/1000,"")</f>
        <v>0</v>
      </c>
      <c r="K42" s="28">
        <f>IFERROR(SUMIFS(Emissions[2029],Emissions[[Emission_type]:[Emission_type]],$B$37,Emissions[[site_traded_status]:[site_traded_status]],$B42,Emissions[[Sector_group]:[Sector_group]],"Industry",Emissions[[Emissions_category]:[Emissions_category]],$B$21)/1000,"")</f>
        <v>0</v>
      </c>
      <c r="L42" s="28">
        <f>IFERROR(SUMIFS(Emissions[2030],Emissions[[Emission_type]:[Emission_type]],$B$37,Emissions[[site_traded_status]:[site_traded_status]],$B42,Emissions[[Sector_group]:[Sector_group]],"Industry",Emissions[[Emissions_category]:[Emissions_category]],$B$21)/1000,"")</f>
        <v>0</v>
      </c>
      <c r="M42" s="28">
        <f>IFERROR(SUMIFS(Emissions[2031],Emissions[[Emission_type]:[Emission_type]],$B$37,Emissions[[site_traded_status]:[site_traded_status]],$B42,Emissions[[Sector_group]:[Sector_group]],"Industry",Emissions[[Emissions_category]:[Emissions_category]],$B$21)/1000,"")</f>
        <v>0</v>
      </c>
      <c r="N42" s="28">
        <f>IFERROR(SUMIFS(Emissions[2032],Emissions[[Emission_type]:[Emission_type]],$B$37,Emissions[[site_traded_status]:[site_traded_status]],$B42,Emissions[[Sector_group]:[Sector_group]],"Industry",Emissions[[Emissions_category]:[Emissions_category]],$B$21)/1000,"")</f>
        <v>0</v>
      </c>
      <c r="O42" s="28">
        <f>IFERROR(SUMIFS(Emissions[2033],Emissions[[Emission_type]:[Emission_type]],$B$37,Emissions[[site_traded_status]:[site_traded_status]],$B42,Emissions[[Sector_group]:[Sector_group]],"Industry",Emissions[[Emissions_category]:[Emissions_category]],$B$21)/1000,"")</f>
        <v>0</v>
      </c>
      <c r="P42" s="28">
        <f>IFERROR(SUMIFS(Emissions[2034],Emissions[[Emission_type]:[Emission_type]],$B$37,Emissions[[site_traded_status]:[site_traded_status]],$B42,Emissions[[Sector_group]:[Sector_group]],"Industry",Emissions[[Emissions_category]:[Emissions_category]],$B$21)/1000,"")</f>
        <v>0</v>
      </c>
      <c r="Q42" s="28">
        <f>IFERROR(SUMIFS(Emissions[2035],Emissions[[Emission_type]:[Emission_type]],$B$37,Emissions[[site_traded_status]:[site_traded_status]],$B42,Emissions[[Sector_group]:[Sector_group]],"Industry",Emissions[[Emissions_category]:[Emissions_category]],$B$21)/1000,"")</f>
        <v>0</v>
      </c>
      <c r="R42" s="28">
        <f>IFERROR(SUMIFS(Emissions[2036],Emissions[[Emission_type]:[Emission_type]],$B$37,Emissions[[site_traded_status]:[site_traded_status]],$B42,Emissions[[Sector_group]:[Sector_group]],"Industry",Emissions[[Emissions_category]:[Emissions_category]],$B$21)/1000,"")</f>
        <v>0</v>
      </c>
      <c r="S42" s="28">
        <f>IFERROR(SUMIFS(Emissions[2037],Emissions[[Emission_type]:[Emission_type]],$B$37,Emissions[[site_traded_status]:[site_traded_status]],$B42,Emissions[[Sector_group]:[Sector_group]],"Industry",Emissions[[Emissions_category]:[Emissions_category]],$B$21)/1000,"")</f>
        <v>0</v>
      </c>
      <c r="T42" s="28">
        <f>IFERROR(SUMIFS(Emissions[2038],Emissions[[Emission_type]:[Emission_type]],$B$37,Emissions[[site_traded_status]:[site_traded_status]],$B42,Emissions[[Sector_group]:[Sector_group]],"Industry",Emissions[[Emissions_category]:[Emissions_category]],$B$21)/1000,"")</f>
        <v>0</v>
      </c>
      <c r="U42" s="28">
        <f>IFERROR(SUMIFS(Emissions[2039],Emissions[[Emission_type]:[Emission_type]],$B$37,Emissions[[site_traded_status]:[site_traded_status]],$B42,Emissions[[Sector_group]:[Sector_group]],"Industry",Emissions[[Emissions_category]:[Emissions_category]],$B$21)/1000,"")</f>
        <v>0</v>
      </c>
      <c r="V42" s="28">
        <f>IFERROR(SUMIFS(Emissions[2040],Emissions[[Emission_type]:[Emission_type]],$B$37,Emissions[[site_traded_status]:[site_traded_status]],$B42,Emissions[[Sector_group]:[Sector_group]],"Industry",Emissions[[Emissions_category]:[Emissions_category]],$B$21)/1000,"")</f>
        <v>0</v>
      </c>
      <c r="W42" s="28">
        <f>IFERROR(SUMIFS(Emissions[2041],Emissions[[Emission_type]:[Emission_type]],$B$37,Emissions[[site_traded_status]:[site_traded_status]],$B42,Emissions[[Sector_group]:[Sector_group]],"Industry",Emissions[[Emissions_category]:[Emissions_category]],$B$21)/1000,"")</f>
        <v>0</v>
      </c>
      <c r="X42" s="28">
        <f>IFERROR(SUMIFS(Emissions[2042],Emissions[[Emission_type]:[Emission_type]],$B$37,Emissions[[site_traded_status]:[site_traded_status]],$B42,Emissions[[Sector_group]:[Sector_group]],"Industry",Emissions[[Emissions_category]:[Emissions_category]],$B$21)/1000,"")</f>
        <v>0</v>
      </c>
      <c r="Y42" s="28">
        <f>IFERROR(SUMIFS(Emissions[2043],Emissions[[Emission_type]:[Emission_type]],$B$37,Emissions[[site_traded_status]:[site_traded_status]],$B42,Emissions[[Sector_group]:[Sector_group]],"Industry",Emissions[[Emissions_category]:[Emissions_category]],$B$21)/1000,"")</f>
        <v>0</v>
      </c>
      <c r="Z42" s="28">
        <f>IFERROR(SUMIFS(Emissions[2044],Emissions[[Emission_type]:[Emission_type]],$B$37,Emissions[[site_traded_status]:[site_traded_status]],$B42,Emissions[[Sector_group]:[Sector_group]],"Industry",Emissions[[Emissions_category]:[Emissions_category]],$B$21)/1000,"")</f>
        <v>0</v>
      </c>
      <c r="AA42" s="28">
        <f>IFERROR(SUMIFS(Emissions[2045],Emissions[[Emission_type]:[Emission_type]],$B$37,Emissions[[site_traded_status]:[site_traded_status]],$B42,Emissions[[Sector_group]:[Sector_group]],"Industry",Emissions[[Emissions_category]:[Emissions_category]],$B$21)/1000,"")</f>
        <v>0</v>
      </c>
      <c r="AB42" s="28">
        <f>IFERROR(SUMIFS(Emissions[2046],Emissions[[Emission_type]:[Emission_type]],$B$37,Emissions[[site_traded_status]:[site_traded_status]],$B42,Emissions[[Sector_group]:[Sector_group]],"Industry",Emissions[[Emissions_category]:[Emissions_category]],$B$21)/1000,"")</f>
        <v>0</v>
      </c>
      <c r="AC42" s="28">
        <f>IFERROR(SUMIFS(Emissions[2047],Emissions[[Emission_type]:[Emission_type]],$B$37,Emissions[[site_traded_status]:[site_traded_status]],$B42,Emissions[[Sector_group]:[Sector_group]],"Industry",Emissions[[Emissions_category]:[Emissions_category]],$B$21)/1000,"")</f>
        <v>0</v>
      </c>
      <c r="AD42" s="28">
        <f>IFERROR(SUMIFS(Emissions[2048],Emissions[[Emission_type]:[Emission_type]],$B$37,Emissions[[site_traded_status]:[site_traded_status]],$B42,Emissions[[Sector_group]:[Sector_group]],"Industry",Emissions[[Emissions_category]:[Emissions_category]],$B$21)/1000,"")</f>
        <v>0</v>
      </c>
      <c r="AE42" s="28">
        <f>IFERROR(SUMIFS(Emissions[2049],Emissions[[Emission_type]:[Emission_type]],$B$37,Emissions[[site_traded_status]:[site_traded_status]],$B42,Emissions[[Sector_group]:[Sector_group]],"Industry",Emissions[[Emissions_category]:[Emissions_category]],$B$21)/1000,"")</f>
        <v>0</v>
      </c>
      <c r="AF42" s="28">
        <f>IFERROR(SUMIFS(Emissions[2050],Emissions[[Emission_type]:[Emission_type]],$B$37,Emissions[[site_traded_status]:[site_traded_status]],$B42,Emissions[[Sector_group]:[Sector_group]],"Industry",Emissions[[Emissions_category]:[Emissions_category]],$B$21)/1000,"")</f>
        <v>0</v>
      </c>
      <c r="AG42" s="28">
        <f>IFERROR(SUMIFS(Emissions[2051],Emissions[[Emission_type]:[Emission_type]],$B$37,Emissions[[site_traded_status]:[site_traded_status]],$B42,Emissions[[Sector_group]:[Sector_group]],"Industry",Emissions[[Emissions_category]:[Emissions_category]],$B$21)/1000,"")</f>
        <v>0</v>
      </c>
    </row>
    <row r="43" spans="1:33" x14ac:dyDescent="0.45">
      <c r="B43" s="16"/>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row>
    <row r="44" spans="1:33" ht="23.25" customHeight="1" x14ac:dyDescent="0.65">
      <c r="A44" s="9" t="s">
        <v>126</v>
      </c>
      <c r="B44" s="8" t="s">
        <v>100</v>
      </c>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row>
    <row r="45" spans="1:33" ht="15.75" customHeight="1" x14ac:dyDescent="0.45">
      <c r="C45" s="6">
        <v>2021</v>
      </c>
      <c r="D45" s="6">
        <v>2022</v>
      </c>
      <c r="E45" s="6">
        <v>2023</v>
      </c>
      <c r="F45" s="6">
        <v>2024</v>
      </c>
      <c r="G45" s="6">
        <v>2025</v>
      </c>
      <c r="H45" s="6">
        <v>2026</v>
      </c>
      <c r="I45" s="6">
        <v>2027</v>
      </c>
      <c r="J45" s="6">
        <v>2028</v>
      </c>
      <c r="K45" s="6">
        <v>2029</v>
      </c>
      <c r="L45" s="6">
        <v>2030</v>
      </c>
      <c r="M45" s="6">
        <v>2031</v>
      </c>
      <c r="N45" s="6">
        <v>2032</v>
      </c>
      <c r="O45" s="6">
        <v>2033</v>
      </c>
      <c r="P45" s="6">
        <v>2034</v>
      </c>
      <c r="Q45" s="6">
        <v>2035</v>
      </c>
      <c r="R45" s="6">
        <v>2036</v>
      </c>
      <c r="S45" s="6">
        <v>2037</v>
      </c>
      <c r="T45" s="6">
        <v>2038</v>
      </c>
      <c r="U45" s="6">
        <v>2039</v>
      </c>
      <c r="V45" s="6">
        <v>2040</v>
      </c>
      <c r="W45" s="6">
        <v>2041</v>
      </c>
      <c r="X45" s="6">
        <v>2042</v>
      </c>
      <c r="Y45" s="6">
        <v>2043</v>
      </c>
      <c r="Z45" s="6">
        <v>2044</v>
      </c>
      <c r="AA45" s="6">
        <v>2045</v>
      </c>
      <c r="AB45" s="6">
        <v>2046</v>
      </c>
      <c r="AC45" s="6">
        <v>2047</v>
      </c>
      <c r="AD45" s="6">
        <v>2048</v>
      </c>
      <c r="AE45" s="6">
        <v>2049</v>
      </c>
      <c r="AF45" s="6">
        <v>2050</v>
      </c>
      <c r="AG45" s="6">
        <v>2051</v>
      </c>
    </row>
    <row r="46" spans="1:33" x14ac:dyDescent="0.45">
      <c r="A46" t="s">
        <v>14</v>
      </c>
      <c r="B46" s="33" t="s">
        <v>17</v>
      </c>
      <c r="C46" s="30">
        <f>IFERROR( SUMIFS(Emissions[2021],Emissions[[Sector]:[Sector]],$B46, Emissions[[Emissions_category]:[Emissions_category]],$B$21)/1000,"")</f>
        <v>0</v>
      </c>
      <c r="D46" s="30">
        <f>IFERROR( SUMIFS(Emissions[2022],Emissions[[Sector]:[Sector]],$B46, Emissions[[Emissions_category]:[Emissions_category]],$B$21)/1000,"")</f>
        <v>0</v>
      </c>
      <c r="E46" s="30">
        <f>IFERROR( SUMIFS(Emissions[2023],Emissions[[Sector]:[Sector]],$B46, Emissions[[Emissions_category]:[Emissions_category]],$B$21)/1000,"")</f>
        <v>0</v>
      </c>
      <c r="F46" s="30">
        <f>IFERROR( SUMIFS(Emissions[2024],Emissions[[Sector]:[Sector]],$B46, Emissions[[Emissions_category]:[Emissions_category]],$B$21)/1000,"")</f>
        <v>0</v>
      </c>
      <c r="G46" s="30">
        <f>IFERROR( SUMIFS(Emissions[2025],Emissions[[Sector]:[Sector]],$B46, Emissions[[Emissions_category]:[Emissions_category]],$B$21)/1000,"")</f>
        <v>0</v>
      </c>
      <c r="H46" s="30">
        <f>IFERROR( SUMIFS(Emissions[2026],Emissions[[Sector]:[Sector]],$B46, Emissions[[Emissions_category]:[Emissions_category]],$B$21)/1000,"")</f>
        <v>0</v>
      </c>
      <c r="I46" s="30">
        <f>IFERROR( SUMIFS(Emissions[2027],Emissions[[Sector]:[Sector]],$B46, Emissions[[Emissions_category]:[Emissions_category]],$B$21)/1000,"")</f>
        <v>0</v>
      </c>
      <c r="J46" s="30">
        <f>IFERROR( SUMIFS(Emissions[2028],Emissions[[Sector]:[Sector]],$B46, Emissions[[Emissions_category]:[Emissions_category]],$B$21)/1000,"")</f>
        <v>0</v>
      </c>
      <c r="K46" s="30">
        <f>IFERROR( SUMIFS(Emissions[2029],Emissions[[Sector]:[Sector]],$B46, Emissions[[Emissions_category]:[Emissions_category]],$B$21)/1000,"")</f>
        <v>0</v>
      </c>
      <c r="L46" s="30">
        <f>IFERROR( SUMIFS(Emissions[2030],Emissions[[Sector]:[Sector]],$B46, Emissions[[Emissions_category]:[Emissions_category]],$B$21)/1000,"")</f>
        <v>0</v>
      </c>
      <c r="M46" s="30">
        <f>IFERROR( SUMIFS(Emissions[2031],Emissions[[Sector]:[Sector]],$B46, Emissions[[Emissions_category]:[Emissions_category]],$B$21)/1000,"")</f>
        <v>0</v>
      </c>
      <c r="N46" s="30">
        <f>IFERROR( SUMIFS(Emissions[2032],Emissions[[Sector]:[Sector]],$B46, Emissions[[Emissions_category]:[Emissions_category]],$B$21)/1000,"")</f>
        <v>0</v>
      </c>
      <c r="O46" s="30">
        <f>IFERROR( SUMIFS(Emissions[2033],Emissions[[Sector]:[Sector]],$B46, Emissions[[Emissions_category]:[Emissions_category]],$B$21)/1000,"")</f>
        <v>0</v>
      </c>
      <c r="P46" s="30">
        <f>IFERROR( SUMIFS(Emissions[2034],Emissions[[Sector]:[Sector]],$B46, Emissions[[Emissions_category]:[Emissions_category]],$B$21)/1000,"")</f>
        <v>0</v>
      </c>
      <c r="Q46" s="30">
        <f>IFERROR( SUMIFS(Emissions[2035],Emissions[[Sector]:[Sector]],$B46, Emissions[[Emissions_category]:[Emissions_category]],$B$21)/1000,"")</f>
        <v>0</v>
      </c>
      <c r="R46" s="30">
        <f>IFERROR( SUMIFS(Emissions[2036],Emissions[[Sector]:[Sector]],$B46, Emissions[[Emissions_category]:[Emissions_category]],$B$21)/1000,"")</f>
        <v>0</v>
      </c>
      <c r="S46" s="30">
        <f>IFERROR( SUMIFS(Emissions[2037],Emissions[[Sector]:[Sector]],$B46, Emissions[[Emissions_category]:[Emissions_category]],$B$21)/1000,"")</f>
        <v>0</v>
      </c>
      <c r="T46" s="30">
        <f>IFERROR( SUMIFS(Emissions[2038],Emissions[[Sector]:[Sector]],$B46, Emissions[[Emissions_category]:[Emissions_category]],$B$21)/1000,"")</f>
        <v>0</v>
      </c>
      <c r="U46" s="30">
        <f>IFERROR( SUMIFS(Emissions[2039],Emissions[[Sector]:[Sector]],$B46, Emissions[[Emissions_category]:[Emissions_category]],$B$21)/1000,"")</f>
        <v>0</v>
      </c>
      <c r="V46" s="30">
        <f>IFERROR( SUMIFS(Emissions[2040],Emissions[[Sector]:[Sector]],$B46, Emissions[[Emissions_category]:[Emissions_category]],$B$21)/1000,"")</f>
        <v>0</v>
      </c>
      <c r="W46" s="30">
        <f>IFERROR( SUMIFS(Emissions[2041],Emissions[[Sector]:[Sector]],$B46, Emissions[[Emissions_category]:[Emissions_category]],$B$21)/1000,"")</f>
        <v>0</v>
      </c>
      <c r="X46" s="30">
        <f>IFERROR( SUMIFS(Emissions[2042],Emissions[[Sector]:[Sector]],$B46, Emissions[[Emissions_category]:[Emissions_category]],$B$21)/1000,"")</f>
        <v>0</v>
      </c>
      <c r="Y46" s="30">
        <f>IFERROR( SUMIFS(Emissions[2043],Emissions[[Sector]:[Sector]],$B46, Emissions[[Emissions_category]:[Emissions_category]],$B$21)/1000,"")</f>
        <v>0</v>
      </c>
      <c r="Z46" s="30">
        <f>IFERROR( SUMIFS(Emissions[2044],Emissions[[Sector]:[Sector]],$B46, Emissions[[Emissions_category]:[Emissions_category]],$B$21)/1000,"")</f>
        <v>0</v>
      </c>
      <c r="AA46" s="30">
        <f>IFERROR( SUMIFS(Emissions[2045],Emissions[[Sector]:[Sector]],$B46, Emissions[[Emissions_category]:[Emissions_category]],$B$21)/1000,"")</f>
        <v>0</v>
      </c>
      <c r="AB46" s="30">
        <f>IFERROR( SUMIFS(Emissions[2046],Emissions[[Sector]:[Sector]],$B46, Emissions[[Emissions_category]:[Emissions_category]],$B$21)/1000,"")</f>
        <v>0</v>
      </c>
      <c r="AC46" s="30">
        <f>IFERROR( SUMIFS(Emissions[2047],Emissions[[Sector]:[Sector]],$B46, Emissions[[Emissions_category]:[Emissions_category]],$B$21)/1000,"")</f>
        <v>0</v>
      </c>
      <c r="AD46" s="30">
        <f>IFERROR( SUMIFS(Emissions[2048],Emissions[[Sector]:[Sector]],$B46, Emissions[[Emissions_category]:[Emissions_category]],$B$21)/1000,"")</f>
        <v>0</v>
      </c>
      <c r="AE46" s="30">
        <f>IFERROR( SUMIFS(Emissions[2049],Emissions[[Sector]:[Sector]],$B46, Emissions[[Emissions_category]:[Emissions_category]],$B$21)/1000,"")</f>
        <v>0</v>
      </c>
      <c r="AF46" s="30">
        <f>IFERROR( SUMIFS(Emissions[2050],Emissions[[Sector]:[Sector]],$B46, Emissions[[Emissions_category]:[Emissions_category]],$B$21)/1000,"")</f>
        <v>0</v>
      </c>
      <c r="AG46" s="30">
        <f>IFERROR( SUMIFS(Emissions[2051],Emissions[[Sector]:[Sector]],$B46, Emissions[[Emissions_category]:[Emissions_category]],$B$21)/1000,"")</f>
        <v>0</v>
      </c>
    </row>
    <row r="47" spans="1:33" x14ac:dyDescent="0.45">
      <c r="B47" s="12" t="s">
        <v>18</v>
      </c>
      <c r="C47" s="28">
        <f>IFERROR(-SUMIFS(Emissions[2021], Emissions[[Emissions_category]:[Emissions_category]], $B$47, Emissions[[Sector]:[Sector]], $B$46)/1000,"")</f>
        <v>0</v>
      </c>
      <c r="D47" s="28">
        <f>IFERROR(-SUMIFS(Emissions[2022], Emissions[[Emissions_category]:[Emissions_category]], $B$47, Emissions[[Sector]:[Sector]], $B$46)/1000,"")</f>
        <v>0</v>
      </c>
      <c r="E47" s="28">
        <f>IFERROR(-SUMIFS(Emissions[2023], Emissions[[Emissions_category]:[Emissions_category]], $B$47, Emissions[[Sector]:[Sector]], $B$46)/1000,"")</f>
        <v>0</v>
      </c>
      <c r="F47" s="28">
        <f>IFERROR(-SUMIFS(Emissions[2024], Emissions[[Emissions_category]:[Emissions_category]], $B$47, Emissions[[Sector]:[Sector]], $B$46)/1000,"")</f>
        <v>0</v>
      </c>
      <c r="G47" s="28">
        <f>IFERROR(-SUMIFS(Emissions[2025], Emissions[[Emissions_category]:[Emissions_category]], $B$47, Emissions[[Sector]:[Sector]], $B$46)/1000,"")</f>
        <v>0</v>
      </c>
      <c r="H47" s="28">
        <f>IFERROR(-SUMIFS(Emissions[2026], Emissions[[Emissions_category]:[Emissions_category]], $B$47, Emissions[[Sector]:[Sector]], $B$46)/1000,"")</f>
        <v>0</v>
      </c>
      <c r="I47" s="28">
        <f>IFERROR(-SUMIFS(Emissions[2027], Emissions[[Emissions_category]:[Emissions_category]], $B$47, Emissions[[Sector]:[Sector]], $B$46)/1000,"")</f>
        <v>0</v>
      </c>
      <c r="J47" s="28">
        <f>IFERROR(-SUMIFS(Emissions[2028], Emissions[[Emissions_category]:[Emissions_category]], $B$47, Emissions[[Sector]:[Sector]], $B$46)/1000,"")</f>
        <v>0</v>
      </c>
      <c r="K47" s="28">
        <f>IFERROR(-SUMIFS(Emissions[2029], Emissions[[Emissions_category]:[Emissions_category]], $B$47, Emissions[[Sector]:[Sector]], $B$46)/1000,"")</f>
        <v>0</v>
      </c>
      <c r="L47" s="28">
        <f>IFERROR(-SUMIFS(Emissions[2030], Emissions[[Emissions_category]:[Emissions_category]], $B$47, Emissions[[Sector]:[Sector]], $B$46)/1000,"")</f>
        <v>0</v>
      </c>
      <c r="M47" s="28">
        <f>IFERROR(-SUMIFS(Emissions[2031], Emissions[[Emissions_category]:[Emissions_category]], $B$47, Emissions[[Sector]:[Sector]], $B$46)/1000,"")</f>
        <v>0</v>
      </c>
      <c r="N47" s="28">
        <f>IFERROR(-SUMIFS(Emissions[2032], Emissions[[Emissions_category]:[Emissions_category]], $B$47, Emissions[[Sector]:[Sector]], $B$46)/1000,"")</f>
        <v>0</v>
      </c>
      <c r="O47" s="28">
        <f>IFERROR(-SUMIFS(Emissions[2033], Emissions[[Emissions_category]:[Emissions_category]], $B$47, Emissions[[Sector]:[Sector]], $B$46)/1000,"")</f>
        <v>0</v>
      </c>
      <c r="P47" s="28">
        <f>IFERROR(-SUMIFS(Emissions[2034], Emissions[[Emissions_category]:[Emissions_category]], $B$47, Emissions[[Sector]:[Sector]], $B$46)/1000,"")</f>
        <v>0</v>
      </c>
      <c r="Q47" s="28">
        <f>IFERROR(-SUMIFS(Emissions[2035], Emissions[[Emissions_category]:[Emissions_category]], $B$47, Emissions[[Sector]:[Sector]], $B$46)/1000,"")</f>
        <v>0</v>
      </c>
      <c r="R47" s="28">
        <f>IFERROR(-SUMIFS(Emissions[2036], Emissions[[Emissions_category]:[Emissions_category]], $B$47, Emissions[[Sector]:[Sector]], $B$46)/1000,"")</f>
        <v>0</v>
      </c>
      <c r="S47" s="28">
        <f>IFERROR(-SUMIFS(Emissions[2037], Emissions[[Emissions_category]:[Emissions_category]], $B$47, Emissions[[Sector]:[Sector]], $B$46)/1000,"")</f>
        <v>0</v>
      </c>
      <c r="T47" s="28">
        <f>IFERROR(-SUMIFS(Emissions[2038], Emissions[[Emissions_category]:[Emissions_category]], $B$47, Emissions[[Sector]:[Sector]], $B$46)/1000,"")</f>
        <v>0</v>
      </c>
      <c r="U47" s="28">
        <f>IFERROR(-SUMIFS(Emissions[2039], Emissions[[Emissions_category]:[Emissions_category]], $B$47, Emissions[[Sector]:[Sector]], $B$46)/1000,"")</f>
        <v>0</v>
      </c>
      <c r="V47" s="28">
        <f>IFERROR(-SUMIFS(Emissions[2040], Emissions[[Emissions_category]:[Emissions_category]], $B$47, Emissions[[Sector]:[Sector]], $B$46)/1000,"")</f>
        <v>0</v>
      </c>
      <c r="W47" s="28">
        <f>IFERROR(-SUMIFS(Emissions[2041], Emissions[[Emissions_category]:[Emissions_category]], $B$47, Emissions[[Sector]:[Sector]], $B$46)/1000,"")</f>
        <v>0</v>
      </c>
      <c r="X47" s="28">
        <f>IFERROR(-SUMIFS(Emissions[2042], Emissions[[Emissions_category]:[Emissions_category]], $B$47, Emissions[[Sector]:[Sector]], $B$46)/1000,"")</f>
        <v>0</v>
      </c>
      <c r="Y47" s="28">
        <f>IFERROR(-SUMIFS(Emissions[2043], Emissions[[Emissions_category]:[Emissions_category]], $B$47, Emissions[[Sector]:[Sector]], $B$46)/1000,"")</f>
        <v>0</v>
      </c>
      <c r="Z47" s="28">
        <f>IFERROR(-SUMIFS(Emissions[2044], Emissions[[Emissions_category]:[Emissions_category]], $B$47, Emissions[[Sector]:[Sector]], $B$46)/1000,"")</f>
        <v>0</v>
      </c>
      <c r="AA47" s="28">
        <f>IFERROR(-SUMIFS(Emissions[2045], Emissions[[Emissions_category]:[Emissions_category]], $B$47, Emissions[[Sector]:[Sector]], $B$46)/1000,"")</f>
        <v>0</v>
      </c>
      <c r="AB47" s="28">
        <f>IFERROR(-SUMIFS(Emissions[2046], Emissions[[Emissions_category]:[Emissions_category]], $B$47, Emissions[[Sector]:[Sector]], $B$46)/1000,"")</f>
        <v>0</v>
      </c>
      <c r="AC47" s="28">
        <f>IFERROR(-SUMIFS(Emissions[2047], Emissions[[Emissions_category]:[Emissions_category]], $B$47, Emissions[[Sector]:[Sector]], $B$46)/1000,"")</f>
        <v>0</v>
      </c>
      <c r="AD47" s="28">
        <f>IFERROR(-SUMIFS(Emissions[2048], Emissions[[Emissions_category]:[Emissions_category]], $B$47, Emissions[[Sector]:[Sector]], $B$46)/1000,"")</f>
        <v>0</v>
      </c>
      <c r="AE47" s="28">
        <f>IFERROR(-SUMIFS(Emissions[2049], Emissions[[Emissions_category]:[Emissions_category]], $B$47, Emissions[[Sector]:[Sector]], $B$46)/1000,"")</f>
        <v>0</v>
      </c>
      <c r="AF47" s="28">
        <f>IFERROR(-SUMIFS(Emissions[2050], Emissions[[Emissions_category]:[Emissions_category]], $B$47, Emissions[[Sector]:[Sector]], $B$46)/1000,"")</f>
        <v>0</v>
      </c>
      <c r="AG47" s="28">
        <f>IFERROR(-SUMIFS(Emissions[2051], Emissions[[Emissions_category]:[Emissions_category]], $B$47, Emissions[[Sector]:[Sector]], $B$46)/1000,"")</f>
        <v>0</v>
      </c>
    </row>
    <row r="48" spans="1:33" x14ac:dyDescent="0.45">
      <c r="B48" s="12" t="s">
        <v>19</v>
      </c>
      <c r="C48" s="28">
        <f>IFERROR(-C47+C46,"")</f>
        <v>0</v>
      </c>
      <c r="D48" s="28">
        <f t="shared" ref="D48:AG48" si="4">IFERROR(-D47+D46,"")</f>
        <v>0</v>
      </c>
      <c r="E48" s="28">
        <f t="shared" si="4"/>
        <v>0</v>
      </c>
      <c r="F48" s="28">
        <f t="shared" si="4"/>
        <v>0</v>
      </c>
      <c r="G48" s="28">
        <f t="shared" si="4"/>
        <v>0</v>
      </c>
      <c r="H48" s="28">
        <f t="shared" si="4"/>
        <v>0</v>
      </c>
      <c r="I48" s="28">
        <f t="shared" si="4"/>
        <v>0</v>
      </c>
      <c r="J48" s="28">
        <f t="shared" si="4"/>
        <v>0</v>
      </c>
      <c r="K48" s="28">
        <f t="shared" si="4"/>
        <v>0</v>
      </c>
      <c r="L48" s="28">
        <f t="shared" si="4"/>
        <v>0</v>
      </c>
      <c r="M48" s="28">
        <f t="shared" si="4"/>
        <v>0</v>
      </c>
      <c r="N48" s="28">
        <f t="shared" si="4"/>
        <v>0</v>
      </c>
      <c r="O48" s="28">
        <f t="shared" si="4"/>
        <v>0</v>
      </c>
      <c r="P48" s="28">
        <f t="shared" si="4"/>
        <v>0</v>
      </c>
      <c r="Q48" s="28">
        <f t="shared" si="4"/>
        <v>0</v>
      </c>
      <c r="R48" s="28">
        <f t="shared" si="4"/>
        <v>0</v>
      </c>
      <c r="S48" s="28">
        <f t="shared" si="4"/>
        <v>0</v>
      </c>
      <c r="T48" s="28">
        <f t="shared" si="4"/>
        <v>0</v>
      </c>
      <c r="U48" s="28">
        <f t="shared" si="4"/>
        <v>0</v>
      </c>
      <c r="V48" s="28">
        <f t="shared" si="4"/>
        <v>0</v>
      </c>
      <c r="W48" s="28">
        <f t="shared" si="4"/>
        <v>0</v>
      </c>
      <c r="X48" s="28">
        <f t="shared" si="4"/>
        <v>0</v>
      </c>
      <c r="Y48" s="28">
        <f t="shared" si="4"/>
        <v>0</v>
      </c>
      <c r="Z48" s="28">
        <f t="shared" si="4"/>
        <v>0</v>
      </c>
      <c r="AA48" s="28">
        <f t="shared" si="4"/>
        <v>0</v>
      </c>
      <c r="AB48" s="28">
        <f t="shared" si="4"/>
        <v>0</v>
      </c>
      <c r="AC48" s="28">
        <f t="shared" si="4"/>
        <v>0</v>
      </c>
      <c r="AD48" s="28">
        <f t="shared" si="4"/>
        <v>0</v>
      </c>
      <c r="AE48" s="28">
        <f t="shared" si="4"/>
        <v>0</v>
      </c>
      <c r="AF48" s="28">
        <f t="shared" si="4"/>
        <v>0</v>
      </c>
      <c r="AG48" s="28">
        <f t="shared" si="4"/>
        <v>0</v>
      </c>
    </row>
    <row r="49" spans="2:33" x14ac:dyDescent="0.45">
      <c r="B49" s="67" t="s">
        <v>272</v>
      </c>
      <c r="C49" s="30">
        <f>IFERROR( SUMIFS(Emissions[2021],Emissions[[Sector]:[Sector]],$B49, Emissions[[Emissions_category]:[Emissions_category]],$B$21)/1000,"")</f>
        <v>0</v>
      </c>
      <c r="D49" s="30">
        <f>IFERROR( SUMIFS(Emissions[2022],Emissions[[Sector]:[Sector]],$B49, Emissions[[Emissions_category]:[Emissions_category]],$B$21)/1000,"")</f>
        <v>0</v>
      </c>
      <c r="E49" s="30">
        <f>IFERROR( SUMIFS(Emissions[2023],Emissions[[Sector]:[Sector]],$B49, Emissions[[Emissions_category]:[Emissions_category]],$B$21)/1000,"")</f>
        <v>0</v>
      </c>
      <c r="F49" s="30">
        <f>IFERROR( SUMIFS(Emissions[2024],Emissions[[Sector]:[Sector]],$B49, Emissions[[Emissions_category]:[Emissions_category]],$B$21)/1000,"")</f>
        <v>0</v>
      </c>
      <c r="G49" s="30">
        <f>IFERROR( SUMIFS(Emissions[2025],Emissions[[Sector]:[Sector]],$B49, Emissions[[Emissions_category]:[Emissions_category]],$B$21)/1000,"")</f>
        <v>0</v>
      </c>
      <c r="H49" s="30">
        <f>IFERROR( SUMIFS(Emissions[2026],Emissions[[Sector]:[Sector]],$B49, Emissions[[Emissions_category]:[Emissions_category]],$B$21)/1000,"")</f>
        <v>0</v>
      </c>
      <c r="I49" s="30">
        <f>IFERROR( SUMIFS(Emissions[2027],Emissions[[Sector]:[Sector]],$B49, Emissions[[Emissions_category]:[Emissions_category]],$B$21)/1000,"")</f>
        <v>0</v>
      </c>
      <c r="J49" s="30">
        <f>IFERROR( SUMIFS(Emissions[2028],Emissions[[Sector]:[Sector]],$B49, Emissions[[Emissions_category]:[Emissions_category]],$B$21)/1000,"")</f>
        <v>0</v>
      </c>
      <c r="K49" s="30">
        <f>IFERROR( SUMIFS(Emissions[2029],Emissions[[Sector]:[Sector]],$B49, Emissions[[Emissions_category]:[Emissions_category]],$B$21)/1000,"")</f>
        <v>0</v>
      </c>
      <c r="L49" s="30">
        <f>IFERROR( SUMIFS(Emissions[2030],Emissions[[Sector]:[Sector]],$B49, Emissions[[Emissions_category]:[Emissions_category]],$B$21)/1000,"")</f>
        <v>0</v>
      </c>
      <c r="M49" s="30">
        <f>IFERROR( SUMIFS(Emissions[2031],Emissions[[Sector]:[Sector]],$B49, Emissions[[Emissions_category]:[Emissions_category]],$B$21)/1000,"")</f>
        <v>0</v>
      </c>
      <c r="N49" s="30">
        <f>IFERROR( SUMIFS(Emissions[2032],Emissions[[Sector]:[Sector]],$B49, Emissions[[Emissions_category]:[Emissions_category]],$B$21)/1000,"")</f>
        <v>0</v>
      </c>
      <c r="O49" s="30">
        <f>IFERROR( SUMIFS(Emissions[2033],Emissions[[Sector]:[Sector]],$B49, Emissions[[Emissions_category]:[Emissions_category]],$B$21)/1000,"")</f>
        <v>0</v>
      </c>
      <c r="P49" s="30">
        <f>IFERROR( SUMIFS(Emissions[2034],Emissions[[Sector]:[Sector]],$B49, Emissions[[Emissions_category]:[Emissions_category]],$B$21)/1000,"")</f>
        <v>0</v>
      </c>
      <c r="Q49" s="30">
        <f>IFERROR( SUMIFS(Emissions[2035],Emissions[[Sector]:[Sector]],$B49, Emissions[[Emissions_category]:[Emissions_category]],$B$21)/1000,"")</f>
        <v>0</v>
      </c>
      <c r="R49" s="30">
        <f>IFERROR( SUMIFS(Emissions[2036],Emissions[[Sector]:[Sector]],$B49, Emissions[[Emissions_category]:[Emissions_category]],$B$21)/1000,"")</f>
        <v>0</v>
      </c>
      <c r="S49" s="30">
        <f>IFERROR( SUMIFS(Emissions[2037],Emissions[[Sector]:[Sector]],$B49, Emissions[[Emissions_category]:[Emissions_category]],$B$21)/1000,"")</f>
        <v>0</v>
      </c>
      <c r="T49" s="30">
        <f>IFERROR( SUMIFS(Emissions[2038],Emissions[[Sector]:[Sector]],$B49, Emissions[[Emissions_category]:[Emissions_category]],$B$21)/1000,"")</f>
        <v>0</v>
      </c>
      <c r="U49" s="30">
        <f>IFERROR( SUMIFS(Emissions[2039],Emissions[[Sector]:[Sector]],$B49, Emissions[[Emissions_category]:[Emissions_category]],$B$21)/1000,"")</f>
        <v>0</v>
      </c>
      <c r="V49" s="30">
        <f>IFERROR( SUMIFS(Emissions[2040],Emissions[[Sector]:[Sector]],$B49, Emissions[[Emissions_category]:[Emissions_category]],$B$21)/1000,"")</f>
        <v>0</v>
      </c>
      <c r="W49" s="30">
        <f>IFERROR( SUMIFS(Emissions[2041],Emissions[[Sector]:[Sector]],$B49, Emissions[[Emissions_category]:[Emissions_category]],$B$21)/1000,"")</f>
        <v>0</v>
      </c>
      <c r="X49" s="30">
        <f>IFERROR( SUMIFS(Emissions[2042],Emissions[[Sector]:[Sector]],$B49, Emissions[[Emissions_category]:[Emissions_category]],$B$21)/1000,"")</f>
        <v>0</v>
      </c>
      <c r="Y49" s="30">
        <f>IFERROR( SUMIFS(Emissions[2043],Emissions[[Sector]:[Sector]],$B49, Emissions[[Emissions_category]:[Emissions_category]],$B$21)/1000,"")</f>
        <v>0</v>
      </c>
      <c r="Z49" s="30">
        <f>IFERROR( SUMIFS(Emissions[2044],Emissions[[Sector]:[Sector]],$B49, Emissions[[Emissions_category]:[Emissions_category]],$B$21)/1000,"")</f>
        <v>0</v>
      </c>
      <c r="AA49" s="30">
        <f>IFERROR( SUMIFS(Emissions[2045],Emissions[[Sector]:[Sector]],$B49, Emissions[[Emissions_category]:[Emissions_category]],$B$21)/1000,"")</f>
        <v>0</v>
      </c>
      <c r="AB49" s="30">
        <f>IFERROR( SUMIFS(Emissions[2046],Emissions[[Sector]:[Sector]],$B49, Emissions[[Emissions_category]:[Emissions_category]],$B$21)/1000,"")</f>
        <v>0</v>
      </c>
      <c r="AC49" s="30">
        <f>IFERROR( SUMIFS(Emissions[2047],Emissions[[Sector]:[Sector]],$B49, Emissions[[Emissions_category]:[Emissions_category]],$B$21)/1000,"")</f>
        <v>0</v>
      </c>
      <c r="AD49" s="30">
        <f>IFERROR( SUMIFS(Emissions[2048],Emissions[[Sector]:[Sector]],$B49, Emissions[[Emissions_category]:[Emissions_category]],$B$21)/1000,"")</f>
        <v>0</v>
      </c>
      <c r="AE49" s="30">
        <f>IFERROR( SUMIFS(Emissions[2049],Emissions[[Sector]:[Sector]],$B49, Emissions[[Emissions_category]:[Emissions_category]],$B$21)/1000,"")</f>
        <v>0</v>
      </c>
      <c r="AF49" s="30">
        <f>IFERROR( SUMIFS(Emissions[2050],Emissions[[Sector]:[Sector]],$B49, Emissions[[Emissions_category]:[Emissions_category]],$B$21)/1000,"")</f>
        <v>0</v>
      </c>
      <c r="AG49" s="30">
        <f>IFERROR( SUMIFS(Emissions[2051],Emissions[[Sector]:[Sector]],$B49, Emissions[[Emissions_category]:[Emissions_category]],$B$21)/1000,"")</f>
        <v>0</v>
      </c>
    </row>
    <row r="50" spans="2:33" x14ac:dyDescent="0.45">
      <c r="B50" s="33" t="s">
        <v>20</v>
      </c>
      <c r="C50" s="30">
        <f>IFERROR( SUMIFS(Emissions[2021],Emissions[[Sector]:[Sector]],$B50, Emissions[[Emissions_category]:[Emissions_category]],$B$21)/1000,"")</f>
        <v>0</v>
      </c>
      <c r="D50" s="30">
        <f>IFERROR( SUMIFS(Emissions[2022],Emissions[[Sector]:[Sector]],$B50, Emissions[[Emissions_category]:[Emissions_category]],$B$21)/1000,"")</f>
        <v>0</v>
      </c>
      <c r="E50" s="30">
        <f>IFERROR( SUMIFS(Emissions[2023],Emissions[[Sector]:[Sector]],$B50, Emissions[[Emissions_category]:[Emissions_category]],$B$21)/1000,"")</f>
        <v>0</v>
      </c>
      <c r="F50" s="30">
        <f>IFERROR( SUMIFS(Emissions[2024],Emissions[[Sector]:[Sector]],$B50, Emissions[[Emissions_category]:[Emissions_category]],$B$21)/1000,"")</f>
        <v>0</v>
      </c>
      <c r="G50" s="30">
        <f>IFERROR( SUMIFS(Emissions[2025],Emissions[[Sector]:[Sector]],$B50, Emissions[[Emissions_category]:[Emissions_category]],$B$21)/1000,"")</f>
        <v>0</v>
      </c>
      <c r="H50" s="30">
        <f>IFERROR( SUMIFS(Emissions[2026],Emissions[[Sector]:[Sector]],$B50, Emissions[[Emissions_category]:[Emissions_category]],$B$21)/1000,"")</f>
        <v>0</v>
      </c>
      <c r="I50" s="30">
        <f>IFERROR( SUMIFS(Emissions[2027],Emissions[[Sector]:[Sector]],$B50, Emissions[[Emissions_category]:[Emissions_category]],$B$21)/1000,"")</f>
        <v>0</v>
      </c>
      <c r="J50" s="30">
        <f>IFERROR( SUMIFS(Emissions[2028],Emissions[[Sector]:[Sector]],$B50, Emissions[[Emissions_category]:[Emissions_category]],$B$21)/1000,"")</f>
        <v>0</v>
      </c>
      <c r="K50" s="30">
        <f>IFERROR( SUMIFS(Emissions[2029],Emissions[[Sector]:[Sector]],$B50, Emissions[[Emissions_category]:[Emissions_category]],$B$21)/1000,"")</f>
        <v>0</v>
      </c>
      <c r="L50" s="30">
        <f>IFERROR( SUMIFS(Emissions[2030],Emissions[[Sector]:[Sector]],$B50, Emissions[[Emissions_category]:[Emissions_category]],$B$21)/1000,"")</f>
        <v>0</v>
      </c>
      <c r="M50" s="30">
        <f>IFERROR( SUMIFS(Emissions[2031],Emissions[[Sector]:[Sector]],$B50, Emissions[[Emissions_category]:[Emissions_category]],$B$21)/1000,"")</f>
        <v>0</v>
      </c>
      <c r="N50" s="30">
        <f>IFERROR( SUMIFS(Emissions[2032],Emissions[[Sector]:[Sector]],$B50, Emissions[[Emissions_category]:[Emissions_category]],$B$21)/1000,"")</f>
        <v>0</v>
      </c>
      <c r="O50" s="30">
        <f>IFERROR( SUMIFS(Emissions[2033],Emissions[[Sector]:[Sector]],$B50, Emissions[[Emissions_category]:[Emissions_category]],$B$21)/1000,"")</f>
        <v>0</v>
      </c>
      <c r="P50" s="30">
        <f>IFERROR( SUMIFS(Emissions[2034],Emissions[[Sector]:[Sector]],$B50, Emissions[[Emissions_category]:[Emissions_category]],$B$21)/1000,"")</f>
        <v>0</v>
      </c>
      <c r="Q50" s="30">
        <f>IFERROR( SUMIFS(Emissions[2035],Emissions[[Sector]:[Sector]],$B50, Emissions[[Emissions_category]:[Emissions_category]],$B$21)/1000,"")</f>
        <v>0</v>
      </c>
      <c r="R50" s="30">
        <f>IFERROR( SUMIFS(Emissions[2036],Emissions[[Sector]:[Sector]],$B50, Emissions[[Emissions_category]:[Emissions_category]],$B$21)/1000,"")</f>
        <v>0</v>
      </c>
      <c r="S50" s="30">
        <f>IFERROR( SUMIFS(Emissions[2037],Emissions[[Sector]:[Sector]],$B50, Emissions[[Emissions_category]:[Emissions_category]],$B$21)/1000,"")</f>
        <v>0</v>
      </c>
      <c r="T50" s="30">
        <f>IFERROR( SUMIFS(Emissions[2038],Emissions[[Sector]:[Sector]],$B50, Emissions[[Emissions_category]:[Emissions_category]],$B$21)/1000,"")</f>
        <v>0</v>
      </c>
      <c r="U50" s="30">
        <f>IFERROR( SUMIFS(Emissions[2039],Emissions[[Sector]:[Sector]],$B50, Emissions[[Emissions_category]:[Emissions_category]],$B$21)/1000,"")</f>
        <v>0</v>
      </c>
      <c r="V50" s="30">
        <f>IFERROR( SUMIFS(Emissions[2040],Emissions[[Sector]:[Sector]],$B50, Emissions[[Emissions_category]:[Emissions_category]],$B$21)/1000,"")</f>
        <v>0</v>
      </c>
      <c r="W50" s="30">
        <f>IFERROR( SUMIFS(Emissions[2041],Emissions[[Sector]:[Sector]],$B50, Emissions[[Emissions_category]:[Emissions_category]],$B$21)/1000,"")</f>
        <v>0</v>
      </c>
      <c r="X50" s="30">
        <f>IFERROR( SUMIFS(Emissions[2042],Emissions[[Sector]:[Sector]],$B50, Emissions[[Emissions_category]:[Emissions_category]],$B$21)/1000,"")</f>
        <v>0</v>
      </c>
      <c r="Y50" s="30">
        <f>IFERROR( SUMIFS(Emissions[2043],Emissions[[Sector]:[Sector]],$B50, Emissions[[Emissions_category]:[Emissions_category]],$B$21)/1000,"")</f>
        <v>0</v>
      </c>
      <c r="Z50" s="30">
        <f>IFERROR( SUMIFS(Emissions[2044],Emissions[[Sector]:[Sector]],$B50, Emissions[[Emissions_category]:[Emissions_category]],$B$21)/1000,"")</f>
        <v>0</v>
      </c>
      <c r="AA50" s="30">
        <f>IFERROR( SUMIFS(Emissions[2045],Emissions[[Sector]:[Sector]],$B50, Emissions[[Emissions_category]:[Emissions_category]],$B$21)/1000,"")</f>
        <v>0</v>
      </c>
      <c r="AB50" s="30">
        <f>IFERROR( SUMIFS(Emissions[2046],Emissions[[Sector]:[Sector]],$B50, Emissions[[Emissions_category]:[Emissions_category]],$B$21)/1000,"")</f>
        <v>0</v>
      </c>
      <c r="AC50" s="30">
        <f>IFERROR( SUMIFS(Emissions[2047],Emissions[[Sector]:[Sector]],$B50, Emissions[[Emissions_category]:[Emissions_category]],$B$21)/1000,"")</f>
        <v>0</v>
      </c>
      <c r="AD50" s="30">
        <f>IFERROR( SUMIFS(Emissions[2048],Emissions[[Sector]:[Sector]],$B50, Emissions[[Emissions_category]:[Emissions_category]],$B$21)/1000,"")</f>
        <v>0</v>
      </c>
      <c r="AE50" s="30">
        <f>IFERROR( SUMIFS(Emissions[2049],Emissions[[Sector]:[Sector]],$B50, Emissions[[Emissions_category]:[Emissions_category]],$B$21)/1000,"")</f>
        <v>0</v>
      </c>
      <c r="AF50" s="30">
        <f>IFERROR( SUMIFS(Emissions[2050],Emissions[[Sector]:[Sector]],$B50, Emissions[[Emissions_category]:[Emissions_category]],$B$21)/1000,"")</f>
        <v>0</v>
      </c>
      <c r="AG50" s="30">
        <f>IFERROR( SUMIFS(Emissions[2051],Emissions[[Sector]:[Sector]],$B50, Emissions[[Emissions_category]:[Emissions_category]],$B$21)/1000,"")</f>
        <v>0</v>
      </c>
    </row>
    <row r="51" spans="2:33" x14ac:dyDescent="0.45">
      <c r="B51" s="12" t="s">
        <v>18</v>
      </c>
      <c r="C51" s="28">
        <f>IFERROR(-SUMIFS(Emissions[2021], Emissions[[Emissions_category]:[Emissions_category]], $B$51, Emissions[[Sector]:[Sector]], $B$50)/1000,"")</f>
        <v>0</v>
      </c>
      <c r="D51" s="28">
        <f>IFERROR(-SUMIFS(Emissions[2022], Emissions[[Emissions_category]:[Emissions_category]], $B$51, Emissions[[Sector]:[Sector]], $B$50)/1000,"")</f>
        <v>0</v>
      </c>
      <c r="E51" s="28">
        <f>IFERROR(-SUMIFS(Emissions[2023], Emissions[[Emissions_category]:[Emissions_category]], $B$51, Emissions[[Sector]:[Sector]], $B$50)/1000,"")</f>
        <v>0</v>
      </c>
      <c r="F51" s="28">
        <f>IFERROR(-SUMIFS(Emissions[2024], Emissions[[Emissions_category]:[Emissions_category]], $B$51, Emissions[[Sector]:[Sector]], $B$50)/1000,"")</f>
        <v>0</v>
      </c>
      <c r="G51" s="28">
        <f>IFERROR(-SUMIFS(Emissions[2025], Emissions[[Emissions_category]:[Emissions_category]], $B$51, Emissions[[Sector]:[Sector]], $B$50)/1000,"")</f>
        <v>0</v>
      </c>
      <c r="H51" s="28">
        <f>IFERROR(-SUMIFS(Emissions[2026], Emissions[[Emissions_category]:[Emissions_category]], $B$51, Emissions[[Sector]:[Sector]], $B$50)/1000,"")</f>
        <v>0</v>
      </c>
      <c r="I51" s="28">
        <f>IFERROR(-SUMIFS(Emissions[2027], Emissions[[Emissions_category]:[Emissions_category]], $B$51, Emissions[[Sector]:[Sector]], $B$50)/1000,"")</f>
        <v>0</v>
      </c>
      <c r="J51" s="28">
        <f>IFERROR(-SUMIFS(Emissions[2028], Emissions[[Emissions_category]:[Emissions_category]], $B$51, Emissions[[Sector]:[Sector]], $B$50)/1000,"")</f>
        <v>0</v>
      </c>
      <c r="K51" s="28">
        <f>IFERROR(-SUMIFS(Emissions[2029], Emissions[[Emissions_category]:[Emissions_category]], $B$51, Emissions[[Sector]:[Sector]], $B$50)/1000,"")</f>
        <v>0</v>
      </c>
      <c r="L51" s="28">
        <f>IFERROR(-SUMIFS(Emissions[2030], Emissions[[Emissions_category]:[Emissions_category]], $B$51, Emissions[[Sector]:[Sector]], $B$50)/1000,"")</f>
        <v>0</v>
      </c>
      <c r="M51" s="28">
        <f>IFERROR(-SUMIFS(Emissions[2031], Emissions[[Emissions_category]:[Emissions_category]], $B$51, Emissions[[Sector]:[Sector]], $B$50)/1000,"")</f>
        <v>0</v>
      </c>
      <c r="N51" s="28">
        <f>IFERROR(-SUMIFS(Emissions[2032], Emissions[[Emissions_category]:[Emissions_category]], $B$51, Emissions[[Sector]:[Sector]], $B$50)/1000,"")</f>
        <v>0</v>
      </c>
      <c r="O51" s="28">
        <f>IFERROR(-SUMIFS(Emissions[2033], Emissions[[Emissions_category]:[Emissions_category]], $B$51, Emissions[[Sector]:[Sector]], $B$50)/1000,"")</f>
        <v>0</v>
      </c>
      <c r="P51" s="28">
        <f>IFERROR(-SUMIFS(Emissions[2034], Emissions[[Emissions_category]:[Emissions_category]], $B$51, Emissions[[Sector]:[Sector]], $B$50)/1000,"")</f>
        <v>0</v>
      </c>
      <c r="Q51" s="28">
        <f>IFERROR(-SUMIFS(Emissions[2035], Emissions[[Emissions_category]:[Emissions_category]], $B$51, Emissions[[Sector]:[Sector]], $B$50)/1000,"")</f>
        <v>0</v>
      </c>
      <c r="R51" s="28">
        <f>IFERROR(-SUMIFS(Emissions[2036], Emissions[[Emissions_category]:[Emissions_category]], $B$51, Emissions[[Sector]:[Sector]], $B$50)/1000,"")</f>
        <v>0</v>
      </c>
      <c r="S51" s="28">
        <f>IFERROR(-SUMIFS(Emissions[2037], Emissions[[Emissions_category]:[Emissions_category]], $B$51, Emissions[[Sector]:[Sector]], $B$50)/1000,"")</f>
        <v>0</v>
      </c>
      <c r="T51" s="28">
        <f>IFERROR(-SUMIFS(Emissions[2038], Emissions[[Emissions_category]:[Emissions_category]], $B$51, Emissions[[Sector]:[Sector]], $B$50)/1000,"")</f>
        <v>0</v>
      </c>
      <c r="U51" s="28">
        <f>IFERROR(-SUMIFS(Emissions[2039], Emissions[[Emissions_category]:[Emissions_category]], $B$51, Emissions[[Sector]:[Sector]], $B$50)/1000,"")</f>
        <v>0</v>
      </c>
      <c r="V51" s="28">
        <f>IFERROR(-SUMIFS(Emissions[2040], Emissions[[Emissions_category]:[Emissions_category]], $B$51, Emissions[[Sector]:[Sector]], $B$50)/1000,"")</f>
        <v>0</v>
      </c>
      <c r="W51" s="28">
        <f>IFERROR(-SUMIFS(Emissions[2041], Emissions[[Emissions_category]:[Emissions_category]], $B$51, Emissions[[Sector]:[Sector]], $B$50)/1000,"")</f>
        <v>0</v>
      </c>
      <c r="X51" s="28">
        <f>IFERROR(-SUMIFS(Emissions[2042], Emissions[[Emissions_category]:[Emissions_category]], $B$51, Emissions[[Sector]:[Sector]], $B$50)/1000,"")</f>
        <v>0</v>
      </c>
      <c r="Y51" s="28">
        <f>IFERROR(-SUMIFS(Emissions[2043], Emissions[[Emissions_category]:[Emissions_category]], $B$51, Emissions[[Sector]:[Sector]], $B$50)/1000,"")</f>
        <v>0</v>
      </c>
      <c r="Z51" s="28">
        <f>IFERROR(-SUMIFS(Emissions[2044], Emissions[[Emissions_category]:[Emissions_category]], $B$51, Emissions[[Sector]:[Sector]], $B$50)/1000,"")</f>
        <v>0</v>
      </c>
      <c r="AA51" s="28">
        <f>IFERROR(-SUMIFS(Emissions[2045], Emissions[[Emissions_category]:[Emissions_category]], $B$51, Emissions[[Sector]:[Sector]], $B$50)/1000,"")</f>
        <v>0</v>
      </c>
      <c r="AB51" s="28">
        <f>IFERROR(-SUMIFS(Emissions[2046], Emissions[[Emissions_category]:[Emissions_category]], $B$51, Emissions[[Sector]:[Sector]], $B$50)/1000,"")</f>
        <v>0</v>
      </c>
      <c r="AC51" s="28">
        <f>IFERROR(-SUMIFS(Emissions[2047], Emissions[[Emissions_category]:[Emissions_category]], $B$51, Emissions[[Sector]:[Sector]], $B$50)/1000,"")</f>
        <v>0</v>
      </c>
      <c r="AD51" s="28">
        <f>IFERROR(-SUMIFS(Emissions[2048], Emissions[[Emissions_category]:[Emissions_category]], $B$51, Emissions[[Sector]:[Sector]], $B$50)/1000,"")</f>
        <v>0</v>
      </c>
      <c r="AE51" s="28">
        <f>IFERROR(-SUMIFS(Emissions[2049], Emissions[[Emissions_category]:[Emissions_category]], $B$51, Emissions[[Sector]:[Sector]], $B$50)/1000,"")</f>
        <v>0</v>
      </c>
      <c r="AF51" s="28">
        <f>IFERROR(-SUMIFS(Emissions[2050], Emissions[[Emissions_category]:[Emissions_category]], $B$51, Emissions[[Sector]:[Sector]], $B$50)/1000,"")</f>
        <v>0</v>
      </c>
      <c r="AG51" s="28">
        <f>IFERROR(-SUMIFS(Emissions[2051], Emissions[[Emissions_category]:[Emissions_category]], $B$51, Emissions[[Sector]:[Sector]], $B$50)/1000,"")</f>
        <v>0</v>
      </c>
    </row>
    <row r="52" spans="2:33" x14ac:dyDescent="0.45">
      <c r="B52" s="12" t="s">
        <v>19</v>
      </c>
      <c r="C52" s="28">
        <f>IFERROR(-C51+C50,"")</f>
        <v>0</v>
      </c>
      <c r="D52" s="28">
        <f t="shared" ref="D52:AG52" si="5">IFERROR(-D51+D50,"")</f>
        <v>0</v>
      </c>
      <c r="E52" s="28">
        <f t="shared" si="5"/>
        <v>0</v>
      </c>
      <c r="F52" s="28">
        <f t="shared" si="5"/>
        <v>0</v>
      </c>
      <c r="G52" s="28">
        <f t="shared" si="5"/>
        <v>0</v>
      </c>
      <c r="H52" s="28">
        <f t="shared" si="5"/>
        <v>0</v>
      </c>
      <c r="I52" s="28">
        <f t="shared" si="5"/>
        <v>0</v>
      </c>
      <c r="J52" s="28">
        <f t="shared" si="5"/>
        <v>0</v>
      </c>
      <c r="K52" s="28">
        <f t="shared" si="5"/>
        <v>0</v>
      </c>
      <c r="L52" s="28">
        <f t="shared" si="5"/>
        <v>0</v>
      </c>
      <c r="M52" s="28">
        <f t="shared" si="5"/>
        <v>0</v>
      </c>
      <c r="N52" s="28">
        <f t="shared" si="5"/>
        <v>0</v>
      </c>
      <c r="O52" s="28">
        <f t="shared" si="5"/>
        <v>0</v>
      </c>
      <c r="P52" s="28">
        <f t="shared" si="5"/>
        <v>0</v>
      </c>
      <c r="Q52" s="28">
        <f t="shared" si="5"/>
        <v>0</v>
      </c>
      <c r="R52" s="28">
        <f t="shared" si="5"/>
        <v>0</v>
      </c>
      <c r="S52" s="28">
        <f t="shared" si="5"/>
        <v>0</v>
      </c>
      <c r="T52" s="28">
        <f t="shared" si="5"/>
        <v>0</v>
      </c>
      <c r="U52" s="28">
        <f t="shared" si="5"/>
        <v>0</v>
      </c>
      <c r="V52" s="28">
        <f t="shared" si="5"/>
        <v>0</v>
      </c>
      <c r="W52" s="28">
        <f t="shared" si="5"/>
        <v>0</v>
      </c>
      <c r="X52" s="28">
        <f t="shared" si="5"/>
        <v>0</v>
      </c>
      <c r="Y52" s="28">
        <f t="shared" si="5"/>
        <v>0</v>
      </c>
      <c r="Z52" s="28">
        <f t="shared" si="5"/>
        <v>0</v>
      </c>
      <c r="AA52" s="28">
        <f t="shared" si="5"/>
        <v>0</v>
      </c>
      <c r="AB52" s="28">
        <f t="shared" si="5"/>
        <v>0</v>
      </c>
      <c r="AC52" s="28">
        <f t="shared" si="5"/>
        <v>0</v>
      </c>
      <c r="AD52" s="28">
        <f t="shared" si="5"/>
        <v>0</v>
      </c>
      <c r="AE52" s="28">
        <f t="shared" si="5"/>
        <v>0</v>
      </c>
      <c r="AF52" s="28">
        <f t="shared" si="5"/>
        <v>0</v>
      </c>
      <c r="AG52" s="28">
        <f t="shared" si="5"/>
        <v>0</v>
      </c>
    </row>
    <row r="53" spans="2:33" x14ac:dyDescent="0.45">
      <c r="B53" s="33" t="s">
        <v>273</v>
      </c>
      <c r="C53" s="30">
        <f>IFERROR( SUMIFS(Emissions[2021],Emissions[[Sector]:[Sector]],$B53, Emissions[[Emissions_category]:[Emissions_category]],$B$21)/1000,"")</f>
        <v>0</v>
      </c>
      <c r="D53" s="30">
        <f>IFERROR( SUMIFS(Emissions[2022],Emissions[[Sector]:[Sector]],$B53, Emissions[[Emissions_category]:[Emissions_category]],$B$21)/1000,"")</f>
        <v>0</v>
      </c>
      <c r="E53" s="30">
        <f>IFERROR( SUMIFS(Emissions[2023],Emissions[[Sector]:[Sector]],$B53, Emissions[[Emissions_category]:[Emissions_category]],$B$21)/1000,"")</f>
        <v>0</v>
      </c>
      <c r="F53" s="30">
        <f>IFERROR( SUMIFS(Emissions[2024],Emissions[[Sector]:[Sector]],$B53, Emissions[[Emissions_category]:[Emissions_category]],$B$21)/1000,"")</f>
        <v>0</v>
      </c>
      <c r="G53" s="30">
        <f>IFERROR( SUMIFS(Emissions[2025],Emissions[[Sector]:[Sector]],$B53, Emissions[[Emissions_category]:[Emissions_category]],$B$21)/1000,"")</f>
        <v>0</v>
      </c>
      <c r="H53" s="30">
        <f>IFERROR( SUMIFS(Emissions[2026],Emissions[[Sector]:[Sector]],$B53, Emissions[[Emissions_category]:[Emissions_category]],$B$21)/1000,"")</f>
        <v>0</v>
      </c>
      <c r="I53" s="30">
        <f>IFERROR( SUMIFS(Emissions[2027],Emissions[[Sector]:[Sector]],$B53, Emissions[[Emissions_category]:[Emissions_category]],$B$21)/1000,"")</f>
        <v>0</v>
      </c>
      <c r="J53" s="30">
        <f>IFERROR( SUMIFS(Emissions[2028],Emissions[[Sector]:[Sector]],$B53, Emissions[[Emissions_category]:[Emissions_category]],$B$21)/1000,"")</f>
        <v>0</v>
      </c>
      <c r="K53" s="30">
        <f>IFERROR( SUMIFS(Emissions[2029],Emissions[[Sector]:[Sector]],$B53, Emissions[[Emissions_category]:[Emissions_category]],$B$21)/1000,"")</f>
        <v>0</v>
      </c>
      <c r="L53" s="30">
        <f>IFERROR( SUMIFS(Emissions[2030],Emissions[[Sector]:[Sector]],$B53, Emissions[[Emissions_category]:[Emissions_category]],$B$21)/1000,"")</f>
        <v>0</v>
      </c>
      <c r="M53" s="30">
        <f>IFERROR( SUMIFS(Emissions[2031],Emissions[[Sector]:[Sector]],$B53, Emissions[[Emissions_category]:[Emissions_category]],$B$21)/1000,"")</f>
        <v>0</v>
      </c>
      <c r="N53" s="30">
        <f>IFERROR( SUMIFS(Emissions[2032],Emissions[[Sector]:[Sector]],$B53, Emissions[[Emissions_category]:[Emissions_category]],$B$21)/1000,"")</f>
        <v>0</v>
      </c>
      <c r="O53" s="30">
        <f>IFERROR( SUMIFS(Emissions[2033],Emissions[[Sector]:[Sector]],$B53, Emissions[[Emissions_category]:[Emissions_category]],$B$21)/1000,"")</f>
        <v>0</v>
      </c>
      <c r="P53" s="30">
        <f>IFERROR( SUMIFS(Emissions[2034],Emissions[[Sector]:[Sector]],$B53, Emissions[[Emissions_category]:[Emissions_category]],$B$21)/1000,"")</f>
        <v>0</v>
      </c>
      <c r="Q53" s="30">
        <f>IFERROR( SUMIFS(Emissions[2035],Emissions[[Sector]:[Sector]],$B53, Emissions[[Emissions_category]:[Emissions_category]],$B$21)/1000,"")</f>
        <v>0</v>
      </c>
      <c r="R53" s="30">
        <f>IFERROR( SUMIFS(Emissions[2036],Emissions[[Sector]:[Sector]],$B53, Emissions[[Emissions_category]:[Emissions_category]],$B$21)/1000,"")</f>
        <v>0</v>
      </c>
      <c r="S53" s="30">
        <f>IFERROR( SUMIFS(Emissions[2037],Emissions[[Sector]:[Sector]],$B53, Emissions[[Emissions_category]:[Emissions_category]],$B$21)/1000,"")</f>
        <v>0</v>
      </c>
      <c r="T53" s="30">
        <f>IFERROR( SUMIFS(Emissions[2038],Emissions[[Sector]:[Sector]],$B53, Emissions[[Emissions_category]:[Emissions_category]],$B$21)/1000,"")</f>
        <v>0</v>
      </c>
      <c r="U53" s="30">
        <f>IFERROR( SUMIFS(Emissions[2039],Emissions[[Sector]:[Sector]],$B53, Emissions[[Emissions_category]:[Emissions_category]],$B$21)/1000,"")</f>
        <v>0</v>
      </c>
      <c r="V53" s="30">
        <f>IFERROR( SUMIFS(Emissions[2040],Emissions[[Sector]:[Sector]],$B53, Emissions[[Emissions_category]:[Emissions_category]],$B$21)/1000,"")</f>
        <v>0</v>
      </c>
      <c r="W53" s="30">
        <f>IFERROR( SUMIFS(Emissions[2041],Emissions[[Sector]:[Sector]],$B53, Emissions[[Emissions_category]:[Emissions_category]],$B$21)/1000,"")</f>
        <v>0</v>
      </c>
      <c r="X53" s="30">
        <f>IFERROR( SUMIFS(Emissions[2042],Emissions[[Sector]:[Sector]],$B53, Emissions[[Emissions_category]:[Emissions_category]],$B$21)/1000,"")</f>
        <v>0</v>
      </c>
      <c r="Y53" s="30">
        <f>IFERROR( SUMIFS(Emissions[2043],Emissions[[Sector]:[Sector]],$B53, Emissions[[Emissions_category]:[Emissions_category]],$B$21)/1000,"")</f>
        <v>0</v>
      </c>
      <c r="Z53" s="30">
        <f>IFERROR( SUMIFS(Emissions[2044],Emissions[[Sector]:[Sector]],$B53, Emissions[[Emissions_category]:[Emissions_category]],$B$21)/1000,"")</f>
        <v>0</v>
      </c>
      <c r="AA53" s="30">
        <f>IFERROR( SUMIFS(Emissions[2045],Emissions[[Sector]:[Sector]],$B53, Emissions[[Emissions_category]:[Emissions_category]],$B$21)/1000,"")</f>
        <v>0</v>
      </c>
      <c r="AB53" s="30">
        <f>IFERROR( SUMIFS(Emissions[2046],Emissions[[Sector]:[Sector]],$B53, Emissions[[Emissions_category]:[Emissions_category]],$B$21)/1000,"")</f>
        <v>0</v>
      </c>
      <c r="AC53" s="30">
        <f>IFERROR( SUMIFS(Emissions[2047],Emissions[[Sector]:[Sector]],$B53, Emissions[[Emissions_category]:[Emissions_category]],$B$21)/1000,"")</f>
        <v>0</v>
      </c>
      <c r="AD53" s="30">
        <f>IFERROR( SUMIFS(Emissions[2048],Emissions[[Sector]:[Sector]],$B53, Emissions[[Emissions_category]:[Emissions_category]],$B$21)/1000,"")</f>
        <v>0</v>
      </c>
      <c r="AE53" s="30">
        <f>IFERROR( SUMIFS(Emissions[2049],Emissions[[Sector]:[Sector]],$B53, Emissions[[Emissions_category]:[Emissions_category]],$B$21)/1000,"")</f>
        <v>0</v>
      </c>
      <c r="AF53" s="30">
        <f>IFERROR( SUMIFS(Emissions[2050],Emissions[[Sector]:[Sector]],$B53, Emissions[[Emissions_category]:[Emissions_category]],$B$21)/1000,"")</f>
        <v>0</v>
      </c>
      <c r="AG53" s="30">
        <f>IFERROR( SUMIFS(Emissions[2051],Emissions[[Sector]:[Sector]],$B53, Emissions[[Emissions_category]:[Emissions_category]],$B$21)/1000,"")</f>
        <v>0</v>
      </c>
    </row>
    <row r="54" spans="2:33" x14ac:dyDescent="0.45">
      <c r="B54" s="67" t="s">
        <v>274</v>
      </c>
      <c r="C54" s="30">
        <f>IFERROR( SUMIFS(Emissions[2021],Emissions[[Sector]:[Sector]],$B54, Emissions[[Emissions_category]:[Emissions_category]],$B$21)/1000,"")</f>
        <v>0</v>
      </c>
      <c r="D54" s="30">
        <f>IFERROR( SUMIFS(Emissions[2022],Emissions[[Sector]:[Sector]],$B54, Emissions[[Emissions_category]:[Emissions_category]],$B$21)/1000,"")</f>
        <v>0</v>
      </c>
      <c r="E54" s="30">
        <f>IFERROR( SUMIFS(Emissions[2023],Emissions[[Sector]:[Sector]],$B54, Emissions[[Emissions_category]:[Emissions_category]],$B$21)/1000,"")</f>
        <v>0</v>
      </c>
      <c r="F54" s="30">
        <f>IFERROR( SUMIFS(Emissions[2024],Emissions[[Sector]:[Sector]],$B54, Emissions[[Emissions_category]:[Emissions_category]],$B$21)/1000,"")</f>
        <v>0</v>
      </c>
      <c r="G54" s="30">
        <f>IFERROR( SUMIFS(Emissions[2025],Emissions[[Sector]:[Sector]],$B54, Emissions[[Emissions_category]:[Emissions_category]],$B$21)/1000,"")</f>
        <v>0</v>
      </c>
      <c r="H54" s="30">
        <f>IFERROR( SUMIFS(Emissions[2026],Emissions[[Sector]:[Sector]],$B54, Emissions[[Emissions_category]:[Emissions_category]],$B$21)/1000,"")</f>
        <v>0</v>
      </c>
      <c r="I54" s="30">
        <f>IFERROR( SUMIFS(Emissions[2027],Emissions[[Sector]:[Sector]],$B54, Emissions[[Emissions_category]:[Emissions_category]],$B$21)/1000,"")</f>
        <v>0</v>
      </c>
      <c r="J54" s="30">
        <f>IFERROR( SUMIFS(Emissions[2028],Emissions[[Sector]:[Sector]],$B54, Emissions[[Emissions_category]:[Emissions_category]],$B$21)/1000,"")</f>
        <v>0</v>
      </c>
      <c r="K54" s="30">
        <f>IFERROR( SUMIFS(Emissions[2029],Emissions[[Sector]:[Sector]],$B54, Emissions[[Emissions_category]:[Emissions_category]],$B$21)/1000,"")</f>
        <v>0</v>
      </c>
      <c r="L54" s="30">
        <f>IFERROR( SUMIFS(Emissions[2030],Emissions[[Sector]:[Sector]],$B54, Emissions[[Emissions_category]:[Emissions_category]],$B$21)/1000,"")</f>
        <v>0</v>
      </c>
      <c r="M54" s="30">
        <f>IFERROR( SUMIFS(Emissions[2031],Emissions[[Sector]:[Sector]],$B54, Emissions[[Emissions_category]:[Emissions_category]],$B$21)/1000,"")</f>
        <v>0</v>
      </c>
      <c r="N54" s="30">
        <f>IFERROR( SUMIFS(Emissions[2032],Emissions[[Sector]:[Sector]],$B54, Emissions[[Emissions_category]:[Emissions_category]],$B$21)/1000,"")</f>
        <v>0</v>
      </c>
      <c r="O54" s="30">
        <f>IFERROR( SUMIFS(Emissions[2033],Emissions[[Sector]:[Sector]],$B54, Emissions[[Emissions_category]:[Emissions_category]],$B$21)/1000,"")</f>
        <v>0</v>
      </c>
      <c r="P54" s="30">
        <f>IFERROR( SUMIFS(Emissions[2034],Emissions[[Sector]:[Sector]],$B54, Emissions[[Emissions_category]:[Emissions_category]],$B$21)/1000,"")</f>
        <v>0</v>
      </c>
      <c r="Q54" s="30">
        <f>IFERROR( SUMIFS(Emissions[2035],Emissions[[Sector]:[Sector]],$B54, Emissions[[Emissions_category]:[Emissions_category]],$B$21)/1000,"")</f>
        <v>0</v>
      </c>
      <c r="R54" s="30">
        <f>IFERROR( SUMIFS(Emissions[2036],Emissions[[Sector]:[Sector]],$B54, Emissions[[Emissions_category]:[Emissions_category]],$B$21)/1000,"")</f>
        <v>0</v>
      </c>
      <c r="S54" s="30">
        <f>IFERROR( SUMIFS(Emissions[2037],Emissions[[Sector]:[Sector]],$B54, Emissions[[Emissions_category]:[Emissions_category]],$B$21)/1000,"")</f>
        <v>0</v>
      </c>
      <c r="T54" s="30">
        <f>IFERROR( SUMIFS(Emissions[2038],Emissions[[Sector]:[Sector]],$B54, Emissions[[Emissions_category]:[Emissions_category]],$B$21)/1000,"")</f>
        <v>0</v>
      </c>
      <c r="U54" s="30">
        <f>IFERROR( SUMIFS(Emissions[2039],Emissions[[Sector]:[Sector]],$B54, Emissions[[Emissions_category]:[Emissions_category]],$B$21)/1000,"")</f>
        <v>0</v>
      </c>
      <c r="V54" s="30">
        <f>IFERROR( SUMIFS(Emissions[2040],Emissions[[Sector]:[Sector]],$B54, Emissions[[Emissions_category]:[Emissions_category]],$B$21)/1000,"")</f>
        <v>0</v>
      </c>
      <c r="W54" s="30">
        <f>IFERROR( SUMIFS(Emissions[2041],Emissions[[Sector]:[Sector]],$B54, Emissions[[Emissions_category]:[Emissions_category]],$B$21)/1000,"")</f>
        <v>0</v>
      </c>
      <c r="X54" s="30">
        <f>IFERROR( SUMIFS(Emissions[2042],Emissions[[Sector]:[Sector]],$B54, Emissions[[Emissions_category]:[Emissions_category]],$B$21)/1000,"")</f>
        <v>0</v>
      </c>
      <c r="Y54" s="30">
        <f>IFERROR( SUMIFS(Emissions[2043],Emissions[[Sector]:[Sector]],$B54, Emissions[[Emissions_category]:[Emissions_category]],$B$21)/1000,"")</f>
        <v>0</v>
      </c>
      <c r="Z54" s="30">
        <f>IFERROR( SUMIFS(Emissions[2044],Emissions[[Sector]:[Sector]],$B54, Emissions[[Emissions_category]:[Emissions_category]],$B$21)/1000,"")</f>
        <v>0</v>
      </c>
      <c r="AA54" s="30">
        <f>IFERROR( SUMIFS(Emissions[2045],Emissions[[Sector]:[Sector]],$B54, Emissions[[Emissions_category]:[Emissions_category]],$B$21)/1000,"")</f>
        <v>0</v>
      </c>
      <c r="AB54" s="30">
        <f>IFERROR( SUMIFS(Emissions[2046],Emissions[[Sector]:[Sector]],$B54, Emissions[[Emissions_category]:[Emissions_category]],$B$21)/1000,"")</f>
        <v>0</v>
      </c>
      <c r="AC54" s="30">
        <f>IFERROR( SUMIFS(Emissions[2047],Emissions[[Sector]:[Sector]],$B54, Emissions[[Emissions_category]:[Emissions_category]],$B$21)/1000,"")</f>
        <v>0</v>
      </c>
      <c r="AD54" s="30">
        <f>IFERROR( SUMIFS(Emissions[2048],Emissions[[Sector]:[Sector]],$B54, Emissions[[Emissions_category]:[Emissions_category]],$B$21)/1000,"")</f>
        <v>0</v>
      </c>
      <c r="AE54" s="30">
        <f>IFERROR( SUMIFS(Emissions[2049],Emissions[[Sector]:[Sector]],$B54, Emissions[[Emissions_category]:[Emissions_category]],$B$21)/1000,"")</f>
        <v>0</v>
      </c>
      <c r="AF54" s="30">
        <f>IFERROR( SUMIFS(Emissions[2050],Emissions[[Sector]:[Sector]],$B54, Emissions[[Emissions_category]:[Emissions_category]],$B$21)/1000,"")</f>
        <v>0</v>
      </c>
      <c r="AG54" s="30">
        <f>IFERROR( SUMIFS(Emissions[2051],Emissions[[Sector]:[Sector]],$B54, Emissions[[Emissions_category]:[Emissions_category]],$B$21)/1000,"")</f>
        <v>0</v>
      </c>
    </row>
    <row r="55" spans="2:33" x14ac:dyDescent="0.45">
      <c r="B55" s="33" t="s">
        <v>21</v>
      </c>
      <c r="C55" s="30">
        <f>IFERROR( SUMIFS(Emissions[2021],Emissions[[Sector]:[Sector]],$B55, Emissions[[Emissions_category]:[Emissions_category]],$B$21)/1000,"")</f>
        <v>0</v>
      </c>
      <c r="D55" s="30">
        <f>IFERROR( SUMIFS(Emissions[2022],Emissions[[Sector]:[Sector]],$B55, Emissions[[Emissions_category]:[Emissions_category]],$B$21)/1000,"")</f>
        <v>0</v>
      </c>
      <c r="E55" s="30">
        <f>IFERROR( SUMIFS(Emissions[2023],Emissions[[Sector]:[Sector]],$B55, Emissions[[Emissions_category]:[Emissions_category]],$B$21)/1000,"")</f>
        <v>0</v>
      </c>
      <c r="F55" s="30">
        <f>IFERROR( SUMIFS(Emissions[2024],Emissions[[Sector]:[Sector]],$B55, Emissions[[Emissions_category]:[Emissions_category]],$B$21)/1000,"")</f>
        <v>0</v>
      </c>
      <c r="G55" s="30">
        <f>IFERROR( SUMIFS(Emissions[2025],Emissions[[Sector]:[Sector]],$B55, Emissions[[Emissions_category]:[Emissions_category]],$B$21)/1000,"")</f>
        <v>0</v>
      </c>
      <c r="H55" s="30">
        <f>IFERROR( SUMIFS(Emissions[2026],Emissions[[Sector]:[Sector]],$B55, Emissions[[Emissions_category]:[Emissions_category]],$B$21)/1000,"")</f>
        <v>0</v>
      </c>
      <c r="I55" s="30">
        <f>IFERROR( SUMIFS(Emissions[2027],Emissions[[Sector]:[Sector]],$B55, Emissions[[Emissions_category]:[Emissions_category]],$B$21)/1000,"")</f>
        <v>0</v>
      </c>
      <c r="J55" s="30">
        <f>IFERROR( SUMIFS(Emissions[2028],Emissions[[Sector]:[Sector]],$B55, Emissions[[Emissions_category]:[Emissions_category]],$B$21)/1000,"")</f>
        <v>0</v>
      </c>
      <c r="K55" s="30">
        <f>IFERROR( SUMIFS(Emissions[2029],Emissions[[Sector]:[Sector]],$B55, Emissions[[Emissions_category]:[Emissions_category]],$B$21)/1000,"")</f>
        <v>0</v>
      </c>
      <c r="L55" s="30">
        <f>IFERROR( SUMIFS(Emissions[2030],Emissions[[Sector]:[Sector]],$B55, Emissions[[Emissions_category]:[Emissions_category]],$B$21)/1000,"")</f>
        <v>0</v>
      </c>
      <c r="M55" s="30">
        <f>IFERROR( SUMIFS(Emissions[2031],Emissions[[Sector]:[Sector]],$B55, Emissions[[Emissions_category]:[Emissions_category]],$B$21)/1000,"")</f>
        <v>0</v>
      </c>
      <c r="N55" s="30">
        <f>IFERROR( SUMIFS(Emissions[2032],Emissions[[Sector]:[Sector]],$B55, Emissions[[Emissions_category]:[Emissions_category]],$B$21)/1000,"")</f>
        <v>0</v>
      </c>
      <c r="O55" s="30">
        <f>IFERROR( SUMIFS(Emissions[2033],Emissions[[Sector]:[Sector]],$B55, Emissions[[Emissions_category]:[Emissions_category]],$B$21)/1000,"")</f>
        <v>0</v>
      </c>
      <c r="P55" s="30">
        <f>IFERROR( SUMIFS(Emissions[2034],Emissions[[Sector]:[Sector]],$B55, Emissions[[Emissions_category]:[Emissions_category]],$B$21)/1000,"")</f>
        <v>0</v>
      </c>
      <c r="Q55" s="30">
        <f>IFERROR( SUMIFS(Emissions[2035],Emissions[[Sector]:[Sector]],$B55, Emissions[[Emissions_category]:[Emissions_category]],$B$21)/1000,"")</f>
        <v>0</v>
      </c>
      <c r="R55" s="30">
        <f>IFERROR( SUMIFS(Emissions[2036],Emissions[[Sector]:[Sector]],$B55, Emissions[[Emissions_category]:[Emissions_category]],$B$21)/1000,"")</f>
        <v>0</v>
      </c>
      <c r="S55" s="30">
        <f>IFERROR( SUMIFS(Emissions[2037],Emissions[[Sector]:[Sector]],$B55, Emissions[[Emissions_category]:[Emissions_category]],$B$21)/1000,"")</f>
        <v>0</v>
      </c>
      <c r="T55" s="30">
        <f>IFERROR( SUMIFS(Emissions[2038],Emissions[[Sector]:[Sector]],$B55, Emissions[[Emissions_category]:[Emissions_category]],$B$21)/1000,"")</f>
        <v>0</v>
      </c>
      <c r="U55" s="30">
        <f>IFERROR( SUMIFS(Emissions[2039],Emissions[[Sector]:[Sector]],$B55, Emissions[[Emissions_category]:[Emissions_category]],$B$21)/1000,"")</f>
        <v>0</v>
      </c>
      <c r="V55" s="30">
        <f>IFERROR( SUMIFS(Emissions[2040],Emissions[[Sector]:[Sector]],$B55, Emissions[[Emissions_category]:[Emissions_category]],$B$21)/1000,"")</f>
        <v>0</v>
      </c>
      <c r="W55" s="30">
        <f>IFERROR( SUMIFS(Emissions[2041],Emissions[[Sector]:[Sector]],$B55, Emissions[[Emissions_category]:[Emissions_category]],$B$21)/1000,"")</f>
        <v>0</v>
      </c>
      <c r="X55" s="30">
        <f>IFERROR( SUMIFS(Emissions[2042],Emissions[[Sector]:[Sector]],$B55, Emissions[[Emissions_category]:[Emissions_category]],$B$21)/1000,"")</f>
        <v>0</v>
      </c>
      <c r="Y55" s="30">
        <f>IFERROR( SUMIFS(Emissions[2043],Emissions[[Sector]:[Sector]],$B55, Emissions[[Emissions_category]:[Emissions_category]],$B$21)/1000,"")</f>
        <v>0</v>
      </c>
      <c r="Z55" s="30">
        <f>IFERROR( SUMIFS(Emissions[2044],Emissions[[Sector]:[Sector]],$B55, Emissions[[Emissions_category]:[Emissions_category]],$B$21)/1000,"")</f>
        <v>0</v>
      </c>
      <c r="AA55" s="30">
        <f>IFERROR( SUMIFS(Emissions[2045],Emissions[[Sector]:[Sector]],$B55, Emissions[[Emissions_category]:[Emissions_category]],$B$21)/1000,"")</f>
        <v>0</v>
      </c>
      <c r="AB55" s="30">
        <f>IFERROR( SUMIFS(Emissions[2046],Emissions[[Sector]:[Sector]],$B55, Emissions[[Emissions_category]:[Emissions_category]],$B$21)/1000,"")</f>
        <v>0</v>
      </c>
      <c r="AC55" s="30">
        <f>IFERROR( SUMIFS(Emissions[2047],Emissions[[Sector]:[Sector]],$B55, Emissions[[Emissions_category]:[Emissions_category]],$B$21)/1000,"")</f>
        <v>0</v>
      </c>
      <c r="AD55" s="30">
        <f>IFERROR( SUMIFS(Emissions[2048],Emissions[[Sector]:[Sector]],$B55, Emissions[[Emissions_category]:[Emissions_category]],$B$21)/1000,"")</f>
        <v>0</v>
      </c>
      <c r="AE55" s="30">
        <f>IFERROR( SUMIFS(Emissions[2049],Emissions[[Sector]:[Sector]],$B55, Emissions[[Emissions_category]:[Emissions_category]],$B$21)/1000,"")</f>
        <v>0</v>
      </c>
      <c r="AF55" s="30">
        <f>IFERROR( SUMIFS(Emissions[2050],Emissions[[Sector]:[Sector]],$B55, Emissions[[Emissions_category]:[Emissions_category]],$B$21)/1000,"")</f>
        <v>0</v>
      </c>
      <c r="AG55" s="30">
        <f>IFERROR( SUMIFS(Emissions[2051],Emissions[[Sector]:[Sector]],$B55, Emissions[[Emissions_category]:[Emissions_category]],$B$21)/1000,"")</f>
        <v>0</v>
      </c>
    </row>
    <row r="56" spans="2:33" x14ac:dyDescent="0.45">
      <c r="B56" s="67" t="s">
        <v>275</v>
      </c>
      <c r="C56" s="30">
        <f>IFERROR( SUMIFS(Emissions[2021],Emissions[[Sector]:[Sector]],$B56, Emissions[[Emissions_category]:[Emissions_category]],$B$21)/1000,"")</f>
        <v>0</v>
      </c>
      <c r="D56" s="30">
        <f>IFERROR( SUMIFS(Emissions[2022],Emissions[[Sector]:[Sector]],$B56, Emissions[[Emissions_category]:[Emissions_category]],$B$21)/1000,"")</f>
        <v>0</v>
      </c>
      <c r="E56" s="30">
        <f>IFERROR( SUMIFS(Emissions[2023],Emissions[[Sector]:[Sector]],$B56, Emissions[[Emissions_category]:[Emissions_category]],$B$21)/1000,"")</f>
        <v>0</v>
      </c>
      <c r="F56" s="30">
        <f>IFERROR( SUMIFS(Emissions[2024],Emissions[[Sector]:[Sector]],$B56, Emissions[[Emissions_category]:[Emissions_category]],$B$21)/1000,"")</f>
        <v>0</v>
      </c>
      <c r="G56" s="30">
        <f>IFERROR( SUMIFS(Emissions[2025],Emissions[[Sector]:[Sector]],$B56, Emissions[[Emissions_category]:[Emissions_category]],$B$21)/1000,"")</f>
        <v>0</v>
      </c>
      <c r="H56" s="30">
        <f>IFERROR( SUMIFS(Emissions[2026],Emissions[[Sector]:[Sector]],$B56, Emissions[[Emissions_category]:[Emissions_category]],$B$21)/1000,"")</f>
        <v>0</v>
      </c>
      <c r="I56" s="30">
        <f>IFERROR( SUMIFS(Emissions[2027],Emissions[[Sector]:[Sector]],$B56, Emissions[[Emissions_category]:[Emissions_category]],$B$21)/1000,"")</f>
        <v>0</v>
      </c>
      <c r="J56" s="30">
        <f>IFERROR( SUMIFS(Emissions[2028],Emissions[[Sector]:[Sector]],$B56, Emissions[[Emissions_category]:[Emissions_category]],$B$21)/1000,"")</f>
        <v>0</v>
      </c>
      <c r="K56" s="30">
        <f>IFERROR( SUMIFS(Emissions[2029],Emissions[[Sector]:[Sector]],$B56, Emissions[[Emissions_category]:[Emissions_category]],$B$21)/1000,"")</f>
        <v>0</v>
      </c>
      <c r="L56" s="30">
        <f>IFERROR( SUMIFS(Emissions[2030],Emissions[[Sector]:[Sector]],$B56, Emissions[[Emissions_category]:[Emissions_category]],$B$21)/1000,"")</f>
        <v>0</v>
      </c>
      <c r="M56" s="30">
        <f>IFERROR( SUMIFS(Emissions[2031],Emissions[[Sector]:[Sector]],$B56, Emissions[[Emissions_category]:[Emissions_category]],$B$21)/1000,"")</f>
        <v>0</v>
      </c>
      <c r="N56" s="30">
        <f>IFERROR( SUMIFS(Emissions[2032],Emissions[[Sector]:[Sector]],$B56, Emissions[[Emissions_category]:[Emissions_category]],$B$21)/1000,"")</f>
        <v>0</v>
      </c>
      <c r="O56" s="30">
        <f>IFERROR( SUMIFS(Emissions[2033],Emissions[[Sector]:[Sector]],$B56, Emissions[[Emissions_category]:[Emissions_category]],$B$21)/1000,"")</f>
        <v>0</v>
      </c>
      <c r="P56" s="30">
        <f>IFERROR( SUMIFS(Emissions[2034],Emissions[[Sector]:[Sector]],$B56, Emissions[[Emissions_category]:[Emissions_category]],$B$21)/1000,"")</f>
        <v>0</v>
      </c>
      <c r="Q56" s="30">
        <f>IFERROR( SUMIFS(Emissions[2035],Emissions[[Sector]:[Sector]],$B56, Emissions[[Emissions_category]:[Emissions_category]],$B$21)/1000,"")</f>
        <v>0</v>
      </c>
      <c r="R56" s="30">
        <f>IFERROR( SUMIFS(Emissions[2036],Emissions[[Sector]:[Sector]],$B56, Emissions[[Emissions_category]:[Emissions_category]],$B$21)/1000,"")</f>
        <v>0</v>
      </c>
      <c r="S56" s="30">
        <f>IFERROR( SUMIFS(Emissions[2037],Emissions[[Sector]:[Sector]],$B56, Emissions[[Emissions_category]:[Emissions_category]],$B$21)/1000,"")</f>
        <v>0</v>
      </c>
      <c r="T56" s="30">
        <f>IFERROR( SUMIFS(Emissions[2038],Emissions[[Sector]:[Sector]],$B56, Emissions[[Emissions_category]:[Emissions_category]],$B$21)/1000,"")</f>
        <v>0</v>
      </c>
      <c r="U56" s="30">
        <f>IFERROR( SUMIFS(Emissions[2039],Emissions[[Sector]:[Sector]],$B56, Emissions[[Emissions_category]:[Emissions_category]],$B$21)/1000,"")</f>
        <v>0</v>
      </c>
      <c r="V56" s="30">
        <f>IFERROR( SUMIFS(Emissions[2040],Emissions[[Sector]:[Sector]],$B56, Emissions[[Emissions_category]:[Emissions_category]],$B$21)/1000,"")</f>
        <v>0</v>
      </c>
      <c r="W56" s="30">
        <f>IFERROR( SUMIFS(Emissions[2041],Emissions[[Sector]:[Sector]],$B56, Emissions[[Emissions_category]:[Emissions_category]],$B$21)/1000,"")</f>
        <v>0</v>
      </c>
      <c r="X56" s="30">
        <f>IFERROR( SUMIFS(Emissions[2042],Emissions[[Sector]:[Sector]],$B56, Emissions[[Emissions_category]:[Emissions_category]],$B$21)/1000,"")</f>
        <v>0</v>
      </c>
      <c r="Y56" s="30">
        <f>IFERROR( SUMIFS(Emissions[2043],Emissions[[Sector]:[Sector]],$B56, Emissions[[Emissions_category]:[Emissions_category]],$B$21)/1000,"")</f>
        <v>0</v>
      </c>
      <c r="Z56" s="30">
        <f>IFERROR( SUMIFS(Emissions[2044],Emissions[[Sector]:[Sector]],$B56, Emissions[[Emissions_category]:[Emissions_category]],$B$21)/1000,"")</f>
        <v>0</v>
      </c>
      <c r="AA56" s="30">
        <f>IFERROR( SUMIFS(Emissions[2045],Emissions[[Sector]:[Sector]],$B56, Emissions[[Emissions_category]:[Emissions_category]],$B$21)/1000,"")</f>
        <v>0</v>
      </c>
      <c r="AB56" s="30">
        <f>IFERROR( SUMIFS(Emissions[2046],Emissions[[Sector]:[Sector]],$B56, Emissions[[Emissions_category]:[Emissions_category]],$B$21)/1000,"")</f>
        <v>0</v>
      </c>
      <c r="AC56" s="30">
        <f>IFERROR( SUMIFS(Emissions[2047],Emissions[[Sector]:[Sector]],$B56, Emissions[[Emissions_category]:[Emissions_category]],$B$21)/1000,"")</f>
        <v>0</v>
      </c>
      <c r="AD56" s="30">
        <f>IFERROR( SUMIFS(Emissions[2048],Emissions[[Sector]:[Sector]],$B56, Emissions[[Emissions_category]:[Emissions_category]],$B$21)/1000,"")</f>
        <v>0</v>
      </c>
      <c r="AE56" s="30">
        <f>IFERROR( SUMIFS(Emissions[2049],Emissions[[Sector]:[Sector]],$B56, Emissions[[Emissions_category]:[Emissions_category]],$B$21)/1000,"")</f>
        <v>0</v>
      </c>
      <c r="AF56" s="30">
        <f>IFERROR( SUMIFS(Emissions[2050],Emissions[[Sector]:[Sector]],$B56, Emissions[[Emissions_category]:[Emissions_category]],$B$21)/1000,"")</f>
        <v>0</v>
      </c>
      <c r="AG56" s="30">
        <f>IFERROR( SUMIFS(Emissions[2051],Emissions[[Sector]:[Sector]],$B56, Emissions[[Emissions_category]:[Emissions_category]],$B$21)/1000,"")</f>
        <v>0</v>
      </c>
    </row>
    <row r="57" spans="2:33" x14ac:dyDescent="0.45">
      <c r="B57" s="33" t="s">
        <v>22</v>
      </c>
      <c r="C57" s="30">
        <f>IFERROR( SUMIFS(Emissions[2021],Emissions[[Sector]:[Sector]],$B57, Emissions[[Emissions_category]:[Emissions_category]],$B$21)/1000,"")</f>
        <v>0</v>
      </c>
      <c r="D57" s="30">
        <f>IFERROR( SUMIFS(Emissions[2022],Emissions[[Sector]:[Sector]],$B57, Emissions[[Emissions_category]:[Emissions_category]],$B$21)/1000,"")</f>
        <v>0</v>
      </c>
      <c r="E57" s="30">
        <f>IFERROR( SUMIFS(Emissions[2023],Emissions[[Sector]:[Sector]],$B57, Emissions[[Emissions_category]:[Emissions_category]],$B$21)/1000,"")</f>
        <v>0</v>
      </c>
      <c r="F57" s="30">
        <f>IFERROR( SUMIFS(Emissions[2024],Emissions[[Sector]:[Sector]],$B57, Emissions[[Emissions_category]:[Emissions_category]],$B$21)/1000,"")</f>
        <v>0</v>
      </c>
      <c r="G57" s="30">
        <f>IFERROR( SUMIFS(Emissions[2025],Emissions[[Sector]:[Sector]],$B57, Emissions[[Emissions_category]:[Emissions_category]],$B$21)/1000,"")</f>
        <v>0</v>
      </c>
      <c r="H57" s="30">
        <f>IFERROR( SUMIFS(Emissions[2026],Emissions[[Sector]:[Sector]],$B57, Emissions[[Emissions_category]:[Emissions_category]],$B$21)/1000,"")</f>
        <v>0</v>
      </c>
      <c r="I57" s="30">
        <f>IFERROR( SUMIFS(Emissions[2027],Emissions[[Sector]:[Sector]],$B57, Emissions[[Emissions_category]:[Emissions_category]],$B$21)/1000,"")</f>
        <v>0</v>
      </c>
      <c r="J57" s="30">
        <f>IFERROR( SUMIFS(Emissions[2028],Emissions[[Sector]:[Sector]],$B57, Emissions[[Emissions_category]:[Emissions_category]],$B$21)/1000,"")</f>
        <v>0</v>
      </c>
      <c r="K57" s="30">
        <f>IFERROR( SUMIFS(Emissions[2029],Emissions[[Sector]:[Sector]],$B57, Emissions[[Emissions_category]:[Emissions_category]],$B$21)/1000,"")</f>
        <v>0</v>
      </c>
      <c r="L57" s="30">
        <f>IFERROR( SUMIFS(Emissions[2030],Emissions[[Sector]:[Sector]],$B57, Emissions[[Emissions_category]:[Emissions_category]],$B$21)/1000,"")</f>
        <v>0</v>
      </c>
      <c r="M57" s="30">
        <f>IFERROR( SUMIFS(Emissions[2031],Emissions[[Sector]:[Sector]],$B57, Emissions[[Emissions_category]:[Emissions_category]],$B$21)/1000,"")</f>
        <v>0</v>
      </c>
      <c r="N57" s="30">
        <f>IFERROR( SUMIFS(Emissions[2032],Emissions[[Sector]:[Sector]],$B57, Emissions[[Emissions_category]:[Emissions_category]],$B$21)/1000,"")</f>
        <v>0</v>
      </c>
      <c r="O57" s="30">
        <f>IFERROR( SUMIFS(Emissions[2033],Emissions[[Sector]:[Sector]],$B57, Emissions[[Emissions_category]:[Emissions_category]],$B$21)/1000,"")</f>
        <v>0</v>
      </c>
      <c r="P57" s="30">
        <f>IFERROR( SUMIFS(Emissions[2034],Emissions[[Sector]:[Sector]],$B57, Emissions[[Emissions_category]:[Emissions_category]],$B$21)/1000,"")</f>
        <v>0</v>
      </c>
      <c r="Q57" s="30">
        <f>IFERROR( SUMIFS(Emissions[2035],Emissions[[Sector]:[Sector]],$B57, Emissions[[Emissions_category]:[Emissions_category]],$B$21)/1000,"")</f>
        <v>0</v>
      </c>
      <c r="R57" s="30">
        <f>IFERROR( SUMIFS(Emissions[2036],Emissions[[Sector]:[Sector]],$B57, Emissions[[Emissions_category]:[Emissions_category]],$B$21)/1000,"")</f>
        <v>0</v>
      </c>
      <c r="S57" s="30">
        <f>IFERROR( SUMIFS(Emissions[2037],Emissions[[Sector]:[Sector]],$B57, Emissions[[Emissions_category]:[Emissions_category]],$B$21)/1000,"")</f>
        <v>0</v>
      </c>
      <c r="T57" s="30">
        <f>IFERROR( SUMIFS(Emissions[2038],Emissions[[Sector]:[Sector]],$B57, Emissions[[Emissions_category]:[Emissions_category]],$B$21)/1000,"")</f>
        <v>0</v>
      </c>
      <c r="U57" s="30">
        <f>IFERROR( SUMIFS(Emissions[2039],Emissions[[Sector]:[Sector]],$B57, Emissions[[Emissions_category]:[Emissions_category]],$B$21)/1000,"")</f>
        <v>0</v>
      </c>
      <c r="V57" s="30">
        <f>IFERROR( SUMIFS(Emissions[2040],Emissions[[Sector]:[Sector]],$B57, Emissions[[Emissions_category]:[Emissions_category]],$B$21)/1000,"")</f>
        <v>0</v>
      </c>
      <c r="W57" s="30">
        <f>IFERROR( SUMIFS(Emissions[2041],Emissions[[Sector]:[Sector]],$B57, Emissions[[Emissions_category]:[Emissions_category]],$B$21)/1000,"")</f>
        <v>0</v>
      </c>
      <c r="X57" s="30">
        <f>IFERROR( SUMIFS(Emissions[2042],Emissions[[Sector]:[Sector]],$B57, Emissions[[Emissions_category]:[Emissions_category]],$B$21)/1000,"")</f>
        <v>0</v>
      </c>
      <c r="Y57" s="30">
        <f>IFERROR( SUMIFS(Emissions[2043],Emissions[[Sector]:[Sector]],$B57, Emissions[[Emissions_category]:[Emissions_category]],$B$21)/1000,"")</f>
        <v>0</v>
      </c>
      <c r="Z57" s="30">
        <f>IFERROR( SUMIFS(Emissions[2044],Emissions[[Sector]:[Sector]],$B57, Emissions[[Emissions_category]:[Emissions_category]],$B$21)/1000,"")</f>
        <v>0</v>
      </c>
      <c r="AA57" s="30">
        <f>IFERROR( SUMIFS(Emissions[2045],Emissions[[Sector]:[Sector]],$B57, Emissions[[Emissions_category]:[Emissions_category]],$B$21)/1000,"")</f>
        <v>0</v>
      </c>
      <c r="AB57" s="30">
        <f>IFERROR( SUMIFS(Emissions[2046],Emissions[[Sector]:[Sector]],$B57, Emissions[[Emissions_category]:[Emissions_category]],$B$21)/1000,"")</f>
        <v>0</v>
      </c>
      <c r="AC57" s="30">
        <f>IFERROR( SUMIFS(Emissions[2047],Emissions[[Sector]:[Sector]],$B57, Emissions[[Emissions_category]:[Emissions_category]],$B$21)/1000,"")</f>
        <v>0</v>
      </c>
      <c r="AD57" s="30">
        <f>IFERROR( SUMIFS(Emissions[2048],Emissions[[Sector]:[Sector]],$B57, Emissions[[Emissions_category]:[Emissions_category]],$B$21)/1000,"")</f>
        <v>0</v>
      </c>
      <c r="AE57" s="30">
        <f>IFERROR( SUMIFS(Emissions[2049],Emissions[[Sector]:[Sector]],$B57, Emissions[[Emissions_category]:[Emissions_category]],$B$21)/1000,"")</f>
        <v>0</v>
      </c>
      <c r="AF57" s="30">
        <f>IFERROR( SUMIFS(Emissions[2050],Emissions[[Sector]:[Sector]],$B57, Emissions[[Emissions_category]:[Emissions_category]],$B$21)/1000,"")</f>
        <v>0</v>
      </c>
      <c r="AG57" s="30">
        <f>IFERROR( SUMIFS(Emissions[2051],Emissions[[Sector]:[Sector]],$B57, Emissions[[Emissions_category]:[Emissions_category]],$B$21)/1000,"")</f>
        <v>0</v>
      </c>
    </row>
    <row r="58" spans="2:33" x14ac:dyDescent="0.45">
      <c r="B58" s="12" t="s">
        <v>18</v>
      </c>
      <c r="C58" s="28">
        <f>IFERROR(-SUMIFS(Emissions[2021], Emissions[[Emissions_category]:[Emissions_category]], $B$58, Emissions[[Sector]:[Sector]], $B$57)/1000,"")</f>
        <v>0</v>
      </c>
      <c r="D58" s="28">
        <f>IFERROR(-SUMIFS(Emissions[2022], Emissions[[Emissions_category]:[Emissions_category]], $B$58, Emissions[[Sector]:[Sector]], $B$57)/1000,"")</f>
        <v>0</v>
      </c>
      <c r="E58" s="28">
        <f>IFERROR(-SUMIFS(Emissions[2023], Emissions[[Emissions_category]:[Emissions_category]], $B$58, Emissions[[Sector]:[Sector]], $B$57)/1000,"")</f>
        <v>0</v>
      </c>
      <c r="F58" s="28">
        <f>IFERROR(-SUMIFS(Emissions[2024], Emissions[[Emissions_category]:[Emissions_category]], $B$58, Emissions[[Sector]:[Sector]], $B$57)/1000,"")</f>
        <v>0</v>
      </c>
      <c r="G58" s="28">
        <f>IFERROR(-SUMIFS(Emissions[2025], Emissions[[Emissions_category]:[Emissions_category]], $B$58, Emissions[[Sector]:[Sector]], $B$57)/1000,"")</f>
        <v>0</v>
      </c>
      <c r="H58" s="28">
        <f>IFERROR(-SUMIFS(Emissions[2026], Emissions[[Emissions_category]:[Emissions_category]], $B$58, Emissions[[Sector]:[Sector]], $B$57)/1000,"")</f>
        <v>0</v>
      </c>
      <c r="I58" s="28">
        <f>IFERROR(-SUMIFS(Emissions[2027], Emissions[[Emissions_category]:[Emissions_category]], $B$58, Emissions[[Sector]:[Sector]], $B$57)/1000,"")</f>
        <v>0</v>
      </c>
      <c r="J58" s="28">
        <f>IFERROR(-SUMIFS(Emissions[2028], Emissions[[Emissions_category]:[Emissions_category]], $B$58, Emissions[[Sector]:[Sector]], $B$57)/1000,"")</f>
        <v>0</v>
      </c>
      <c r="K58" s="28">
        <f>IFERROR(-SUMIFS(Emissions[2029], Emissions[[Emissions_category]:[Emissions_category]], $B$58, Emissions[[Sector]:[Sector]], $B$57)/1000,"")</f>
        <v>0</v>
      </c>
      <c r="L58" s="28">
        <f>IFERROR(-SUMIFS(Emissions[2030], Emissions[[Emissions_category]:[Emissions_category]], $B$58, Emissions[[Sector]:[Sector]], $B$57)/1000,"")</f>
        <v>0</v>
      </c>
      <c r="M58" s="28">
        <f>IFERROR(-SUMIFS(Emissions[2031], Emissions[[Emissions_category]:[Emissions_category]], $B$58, Emissions[[Sector]:[Sector]], $B$57)/1000,"")</f>
        <v>0</v>
      </c>
      <c r="N58" s="28">
        <f>IFERROR(-SUMIFS(Emissions[2032], Emissions[[Emissions_category]:[Emissions_category]], $B$58, Emissions[[Sector]:[Sector]], $B$57)/1000,"")</f>
        <v>0</v>
      </c>
      <c r="O58" s="28">
        <f>IFERROR(-SUMIFS(Emissions[2033], Emissions[[Emissions_category]:[Emissions_category]], $B$58, Emissions[[Sector]:[Sector]], $B$57)/1000,"")</f>
        <v>0</v>
      </c>
      <c r="P58" s="28">
        <f>IFERROR(-SUMIFS(Emissions[2034], Emissions[[Emissions_category]:[Emissions_category]], $B$58, Emissions[[Sector]:[Sector]], $B$57)/1000,"")</f>
        <v>0</v>
      </c>
      <c r="Q58" s="28">
        <f>IFERROR(-SUMIFS(Emissions[2035], Emissions[[Emissions_category]:[Emissions_category]], $B$58, Emissions[[Sector]:[Sector]], $B$57)/1000,"")</f>
        <v>0</v>
      </c>
      <c r="R58" s="28">
        <f>IFERROR(-SUMIFS(Emissions[2036], Emissions[[Emissions_category]:[Emissions_category]], $B$58, Emissions[[Sector]:[Sector]], $B$57)/1000,"")</f>
        <v>0</v>
      </c>
      <c r="S58" s="28">
        <f>IFERROR(-SUMIFS(Emissions[2037], Emissions[[Emissions_category]:[Emissions_category]], $B$58, Emissions[[Sector]:[Sector]], $B$57)/1000,"")</f>
        <v>0</v>
      </c>
      <c r="T58" s="28">
        <f>IFERROR(-SUMIFS(Emissions[2038], Emissions[[Emissions_category]:[Emissions_category]], $B$58, Emissions[[Sector]:[Sector]], $B$57)/1000,"")</f>
        <v>0</v>
      </c>
      <c r="U58" s="28">
        <f>IFERROR(-SUMIFS(Emissions[2039], Emissions[[Emissions_category]:[Emissions_category]], $B$58, Emissions[[Sector]:[Sector]], $B$57)/1000,"")</f>
        <v>0</v>
      </c>
      <c r="V58" s="28">
        <f>IFERROR(-SUMIFS(Emissions[2040], Emissions[[Emissions_category]:[Emissions_category]], $B$58, Emissions[[Sector]:[Sector]], $B$57)/1000,"")</f>
        <v>0</v>
      </c>
      <c r="W58" s="28">
        <f>IFERROR(-SUMIFS(Emissions[2041], Emissions[[Emissions_category]:[Emissions_category]], $B$58, Emissions[[Sector]:[Sector]], $B$57)/1000,"")</f>
        <v>0</v>
      </c>
      <c r="X58" s="28">
        <f>IFERROR(-SUMIFS(Emissions[2042], Emissions[[Emissions_category]:[Emissions_category]], $B$58, Emissions[[Sector]:[Sector]], $B$57)/1000,"")</f>
        <v>0</v>
      </c>
      <c r="Y58" s="28">
        <f>IFERROR(-SUMIFS(Emissions[2043], Emissions[[Emissions_category]:[Emissions_category]], $B$58, Emissions[[Sector]:[Sector]], $B$57)/1000,"")</f>
        <v>0</v>
      </c>
      <c r="Z58" s="28">
        <f>IFERROR(-SUMIFS(Emissions[2044], Emissions[[Emissions_category]:[Emissions_category]], $B$58, Emissions[[Sector]:[Sector]], $B$57)/1000,"")</f>
        <v>0</v>
      </c>
      <c r="AA58" s="28">
        <f>IFERROR(-SUMIFS(Emissions[2045], Emissions[[Emissions_category]:[Emissions_category]], $B$58, Emissions[[Sector]:[Sector]], $B$57)/1000,"")</f>
        <v>0</v>
      </c>
      <c r="AB58" s="28">
        <f>IFERROR(-SUMIFS(Emissions[2046], Emissions[[Emissions_category]:[Emissions_category]], $B$58, Emissions[[Sector]:[Sector]], $B$57)/1000,"")</f>
        <v>0</v>
      </c>
      <c r="AC58" s="28">
        <f>IFERROR(-SUMIFS(Emissions[2047], Emissions[[Emissions_category]:[Emissions_category]], $B$58, Emissions[[Sector]:[Sector]], $B$57)/1000,"")</f>
        <v>0</v>
      </c>
      <c r="AD58" s="28">
        <f>IFERROR(-SUMIFS(Emissions[2048], Emissions[[Emissions_category]:[Emissions_category]], $B$58, Emissions[[Sector]:[Sector]], $B$57)/1000,"")</f>
        <v>0</v>
      </c>
      <c r="AE58" s="28">
        <f>IFERROR(-SUMIFS(Emissions[2049], Emissions[[Emissions_category]:[Emissions_category]], $B$58, Emissions[[Sector]:[Sector]], $B$57)/1000,"")</f>
        <v>0</v>
      </c>
      <c r="AF58" s="28">
        <f>IFERROR(-SUMIFS(Emissions[2050], Emissions[[Emissions_category]:[Emissions_category]], $B$58, Emissions[[Sector]:[Sector]], $B$57)/1000,"")</f>
        <v>0</v>
      </c>
      <c r="AG58" s="28">
        <f>IFERROR(-SUMIFS(Emissions[2051], Emissions[[Emissions_category]:[Emissions_category]], $B$58, Emissions[[Sector]:[Sector]], $B$57)/1000,"")</f>
        <v>0</v>
      </c>
    </row>
    <row r="59" spans="2:33" x14ac:dyDescent="0.45">
      <c r="B59" s="12" t="s">
        <v>19</v>
      </c>
      <c r="C59" s="28">
        <f>IFERROR(-C58+C57,"")</f>
        <v>0</v>
      </c>
      <c r="D59" s="28">
        <f t="shared" ref="D59:AG59" si="6">IFERROR(-D58+D57,"")</f>
        <v>0</v>
      </c>
      <c r="E59" s="28">
        <f t="shared" si="6"/>
        <v>0</v>
      </c>
      <c r="F59" s="28">
        <f t="shared" si="6"/>
        <v>0</v>
      </c>
      <c r="G59" s="28">
        <f t="shared" si="6"/>
        <v>0</v>
      </c>
      <c r="H59" s="28">
        <f t="shared" si="6"/>
        <v>0</v>
      </c>
      <c r="I59" s="28">
        <f t="shared" si="6"/>
        <v>0</v>
      </c>
      <c r="J59" s="28">
        <f t="shared" si="6"/>
        <v>0</v>
      </c>
      <c r="K59" s="28">
        <f t="shared" si="6"/>
        <v>0</v>
      </c>
      <c r="L59" s="28">
        <f t="shared" si="6"/>
        <v>0</v>
      </c>
      <c r="M59" s="28">
        <f t="shared" si="6"/>
        <v>0</v>
      </c>
      <c r="N59" s="28">
        <f t="shared" si="6"/>
        <v>0</v>
      </c>
      <c r="O59" s="28">
        <f t="shared" si="6"/>
        <v>0</v>
      </c>
      <c r="P59" s="28">
        <f t="shared" si="6"/>
        <v>0</v>
      </c>
      <c r="Q59" s="28">
        <f t="shared" si="6"/>
        <v>0</v>
      </c>
      <c r="R59" s="28">
        <f t="shared" si="6"/>
        <v>0</v>
      </c>
      <c r="S59" s="28">
        <f t="shared" si="6"/>
        <v>0</v>
      </c>
      <c r="T59" s="28">
        <f t="shared" si="6"/>
        <v>0</v>
      </c>
      <c r="U59" s="28">
        <f t="shared" si="6"/>
        <v>0</v>
      </c>
      <c r="V59" s="28">
        <f t="shared" si="6"/>
        <v>0</v>
      </c>
      <c r="W59" s="28">
        <f t="shared" si="6"/>
        <v>0</v>
      </c>
      <c r="X59" s="28">
        <f t="shared" si="6"/>
        <v>0</v>
      </c>
      <c r="Y59" s="28">
        <f t="shared" si="6"/>
        <v>0</v>
      </c>
      <c r="Z59" s="28">
        <f t="shared" si="6"/>
        <v>0</v>
      </c>
      <c r="AA59" s="28">
        <f t="shared" si="6"/>
        <v>0</v>
      </c>
      <c r="AB59" s="28">
        <f t="shared" si="6"/>
        <v>0</v>
      </c>
      <c r="AC59" s="28">
        <f t="shared" si="6"/>
        <v>0</v>
      </c>
      <c r="AD59" s="28">
        <f t="shared" si="6"/>
        <v>0</v>
      </c>
      <c r="AE59" s="28">
        <f t="shared" si="6"/>
        <v>0</v>
      </c>
      <c r="AF59" s="28">
        <f t="shared" si="6"/>
        <v>0</v>
      </c>
      <c r="AG59" s="28">
        <f t="shared" si="6"/>
        <v>0</v>
      </c>
    </row>
    <row r="60" spans="2:33" x14ac:dyDescent="0.45">
      <c r="B60" s="33" t="s">
        <v>268</v>
      </c>
      <c r="C60" s="30">
        <f>IFERROR( SUMIFS(Emissions[2021],Emissions[[Sector]:[Sector]],$B60, Emissions[[Emissions_category]:[Emissions_category]],$B$21)/1000,"")</f>
        <v>0</v>
      </c>
      <c r="D60" s="30">
        <f>IFERROR( SUMIFS(Emissions[2022],Emissions[[Sector]:[Sector]],$B60, Emissions[[Emissions_category]:[Emissions_category]],$B$21)/1000,"")</f>
        <v>0</v>
      </c>
      <c r="E60" s="30">
        <f>IFERROR( SUMIFS(Emissions[2023],Emissions[[Sector]:[Sector]],$B60, Emissions[[Emissions_category]:[Emissions_category]],$B$21)/1000,"")</f>
        <v>0</v>
      </c>
      <c r="F60" s="30">
        <f>IFERROR( SUMIFS(Emissions[2024],Emissions[[Sector]:[Sector]],$B60, Emissions[[Emissions_category]:[Emissions_category]],$B$21)/1000,"")</f>
        <v>0</v>
      </c>
      <c r="G60" s="30">
        <f>IFERROR( SUMIFS(Emissions[2025],Emissions[[Sector]:[Sector]],$B60, Emissions[[Emissions_category]:[Emissions_category]],$B$21)/1000,"")</f>
        <v>0</v>
      </c>
      <c r="H60" s="30">
        <f>IFERROR( SUMIFS(Emissions[2026],Emissions[[Sector]:[Sector]],$B60, Emissions[[Emissions_category]:[Emissions_category]],$B$21)/1000,"")</f>
        <v>0</v>
      </c>
      <c r="I60" s="30">
        <f>IFERROR( SUMIFS(Emissions[2027],Emissions[[Sector]:[Sector]],$B60, Emissions[[Emissions_category]:[Emissions_category]],$B$21)/1000,"")</f>
        <v>0</v>
      </c>
      <c r="J60" s="30">
        <f>IFERROR( SUMIFS(Emissions[2028],Emissions[[Sector]:[Sector]],$B60, Emissions[[Emissions_category]:[Emissions_category]],$B$21)/1000,"")</f>
        <v>0</v>
      </c>
      <c r="K60" s="30">
        <f>IFERROR( SUMIFS(Emissions[2029],Emissions[[Sector]:[Sector]],$B60, Emissions[[Emissions_category]:[Emissions_category]],$B$21)/1000,"")</f>
        <v>0</v>
      </c>
      <c r="L60" s="30">
        <f>IFERROR( SUMIFS(Emissions[2030],Emissions[[Sector]:[Sector]],$B60, Emissions[[Emissions_category]:[Emissions_category]],$B$21)/1000,"")</f>
        <v>0</v>
      </c>
      <c r="M60" s="30">
        <f>IFERROR( SUMIFS(Emissions[2031],Emissions[[Sector]:[Sector]],$B60, Emissions[[Emissions_category]:[Emissions_category]],$B$21)/1000,"")</f>
        <v>0</v>
      </c>
      <c r="N60" s="30">
        <f>IFERROR( SUMIFS(Emissions[2032],Emissions[[Sector]:[Sector]],$B60, Emissions[[Emissions_category]:[Emissions_category]],$B$21)/1000,"")</f>
        <v>0</v>
      </c>
      <c r="O60" s="30">
        <f>IFERROR( SUMIFS(Emissions[2033],Emissions[[Sector]:[Sector]],$B60, Emissions[[Emissions_category]:[Emissions_category]],$B$21)/1000,"")</f>
        <v>0</v>
      </c>
      <c r="P60" s="30">
        <f>IFERROR( SUMIFS(Emissions[2034],Emissions[[Sector]:[Sector]],$B60, Emissions[[Emissions_category]:[Emissions_category]],$B$21)/1000,"")</f>
        <v>0</v>
      </c>
      <c r="Q60" s="30">
        <f>IFERROR( SUMIFS(Emissions[2035],Emissions[[Sector]:[Sector]],$B60, Emissions[[Emissions_category]:[Emissions_category]],$B$21)/1000,"")</f>
        <v>0</v>
      </c>
      <c r="R60" s="30">
        <f>IFERROR( SUMIFS(Emissions[2036],Emissions[[Sector]:[Sector]],$B60, Emissions[[Emissions_category]:[Emissions_category]],$B$21)/1000,"")</f>
        <v>0</v>
      </c>
      <c r="S60" s="30">
        <f>IFERROR( SUMIFS(Emissions[2037],Emissions[[Sector]:[Sector]],$B60, Emissions[[Emissions_category]:[Emissions_category]],$B$21)/1000,"")</f>
        <v>0</v>
      </c>
      <c r="T60" s="30">
        <f>IFERROR( SUMIFS(Emissions[2038],Emissions[[Sector]:[Sector]],$B60, Emissions[[Emissions_category]:[Emissions_category]],$B$21)/1000,"")</f>
        <v>0</v>
      </c>
      <c r="U60" s="30">
        <f>IFERROR( SUMIFS(Emissions[2039],Emissions[[Sector]:[Sector]],$B60, Emissions[[Emissions_category]:[Emissions_category]],$B$21)/1000,"")</f>
        <v>0</v>
      </c>
      <c r="V60" s="30">
        <f>IFERROR( SUMIFS(Emissions[2040],Emissions[[Sector]:[Sector]],$B60, Emissions[[Emissions_category]:[Emissions_category]],$B$21)/1000,"")</f>
        <v>0</v>
      </c>
      <c r="W60" s="30">
        <f>IFERROR( SUMIFS(Emissions[2041],Emissions[[Sector]:[Sector]],$B60, Emissions[[Emissions_category]:[Emissions_category]],$B$21)/1000,"")</f>
        <v>0</v>
      </c>
      <c r="X60" s="30">
        <f>IFERROR( SUMIFS(Emissions[2042],Emissions[[Sector]:[Sector]],$B60, Emissions[[Emissions_category]:[Emissions_category]],$B$21)/1000,"")</f>
        <v>0</v>
      </c>
      <c r="Y60" s="30">
        <f>IFERROR( SUMIFS(Emissions[2043],Emissions[[Sector]:[Sector]],$B60, Emissions[[Emissions_category]:[Emissions_category]],$B$21)/1000,"")</f>
        <v>0</v>
      </c>
      <c r="Z60" s="30">
        <f>IFERROR( SUMIFS(Emissions[2044],Emissions[[Sector]:[Sector]],$B60, Emissions[[Emissions_category]:[Emissions_category]],$B$21)/1000,"")</f>
        <v>0</v>
      </c>
      <c r="AA60" s="30">
        <f>IFERROR( SUMIFS(Emissions[2045],Emissions[[Sector]:[Sector]],$B60, Emissions[[Emissions_category]:[Emissions_category]],$B$21)/1000,"")</f>
        <v>0</v>
      </c>
      <c r="AB60" s="30">
        <f>IFERROR( SUMIFS(Emissions[2046],Emissions[[Sector]:[Sector]],$B60, Emissions[[Emissions_category]:[Emissions_category]],$B$21)/1000,"")</f>
        <v>0</v>
      </c>
      <c r="AC60" s="30">
        <f>IFERROR( SUMIFS(Emissions[2047],Emissions[[Sector]:[Sector]],$B60, Emissions[[Emissions_category]:[Emissions_category]],$B$21)/1000,"")</f>
        <v>0</v>
      </c>
      <c r="AD60" s="30">
        <f>IFERROR( SUMIFS(Emissions[2048],Emissions[[Sector]:[Sector]],$B60, Emissions[[Emissions_category]:[Emissions_category]],$B$21)/1000,"")</f>
        <v>0</v>
      </c>
      <c r="AE60" s="30">
        <f>IFERROR( SUMIFS(Emissions[2049],Emissions[[Sector]:[Sector]],$B60, Emissions[[Emissions_category]:[Emissions_category]],$B$21)/1000,"")</f>
        <v>0</v>
      </c>
      <c r="AF60" s="30">
        <f>IFERROR( SUMIFS(Emissions[2050],Emissions[[Sector]:[Sector]],$B60, Emissions[[Emissions_category]:[Emissions_category]],$B$21)/1000,"")</f>
        <v>0</v>
      </c>
      <c r="AG60" s="30">
        <f>IFERROR( SUMIFS(Emissions[2051],Emissions[[Sector]:[Sector]],$B60, Emissions[[Emissions_category]:[Emissions_category]],$B$21)/1000,"")</f>
        <v>0</v>
      </c>
    </row>
    <row r="61" spans="2:33" x14ac:dyDescent="0.45">
      <c r="B61" s="12" t="s">
        <v>18</v>
      </c>
      <c r="C61" s="28">
        <f>IFERROR(-SUMIFS(Emissions[2021], Emissions[[Emissions_category]:[Emissions_category]], $B$61, Emissions[[Sector]:[Sector]], $B$60)/1000,"")</f>
        <v>0</v>
      </c>
      <c r="D61" s="28">
        <f>IFERROR(-SUMIFS(Emissions[2022], Emissions[[Emissions_category]:[Emissions_category]], $B$61, Emissions[[Sector]:[Sector]], $B$60)/1000,"")</f>
        <v>0</v>
      </c>
      <c r="E61" s="28">
        <f>IFERROR(-SUMIFS(Emissions[2023], Emissions[[Emissions_category]:[Emissions_category]], $B$61, Emissions[[Sector]:[Sector]], $B$60)/1000,"")</f>
        <v>0</v>
      </c>
      <c r="F61" s="28">
        <f>IFERROR(-SUMIFS(Emissions[2024], Emissions[[Emissions_category]:[Emissions_category]], $B$61, Emissions[[Sector]:[Sector]], $B$60)/1000,"")</f>
        <v>0</v>
      </c>
      <c r="G61" s="28">
        <f>IFERROR(-SUMIFS(Emissions[2025], Emissions[[Emissions_category]:[Emissions_category]], $B$61, Emissions[[Sector]:[Sector]], $B$60)/1000,"")</f>
        <v>0</v>
      </c>
      <c r="H61" s="28">
        <f>IFERROR(-SUMIFS(Emissions[2026], Emissions[[Emissions_category]:[Emissions_category]], $B$61, Emissions[[Sector]:[Sector]], $B$60)/1000,"")</f>
        <v>0</v>
      </c>
      <c r="I61" s="28">
        <f>IFERROR(-SUMIFS(Emissions[2027], Emissions[[Emissions_category]:[Emissions_category]], $B$61, Emissions[[Sector]:[Sector]], $B$60)/1000,"")</f>
        <v>0</v>
      </c>
      <c r="J61" s="28">
        <f>IFERROR(-SUMIFS(Emissions[2028], Emissions[[Emissions_category]:[Emissions_category]], $B$61, Emissions[[Sector]:[Sector]], $B$60)/1000,"")</f>
        <v>0</v>
      </c>
      <c r="K61" s="28">
        <f>IFERROR(-SUMIFS(Emissions[2029], Emissions[[Emissions_category]:[Emissions_category]], $B$61, Emissions[[Sector]:[Sector]], $B$60)/1000,"")</f>
        <v>0</v>
      </c>
      <c r="L61" s="28">
        <f>IFERROR(-SUMIFS(Emissions[2030], Emissions[[Emissions_category]:[Emissions_category]], $B$61, Emissions[[Sector]:[Sector]], $B$60)/1000,"")</f>
        <v>0</v>
      </c>
      <c r="M61" s="28">
        <f>IFERROR(-SUMIFS(Emissions[2031], Emissions[[Emissions_category]:[Emissions_category]], $B$61, Emissions[[Sector]:[Sector]], $B$60)/1000,"")</f>
        <v>0</v>
      </c>
      <c r="N61" s="28">
        <f>IFERROR(-SUMIFS(Emissions[2032], Emissions[[Emissions_category]:[Emissions_category]], $B$61, Emissions[[Sector]:[Sector]], $B$60)/1000,"")</f>
        <v>0</v>
      </c>
      <c r="O61" s="28">
        <f>IFERROR(-SUMIFS(Emissions[2033], Emissions[[Emissions_category]:[Emissions_category]], $B$61, Emissions[[Sector]:[Sector]], $B$60)/1000,"")</f>
        <v>0</v>
      </c>
      <c r="P61" s="28">
        <f>IFERROR(-SUMIFS(Emissions[2034], Emissions[[Emissions_category]:[Emissions_category]], $B$61, Emissions[[Sector]:[Sector]], $B$60)/1000,"")</f>
        <v>0</v>
      </c>
      <c r="Q61" s="28">
        <f>IFERROR(-SUMIFS(Emissions[2035], Emissions[[Emissions_category]:[Emissions_category]], $B$61, Emissions[[Sector]:[Sector]], $B$60)/1000,"")</f>
        <v>0</v>
      </c>
      <c r="R61" s="28">
        <f>IFERROR(-SUMIFS(Emissions[2036], Emissions[[Emissions_category]:[Emissions_category]], $B$61, Emissions[[Sector]:[Sector]], $B$60)/1000,"")</f>
        <v>0</v>
      </c>
      <c r="S61" s="28">
        <f>IFERROR(-SUMIFS(Emissions[2037], Emissions[[Emissions_category]:[Emissions_category]], $B$61, Emissions[[Sector]:[Sector]], $B$60)/1000,"")</f>
        <v>0</v>
      </c>
      <c r="T61" s="28">
        <f>IFERROR(-SUMIFS(Emissions[2038], Emissions[[Emissions_category]:[Emissions_category]], $B$61, Emissions[[Sector]:[Sector]], $B$60)/1000,"")</f>
        <v>0</v>
      </c>
      <c r="U61" s="28">
        <f>IFERROR(-SUMIFS(Emissions[2039], Emissions[[Emissions_category]:[Emissions_category]], $B$61, Emissions[[Sector]:[Sector]], $B$60)/1000,"")</f>
        <v>0</v>
      </c>
      <c r="V61" s="28">
        <f>IFERROR(-SUMIFS(Emissions[2040], Emissions[[Emissions_category]:[Emissions_category]], $B$61, Emissions[[Sector]:[Sector]], $B$60)/1000,"")</f>
        <v>0</v>
      </c>
      <c r="W61" s="28">
        <f>IFERROR(-SUMIFS(Emissions[2041], Emissions[[Emissions_category]:[Emissions_category]], $B$61, Emissions[[Sector]:[Sector]], $B$60)/1000,"")</f>
        <v>0</v>
      </c>
      <c r="X61" s="28">
        <f>IFERROR(-SUMIFS(Emissions[2042], Emissions[[Emissions_category]:[Emissions_category]], $B$61, Emissions[[Sector]:[Sector]], $B$60)/1000,"")</f>
        <v>0</v>
      </c>
      <c r="Y61" s="28">
        <f>IFERROR(-SUMIFS(Emissions[2043], Emissions[[Emissions_category]:[Emissions_category]], $B$61, Emissions[[Sector]:[Sector]], $B$60)/1000,"")</f>
        <v>0</v>
      </c>
      <c r="Z61" s="28">
        <f>IFERROR(-SUMIFS(Emissions[2044], Emissions[[Emissions_category]:[Emissions_category]], $B$61, Emissions[[Sector]:[Sector]], $B$60)/1000,"")</f>
        <v>0</v>
      </c>
      <c r="AA61" s="28">
        <f>IFERROR(-SUMIFS(Emissions[2045], Emissions[[Emissions_category]:[Emissions_category]], $B$61, Emissions[[Sector]:[Sector]], $B$60)/1000,"")</f>
        <v>0</v>
      </c>
      <c r="AB61" s="28">
        <f>IFERROR(-SUMIFS(Emissions[2046], Emissions[[Emissions_category]:[Emissions_category]], $B$61, Emissions[[Sector]:[Sector]], $B$60)/1000,"")</f>
        <v>0</v>
      </c>
      <c r="AC61" s="28">
        <f>IFERROR(-SUMIFS(Emissions[2047], Emissions[[Emissions_category]:[Emissions_category]], $B$61, Emissions[[Sector]:[Sector]], $B$60)/1000,"")</f>
        <v>0</v>
      </c>
      <c r="AD61" s="28">
        <f>IFERROR(-SUMIFS(Emissions[2048], Emissions[[Emissions_category]:[Emissions_category]], $B$61, Emissions[[Sector]:[Sector]], $B$60)/1000,"")</f>
        <v>0</v>
      </c>
      <c r="AE61" s="28">
        <f>IFERROR(-SUMIFS(Emissions[2049], Emissions[[Emissions_category]:[Emissions_category]], $B$61, Emissions[[Sector]:[Sector]], $B$60)/1000,"")</f>
        <v>0</v>
      </c>
      <c r="AF61" s="28">
        <f>IFERROR(-SUMIFS(Emissions[2050], Emissions[[Emissions_category]:[Emissions_category]], $B$61, Emissions[[Sector]:[Sector]], $B$60)/1000,"")</f>
        <v>0</v>
      </c>
      <c r="AG61" s="28">
        <f>IFERROR(-SUMIFS(Emissions[2051], Emissions[[Emissions_category]:[Emissions_category]], $B$61, Emissions[[Sector]:[Sector]], $B$60)/1000,"")</f>
        <v>0</v>
      </c>
    </row>
    <row r="62" spans="2:33" x14ac:dyDescent="0.45">
      <c r="B62" s="12" t="s">
        <v>19</v>
      </c>
      <c r="C62" s="28">
        <f>IFERROR(-C61+C60,"")</f>
        <v>0</v>
      </c>
      <c r="D62" s="28">
        <f t="shared" ref="D62:AG62" si="7">IFERROR(-D61+D60,"")</f>
        <v>0</v>
      </c>
      <c r="E62" s="28">
        <f t="shared" si="7"/>
        <v>0</v>
      </c>
      <c r="F62" s="28">
        <f t="shared" si="7"/>
        <v>0</v>
      </c>
      <c r="G62" s="28">
        <f t="shared" si="7"/>
        <v>0</v>
      </c>
      <c r="H62" s="28">
        <f t="shared" si="7"/>
        <v>0</v>
      </c>
      <c r="I62" s="28">
        <f t="shared" si="7"/>
        <v>0</v>
      </c>
      <c r="J62" s="28">
        <f t="shared" si="7"/>
        <v>0</v>
      </c>
      <c r="K62" s="28">
        <f t="shared" si="7"/>
        <v>0</v>
      </c>
      <c r="L62" s="28">
        <f t="shared" si="7"/>
        <v>0</v>
      </c>
      <c r="M62" s="28">
        <f t="shared" si="7"/>
        <v>0</v>
      </c>
      <c r="N62" s="28">
        <f t="shared" si="7"/>
        <v>0</v>
      </c>
      <c r="O62" s="28">
        <f t="shared" si="7"/>
        <v>0</v>
      </c>
      <c r="P62" s="28">
        <f t="shared" si="7"/>
        <v>0</v>
      </c>
      <c r="Q62" s="28">
        <f t="shared" si="7"/>
        <v>0</v>
      </c>
      <c r="R62" s="28">
        <f t="shared" si="7"/>
        <v>0</v>
      </c>
      <c r="S62" s="28">
        <f t="shared" si="7"/>
        <v>0</v>
      </c>
      <c r="T62" s="28">
        <f t="shared" si="7"/>
        <v>0</v>
      </c>
      <c r="U62" s="28">
        <f t="shared" si="7"/>
        <v>0</v>
      </c>
      <c r="V62" s="28">
        <f t="shared" si="7"/>
        <v>0</v>
      </c>
      <c r="W62" s="28">
        <f t="shared" si="7"/>
        <v>0</v>
      </c>
      <c r="X62" s="28">
        <f t="shared" si="7"/>
        <v>0</v>
      </c>
      <c r="Y62" s="28">
        <f t="shared" si="7"/>
        <v>0</v>
      </c>
      <c r="Z62" s="28">
        <f t="shared" si="7"/>
        <v>0</v>
      </c>
      <c r="AA62" s="28">
        <f t="shared" si="7"/>
        <v>0</v>
      </c>
      <c r="AB62" s="28">
        <f t="shared" si="7"/>
        <v>0</v>
      </c>
      <c r="AC62" s="28">
        <f t="shared" si="7"/>
        <v>0</v>
      </c>
      <c r="AD62" s="28">
        <f t="shared" si="7"/>
        <v>0</v>
      </c>
      <c r="AE62" s="28">
        <f t="shared" si="7"/>
        <v>0</v>
      </c>
      <c r="AF62" s="28">
        <f t="shared" si="7"/>
        <v>0</v>
      </c>
      <c r="AG62" s="28">
        <f t="shared" si="7"/>
        <v>0</v>
      </c>
    </row>
    <row r="63" spans="2:33" x14ac:dyDescent="0.45">
      <c r="B63" s="33" t="s">
        <v>269</v>
      </c>
      <c r="C63" s="30">
        <f>IFERROR( SUMIFS(Emissions[2021],Emissions[[Sector]:[Sector]],$B63, Emissions[[Emissions_category]:[Emissions_category]],$B$21)/1000,"")</f>
        <v>0</v>
      </c>
      <c r="D63" s="30">
        <f>IFERROR( SUMIFS(Emissions[2022],Emissions[[Sector]:[Sector]],$B63, Emissions[[Emissions_category]:[Emissions_category]],$B$21)/1000,"")</f>
        <v>0</v>
      </c>
      <c r="E63" s="30">
        <f>IFERROR( SUMIFS(Emissions[2023],Emissions[[Sector]:[Sector]],$B63, Emissions[[Emissions_category]:[Emissions_category]],$B$21)/1000,"")</f>
        <v>0</v>
      </c>
      <c r="F63" s="30">
        <f>IFERROR( SUMIFS(Emissions[2024],Emissions[[Sector]:[Sector]],$B63, Emissions[[Emissions_category]:[Emissions_category]],$B$21)/1000,"")</f>
        <v>0</v>
      </c>
      <c r="G63" s="30">
        <f>IFERROR( SUMIFS(Emissions[2025],Emissions[[Sector]:[Sector]],$B63, Emissions[[Emissions_category]:[Emissions_category]],$B$21)/1000,"")</f>
        <v>0</v>
      </c>
      <c r="H63" s="30">
        <f>IFERROR( SUMIFS(Emissions[2026],Emissions[[Sector]:[Sector]],$B63, Emissions[[Emissions_category]:[Emissions_category]],$B$21)/1000,"")</f>
        <v>0</v>
      </c>
      <c r="I63" s="30">
        <f>IFERROR( SUMIFS(Emissions[2027],Emissions[[Sector]:[Sector]],$B63, Emissions[[Emissions_category]:[Emissions_category]],$B$21)/1000,"")</f>
        <v>0</v>
      </c>
      <c r="J63" s="30">
        <f>IFERROR( SUMIFS(Emissions[2028],Emissions[[Sector]:[Sector]],$B63, Emissions[[Emissions_category]:[Emissions_category]],$B$21)/1000,"")</f>
        <v>0</v>
      </c>
      <c r="K63" s="30">
        <f>IFERROR( SUMIFS(Emissions[2029],Emissions[[Sector]:[Sector]],$B63, Emissions[[Emissions_category]:[Emissions_category]],$B$21)/1000,"")</f>
        <v>0</v>
      </c>
      <c r="L63" s="30">
        <f>IFERROR( SUMIFS(Emissions[2030],Emissions[[Sector]:[Sector]],$B63, Emissions[[Emissions_category]:[Emissions_category]],$B$21)/1000,"")</f>
        <v>0</v>
      </c>
      <c r="M63" s="30">
        <f>IFERROR( SUMIFS(Emissions[2031],Emissions[[Sector]:[Sector]],$B63, Emissions[[Emissions_category]:[Emissions_category]],$B$21)/1000,"")</f>
        <v>0</v>
      </c>
      <c r="N63" s="30">
        <f>IFERROR( SUMIFS(Emissions[2032],Emissions[[Sector]:[Sector]],$B63, Emissions[[Emissions_category]:[Emissions_category]],$B$21)/1000,"")</f>
        <v>0</v>
      </c>
      <c r="O63" s="30">
        <f>IFERROR( SUMIFS(Emissions[2033],Emissions[[Sector]:[Sector]],$B63, Emissions[[Emissions_category]:[Emissions_category]],$B$21)/1000,"")</f>
        <v>0</v>
      </c>
      <c r="P63" s="30">
        <f>IFERROR( SUMIFS(Emissions[2034],Emissions[[Sector]:[Sector]],$B63, Emissions[[Emissions_category]:[Emissions_category]],$B$21)/1000,"")</f>
        <v>0</v>
      </c>
      <c r="Q63" s="30">
        <f>IFERROR( SUMIFS(Emissions[2035],Emissions[[Sector]:[Sector]],$B63, Emissions[[Emissions_category]:[Emissions_category]],$B$21)/1000,"")</f>
        <v>0</v>
      </c>
      <c r="R63" s="30">
        <f>IFERROR( SUMIFS(Emissions[2036],Emissions[[Sector]:[Sector]],$B63, Emissions[[Emissions_category]:[Emissions_category]],$B$21)/1000,"")</f>
        <v>0</v>
      </c>
      <c r="S63" s="30">
        <f>IFERROR( SUMIFS(Emissions[2037],Emissions[[Sector]:[Sector]],$B63, Emissions[[Emissions_category]:[Emissions_category]],$B$21)/1000,"")</f>
        <v>0</v>
      </c>
      <c r="T63" s="30">
        <f>IFERROR( SUMIFS(Emissions[2038],Emissions[[Sector]:[Sector]],$B63, Emissions[[Emissions_category]:[Emissions_category]],$B$21)/1000,"")</f>
        <v>0</v>
      </c>
      <c r="U63" s="30">
        <f>IFERROR( SUMIFS(Emissions[2039],Emissions[[Sector]:[Sector]],$B63, Emissions[[Emissions_category]:[Emissions_category]],$B$21)/1000,"")</f>
        <v>0</v>
      </c>
      <c r="V63" s="30">
        <f>IFERROR( SUMIFS(Emissions[2040],Emissions[[Sector]:[Sector]],$B63, Emissions[[Emissions_category]:[Emissions_category]],$B$21)/1000,"")</f>
        <v>0</v>
      </c>
      <c r="W63" s="30">
        <f>IFERROR( SUMIFS(Emissions[2041],Emissions[[Sector]:[Sector]],$B63, Emissions[[Emissions_category]:[Emissions_category]],$B$21)/1000,"")</f>
        <v>0</v>
      </c>
      <c r="X63" s="30">
        <f>IFERROR( SUMIFS(Emissions[2042],Emissions[[Sector]:[Sector]],$B63, Emissions[[Emissions_category]:[Emissions_category]],$B$21)/1000,"")</f>
        <v>0</v>
      </c>
      <c r="Y63" s="30">
        <f>IFERROR( SUMIFS(Emissions[2043],Emissions[[Sector]:[Sector]],$B63, Emissions[[Emissions_category]:[Emissions_category]],$B$21)/1000,"")</f>
        <v>0</v>
      </c>
      <c r="Z63" s="30">
        <f>IFERROR( SUMIFS(Emissions[2044],Emissions[[Sector]:[Sector]],$B63, Emissions[[Emissions_category]:[Emissions_category]],$B$21)/1000,"")</f>
        <v>0</v>
      </c>
      <c r="AA63" s="30">
        <f>IFERROR( SUMIFS(Emissions[2045],Emissions[[Sector]:[Sector]],$B63, Emissions[[Emissions_category]:[Emissions_category]],$B$21)/1000,"")</f>
        <v>0</v>
      </c>
      <c r="AB63" s="30">
        <f>IFERROR( SUMIFS(Emissions[2046],Emissions[[Sector]:[Sector]],$B63, Emissions[[Emissions_category]:[Emissions_category]],$B$21)/1000,"")</f>
        <v>0</v>
      </c>
      <c r="AC63" s="30">
        <f>IFERROR( SUMIFS(Emissions[2047],Emissions[[Sector]:[Sector]],$B63, Emissions[[Emissions_category]:[Emissions_category]],$B$21)/1000,"")</f>
        <v>0</v>
      </c>
      <c r="AD63" s="30">
        <f>IFERROR( SUMIFS(Emissions[2048],Emissions[[Sector]:[Sector]],$B63, Emissions[[Emissions_category]:[Emissions_category]],$B$21)/1000,"")</f>
        <v>0</v>
      </c>
      <c r="AE63" s="30">
        <f>IFERROR( SUMIFS(Emissions[2049],Emissions[[Sector]:[Sector]],$B63, Emissions[[Emissions_category]:[Emissions_category]],$B$21)/1000,"")</f>
        <v>0</v>
      </c>
      <c r="AF63" s="30">
        <f>IFERROR( SUMIFS(Emissions[2050],Emissions[[Sector]:[Sector]],$B63, Emissions[[Emissions_category]:[Emissions_category]],$B$21)/1000,"")</f>
        <v>0</v>
      </c>
      <c r="AG63" s="30">
        <f>IFERROR( SUMIFS(Emissions[2051],Emissions[[Sector]:[Sector]],$B63, Emissions[[Emissions_category]:[Emissions_category]],$B$21)/1000,"")</f>
        <v>0</v>
      </c>
    </row>
    <row r="64" spans="2:33" x14ac:dyDescent="0.45">
      <c r="B64" s="33" t="s">
        <v>23</v>
      </c>
      <c r="C64" s="30">
        <f>IFERROR( SUMIFS(Emissions[2021],Emissions[[Sector]:[Sector]],$B64, Emissions[[Emissions_category]:[Emissions_category]],$B$21)/1000,"")</f>
        <v>0</v>
      </c>
      <c r="D64" s="30">
        <f>IFERROR( SUMIFS(Emissions[2022],Emissions[[Sector]:[Sector]],$B64, Emissions[[Emissions_category]:[Emissions_category]],$B$21)/1000,"")</f>
        <v>0</v>
      </c>
      <c r="E64" s="30">
        <f>IFERROR( SUMIFS(Emissions[2023],Emissions[[Sector]:[Sector]],$B64, Emissions[[Emissions_category]:[Emissions_category]],$B$21)/1000,"")</f>
        <v>0</v>
      </c>
      <c r="F64" s="30">
        <f>IFERROR( SUMIFS(Emissions[2024],Emissions[[Sector]:[Sector]],$B64, Emissions[[Emissions_category]:[Emissions_category]],$B$21)/1000,"")</f>
        <v>0</v>
      </c>
      <c r="G64" s="30">
        <f>IFERROR( SUMIFS(Emissions[2025],Emissions[[Sector]:[Sector]],$B64, Emissions[[Emissions_category]:[Emissions_category]],$B$21)/1000,"")</f>
        <v>0</v>
      </c>
      <c r="H64" s="30">
        <f>IFERROR( SUMIFS(Emissions[2026],Emissions[[Sector]:[Sector]],$B64, Emissions[[Emissions_category]:[Emissions_category]],$B$21)/1000,"")</f>
        <v>0</v>
      </c>
      <c r="I64" s="30">
        <f>IFERROR( SUMIFS(Emissions[2027],Emissions[[Sector]:[Sector]],$B64, Emissions[[Emissions_category]:[Emissions_category]],$B$21)/1000,"")</f>
        <v>0</v>
      </c>
      <c r="J64" s="30">
        <f>IFERROR( SUMIFS(Emissions[2028],Emissions[[Sector]:[Sector]],$B64, Emissions[[Emissions_category]:[Emissions_category]],$B$21)/1000,"")</f>
        <v>0</v>
      </c>
      <c r="K64" s="30">
        <f>IFERROR( SUMIFS(Emissions[2029],Emissions[[Sector]:[Sector]],$B64, Emissions[[Emissions_category]:[Emissions_category]],$B$21)/1000,"")</f>
        <v>0</v>
      </c>
      <c r="L64" s="30">
        <f>IFERROR( SUMIFS(Emissions[2030],Emissions[[Sector]:[Sector]],$B64, Emissions[[Emissions_category]:[Emissions_category]],$B$21)/1000,"")</f>
        <v>0</v>
      </c>
      <c r="M64" s="30">
        <f>IFERROR( SUMIFS(Emissions[2031],Emissions[[Sector]:[Sector]],$B64, Emissions[[Emissions_category]:[Emissions_category]],$B$21)/1000,"")</f>
        <v>0</v>
      </c>
      <c r="N64" s="30">
        <f>IFERROR( SUMIFS(Emissions[2032],Emissions[[Sector]:[Sector]],$B64, Emissions[[Emissions_category]:[Emissions_category]],$B$21)/1000,"")</f>
        <v>0</v>
      </c>
      <c r="O64" s="30">
        <f>IFERROR( SUMIFS(Emissions[2033],Emissions[[Sector]:[Sector]],$B64, Emissions[[Emissions_category]:[Emissions_category]],$B$21)/1000,"")</f>
        <v>0</v>
      </c>
      <c r="P64" s="30">
        <f>IFERROR( SUMIFS(Emissions[2034],Emissions[[Sector]:[Sector]],$B64, Emissions[[Emissions_category]:[Emissions_category]],$B$21)/1000,"")</f>
        <v>0</v>
      </c>
      <c r="Q64" s="30">
        <f>IFERROR( SUMIFS(Emissions[2035],Emissions[[Sector]:[Sector]],$B64, Emissions[[Emissions_category]:[Emissions_category]],$B$21)/1000,"")</f>
        <v>0</v>
      </c>
      <c r="R64" s="30">
        <f>IFERROR( SUMIFS(Emissions[2036],Emissions[[Sector]:[Sector]],$B64, Emissions[[Emissions_category]:[Emissions_category]],$B$21)/1000,"")</f>
        <v>0</v>
      </c>
      <c r="S64" s="30">
        <f>IFERROR( SUMIFS(Emissions[2037],Emissions[[Sector]:[Sector]],$B64, Emissions[[Emissions_category]:[Emissions_category]],$B$21)/1000,"")</f>
        <v>0</v>
      </c>
      <c r="T64" s="30">
        <f>IFERROR( SUMIFS(Emissions[2038],Emissions[[Sector]:[Sector]],$B64, Emissions[[Emissions_category]:[Emissions_category]],$B$21)/1000,"")</f>
        <v>0</v>
      </c>
      <c r="U64" s="30">
        <f>IFERROR( SUMIFS(Emissions[2039],Emissions[[Sector]:[Sector]],$B64, Emissions[[Emissions_category]:[Emissions_category]],$B$21)/1000,"")</f>
        <v>0</v>
      </c>
      <c r="V64" s="30">
        <f>IFERROR( SUMIFS(Emissions[2040],Emissions[[Sector]:[Sector]],$B64, Emissions[[Emissions_category]:[Emissions_category]],$B$21)/1000,"")</f>
        <v>0</v>
      </c>
      <c r="W64" s="30">
        <f>IFERROR( SUMIFS(Emissions[2041],Emissions[[Sector]:[Sector]],$B64, Emissions[[Emissions_category]:[Emissions_category]],$B$21)/1000,"")</f>
        <v>0</v>
      </c>
      <c r="X64" s="30">
        <f>IFERROR( SUMIFS(Emissions[2042],Emissions[[Sector]:[Sector]],$B64, Emissions[[Emissions_category]:[Emissions_category]],$B$21)/1000,"")</f>
        <v>0</v>
      </c>
      <c r="Y64" s="30">
        <f>IFERROR( SUMIFS(Emissions[2043],Emissions[[Sector]:[Sector]],$B64, Emissions[[Emissions_category]:[Emissions_category]],$B$21)/1000,"")</f>
        <v>0</v>
      </c>
      <c r="Z64" s="30">
        <f>IFERROR( SUMIFS(Emissions[2044],Emissions[[Sector]:[Sector]],$B64, Emissions[[Emissions_category]:[Emissions_category]],$B$21)/1000,"")</f>
        <v>0</v>
      </c>
      <c r="AA64" s="30">
        <f>IFERROR( SUMIFS(Emissions[2045],Emissions[[Sector]:[Sector]],$B64, Emissions[[Emissions_category]:[Emissions_category]],$B$21)/1000,"")</f>
        <v>0</v>
      </c>
      <c r="AB64" s="30">
        <f>IFERROR( SUMIFS(Emissions[2046],Emissions[[Sector]:[Sector]],$B64, Emissions[[Emissions_category]:[Emissions_category]],$B$21)/1000,"")</f>
        <v>0</v>
      </c>
      <c r="AC64" s="30">
        <f>IFERROR( SUMIFS(Emissions[2047],Emissions[[Sector]:[Sector]],$B64, Emissions[[Emissions_category]:[Emissions_category]],$B$21)/1000,"")</f>
        <v>0</v>
      </c>
      <c r="AD64" s="30">
        <f>IFERROR( SUMIFS(Emissions[2048],Emissions[[Sector]:[Sector]],$B64, Emissions[[Emissions_category]:[Emissions_category]],$B$21)/1000,"")</f>
        <v>0</v>
      </c>
      <c r="AE64" s="30">
        <f>IFERROR( SUMIFS(Emissions[2049],Emissions[[Sector]:[Sector]],$B64, Emissions[[Emissions_category]:[Emissions_category]],$B$21)/1000,"")</f>
        <v>0</v>
      </c>
      <c r="AF64" s="30">
        <f>IFERROR( SUMIFS(Emissions[2050],Emissions[[Sector]:[Sector]],$B64, Emissions[[Emissions_category]:[Emissions_category]],$B$21)/1000,"")</f>
        <v>0</v>
      </c>
      <c r="AG64" s="30">
        <f>IFERROR( SUMIFS(Emissions[2051],Emissions[[Sector]:[Sector]],$B64, Emissions[[Emissions_category]:[Emissions_category]],$B$21)/1000,"")</f>
        <v>0</v>
      </c>
    </row>
    <row r="65" spans="1:37" x14ac:dyDescent="0.45">
      <c r="B65" s="33" t="s">
        <v>24</v>
      </c>
      <c r="C65" s="30">
        <f>IFERROR( SUMIFS(Emissions[2021],Emissions[[Sector]:[Sector]],$B65, Emissions[[Emissions_category]:[Emissions_category]],$B$21)/1000,"")</f>
        <v>0</v>
      </c>
      <c r="D65" s="30">
        <f>IFERROR( SUMIFS(Emissions[2022],Emissions[[Sector]:[Sector]],$B65, Emissions[[Emissions_category]:[Emissions_category]],$B$21)/1000,"")</f>
        <v>0</v>
      </c>
      <c r="E65" s="30">
        <f>IFERROR( SUMIFS(Emissions[2023],Emissions[[Sector]:[Sector]],$B65, Emissions[[Emissions_category]:[Emissions_category]],$B$21)/1000,"")</f>
        <v>0</v>
      </c>
      <c r="F65" s="30">
        <f>IFERROR( SUMIFS(Emissions[2024],Emissions[[Sector]:[Sector]],$B65, Emissions[[Emissions_category]:[Emissions_category]],$B$21)/1000,"")</f>
        <v>0</v>
      </c>
      <c r="G65" s="30">
        <f>IFERROR( SUMIFS(Emissions[2025],Emissions[[Sector]:[Sector]],$B65, Emissions[[Emissions_category]:[Emissions_category]],$B$21)/1000,"")</f>
        <v>0</v>
      </c>
      <c r="H65" s="30">
        <f>IFERROR( SUMIFS(Emissions[2026],Emissions[[Sector]:[Sector]],$B65, Emissions[[Emissions_category]:[Emissions_category]],$B$21)/1000,"")</f>
        <v>0</v>
      </c>
      <c r="I65" s="30">
        <f>IFERROR( SUMIFS(Emissions[2027],Emissions[[Sector]:[Sector]],$B65, Emissions[[Emissions_category]:[Emissions_category]],$B$21)/1000,"")</f>
        <v>0</v>
      </c>
      <c r="J65" s="30">
        <f>IFERROR( SUMIFS(Emissions[2028],Emissions[[Sector]:[Sector]],$B65, Emissions[[Emissions_category]:[Emissions_category]],$B$21)/1000,"")</f>
        <v>0</v>
      </c>
      <c r="K65" s="30">
        <f>IFERROR( SUMIFS(Emissions[2029],Emissions[[Sector]:[Sector]],$B65, Emissions[[Emissions_category]:[Emissions_category]],$B$21)/1000,"")</f>
        <v>0</v>
      </c>
      <c r="L65" s="30">
        <f>IFERROR( SUMIFS(Emissions[2030],Emissions[[Sector]:[Sector]],$B65, Emissions[[Emissions_category]:[Emissions_category]],$B$21)/1000,"")</f>
        <v>0</v>
      </c>
      <c r="M65" s="30">
        <f>IFERROR( SUMIFS(Emissions[2031],Emissions[[Sector]:[Sector]],$B65, Emissions[[Emissions_category]:[Emissions_category]],$B$21)/1000,"")</f>
        <v>0</v>
      </c>
      <c r="N65" s="30">
        <f>IFERROR( SUMIFS(Emissions[2032],Emissions[[Sector]:[Sector]],$B65, Emissions[[Emissions_category]:[Emissions_category]],$B$21)/1000,"")</f>
        <v>0</v>
      </c>
      <c r="O65" s="30">
        <f>IFERROR( SUMIFS(Emissions[2033],Emissions[[Sector]:[Sector]],$B65, Emissions[[Emissions_category]:[Emissions_category]],$B$21)/1000,"")</f>
        <v>0</v>
      </c>
      <c r="P65" s="30">
        <f>IFERROR( SUMIFS(Emissions[2034],Emissions[[Sector]:[Sector]],$B65, Emissions[[Emissions_category]:[Emissions_category]],$B$21)/1000,"")</f>
        <v>0</v>
      </c>
      <c r="Q65" s="30">
        <f>IFERROR( SUMIFS(Emissions[2035],Emissions[[Sector]:[Sector]],$B65, Emissions[[Emissions_category]:[Emissions_category]],$B$21)/1000,"")</f>
        <v>0</v>
      </c>
      <c r="R65" s="30">
        <f>IFERROR( SUMIFS(Emissions[2036],Emissions[[Sector]:[Sector]],$B65, Emissions[[Emissions_category]:[Emissions_category]],$B$21)/1000,"")</f>
        <v>0</v>
      </c>
      <c r="S65" s="30">
        <f>IFERROR( SUMIFS(Emissions[2037],Emissions[[Sector]:[Sector]],$B65, Emissions[[Emissions_category]:[Emissions_category]],$B$21)/1000,"")</f>
        <v>0</v>
      </c>
      <c r="T65" s="30">
        <f>IFERROR( SUMIFS(Emissions[2038],Emissions[[Sector]:[Sector]],$B65, Emissions[[Emissions_category]:[Emissions_category]],$B$21)/1000,"")</f>
        <v>0</v>
      </c>
      <c r="U65" s="30">
        <f>IFERROR( SUMIFS(Emissions[2039],Emissions[[Sector]:[Sector]],$B65, Emissions[[Emissions_category]:[Emissions_category]],$B$21)/1000,"")</f>
        <v>0</v>
      </c>
      <c r="V65" s="30">
        <f>IFERROR( SUMIFS(Emissions[2040],Emissions[[Sector]:[Sector]],$B65, Emissions[[Emissions_category]:[Emissions_category]],$B$21)/1000,"")</f>
        <v>0</v>
      </c>
      <c r="W65" s="30">
        <f>IFERROR( SUMIFS(Emissions[2041],Emissions[[Sector]:[Sector]],$B65, Emissions[[Emissions_category]:[Emissions_category]],$B$21)/1000,"")</f>
        <v>0</v>
      </c>
      <c r="X65" s="30">
        <f>IFERROR( SUMIFS(Emissions[2042],Emissions[[Sector]:[Sector]],$B65, Emissions[[Emissions_category]:[Emissions_category]],$B$21)/1000,"")</f>
        <v>0</v>
      </c>
      <c r="Y65" s="30">
        <f>IFERROR( SUMIFS(Emissions[2043],Emissions[[Sector]:[Sector]],$B65, Emissions[[Emissions_category]:[Emissions_category]],$B$21)/1000,"")</f>
        <v>0</v>
      </c>
      <c r="Z65" s="30">
        <f>IFERROR( SUMIFS(Emissions[2044],Emissions[[Sector]:[Sector]],$B65, Emissions[[Emissions_category]:[Emissions_category]],$B$21)/1000,"")</f>
        <v>0</v>
      </c>
      <c r="AA65" s="30">
        <f>IFERROR( SUMIFS(Emissions[2045],Emissions[[Sector]:[Sector]],$B65, Emissions[[Emissions_category]:[Emissions_category]],$B$21)/1000,"")</f>
        <v>0</v>
      </c>
      <c r="AB65" s="30">
        <f>IFERROR( SUMIFS(Emissions[2046],Emissions[[Sector]:[Sector]],$B65, Emissions[[Emissions_category]:[Emissions_category]],$B$21)/1000,"")</f>
        <v>0</v>
      </c>
      <c r="AC65" s="30">
        <f>IFERROR( SUMIFS(Emissions[2047],Emissions[[Sector]:[Sector]],$B65, Emissions[[Emissions_category]:[Emissions_category]],$B$21)/1000,"")</f>
        <v>0</v>
      </c>
      <c r="AD65" s="30">
        <f>IFERROR( SUMIFS(Emissions[2048],Emissions[[Sector]:[Sector]],$B65, Emissions[[Emissions_category]:[Emissions_category]],$B$21)/1000,"")</f>
        <v>0</v>
      </c>
      <c r="AE65" s="30">
        <f>IFERROR( SUMIFS(Emissions[2049],Emissions[[Sector]:[Sector]],$B65, Emissions[[Emissions_category]:[Emissions_category]],$B$21)/1000,"")</f>
        <v>0</v>
      </c>
      <c r="AF65" s="30">
        <f>IFERROR( SUMIFS(Emissions[2050],Emissions[[Sector]:[Sector]],$B65, Emissions[[Emissions_category]:[Emissions_category]],$B$21)/1000,"")</f>
        <v>0</v>
      </c>
      <c r="AG65" s="30">
        <f>IFERROR( SUMIFS(Emissions[2051],Emissions[[Sector]:[Sector]],$B65, Emissions[[Emissions_category]:[Emissions_category]],$B$21)/1000,"")</f>
        <v>0</v>
      </c>
    </row>
    <row r="66" spans="1:37" x14ac:dyDescent="0.45">
      <c r="B66" s="33" t="s">
        <v>25</v>
      </c>
      <c r="C66" s="30">
        <f>IFERROR( SUMIFS(Emissions[2021],Emissions[[Sector]:[Sector]],$B66, Emissions[[Emissions_category]:[Emissions_category]],$B$21)/1000,"")</f>
        <v>0</v>
      </c>
      <c r="D66" s="30">
        <f>IFERROR( SUMIFS(Emissions[2022],Emissions[[Sector]:[Sector]],$B66, Emissions[[Emissions_category]:[Emissions_category]],$B$21)/1000,"")</f>
        <v>0</v>
      </c>
      <c r="E66" s="30">
        <f>IFERROR( SUMIFS(Emissions[2023],Emissions[[Sector]:[Sector]],$B66, Emissions[[Emissions_category]:[Emissions_category]],$B$21)/1000,"")</f>
        <v>0</v>
      </c>
      <c r="F66" s="30">
        <f>IFERROR( SUMIFS(Emissions[2024],Emissions[[Sector]:[Sector]],$B66, Emissions[[Emissions_category]:[Emissions_category]],$B$21)/1000,"")</f>
        <v>0</v>
      </c>
      <c r="G66" s="30">
        <f>IFERROR( SUMIFS(Emissions[2025],Emissions[[Sector]:[Sector]],$B66, Emissions[[Emissions_category]:[Emissions_category]],$B$21)/1000,"")</f>
        <v>0</v>
      </c>
      <c r="H66" s="30">
        <f>IFERROR( SUMIFS(Emissions[2026],Emissions[[Sector]:[Sector]],$B66, Emissions[[Emissions_category]:[Emissions_category]],$B$21)/1000,"")</f>
        <v>0</v>
      </c>
      <c r="I66" s="30">
        <f>IFERROR( SUMIFS(Emissions[2027],Emissions[[Sector]:[Sector]],$B66, Emissions[[Emissions_category]:[Emissions_category]],$B$21)/1000,"")</f>
        <v>0</v>
      </c>
      <c r="J66" s="30">
        <f>IFERROR( SUMIFS(Emissions[2028],Emissions[[Sector]:[Sector]],$B66, Emissions[[Emissions_category]:[Emissions_category]],$B$21)/1000,"")</f>
        <v>0</v>
      </c>
      <c r="K66" s="30">
        <f>IFERROR( SUMIFS(Emissions[2029],Emissions[[Sector]:[Sector]],$B66, Emissions[[Emissions_category]:[Emissions_category]],$B$21)/1000,"")</f>
        <v>0</v>
      </c>
      <c r="L66" s="30">
        <f>IFERROR( SUMIFS(Emissions[2030],Emissions[[Sector]:[Sector]],$B66, Emissions[[Emissions_category]:[Emissions_category]],$B$21)/1000,"")</f>
        <v>0</v>
      </c>
      <c r="M66" s="30">
        <f>IFERROR( SUMIFS(Emissions[2031],Emissions[[Sector]:[Sector]],$B66, Emissions[[Emissions_category]:[Emissions_category]],$B$21)/1000,"")</f>
        <v>0</v>
      </c>
      <c r="N66" s="30">
        <f>IFERROR( SUMIFS(Emissions[2032],Emissions[[Sector]:[Sector]],$B66, Emissions[[Emissions_category]:[Emissions_category]],$B$21)/1000,"")</f>
        <v>0</v>
      </c>
      <c r="O66" s="30">
        <f>IFERROR( SUMIFS(Emissions[2033],Emissions[[Sector]:[Sector]],$B66, Emissions[[Emissions_category]:[Emissions_category]],$B$21)/1000,"")</f>
        <v>0</v>
      </c>
      <c r="P66" s="30">
        <f>IFERROR( SUMIFS(Emissions[2034],Emissions[[Sector]:[Sector]],$B66, Emissions[[Emissions_category]:[Emissions_category]],$B$21)/1000,"")</f>
        <v>0</v>
      </c>
      <c r="Q66" s="30">
        <f>IFERROR( SUMIFS(Emissions[2035],Emissions[[Sector]:[Sector]],$B66, Emissions[[Emissions_category]:[Emissions_category]],$B$21)/1000,"")</f>
        <v>0</v>
      </c>
      <c r="R66" s="30">
        <f>IFERROR( SUMIFS(Emissions[2036],Emissions[[Sector]:[Sector]],$B66, Emissions[[Emissions_category]:[Emissions_category]],$B$21)/1000,"")</f>
        <v>0</v>
      </c>
      <c r="S66" s="30">
        <f>IFERROR( SUMIFS(Emissions[2037],Emissions[[Sector]:[Sector]],$B66, Emissions[[Emissions_category]:[Emissions_category]],$B$21)/1000,"")</f>
        <v>0</v>
      </c>
      <c r="T66" s="30">
        <f>IFERROR( SUMIFS(Emissions[2038],Emissions[[Sector]:[Sector]],$B66, Emissions[[Emissions_category]:[Emissions_category]],$B$21)/1000,"")</f>
        <v>0</v>
      </c>
      <c r="U66" s="30">
        <f>IFERROR( SUMIFS(Emissions[2039],Emissions[[Sector]:[Sector]],$B66, Emissions[[Emissions_category]:[Emissions_category]],$B$21)/1000,"")</f>
        <v>0</v>
      </c>
      <c r="V66" s="30">
        <f>IFERROR( SUMIFS(Emissions[2040],Emissions[[Sector]:[Sector]],$B66, Emissions[[Emissions_category]:[Emissions_category]],$B$21)/1000,"")</f>
        <v>0</v>
      </c>
      <c r="W66" s="30">
        <f>IFERROR( SUMIFS(Emissions[2041],Emissions[[Sector]:[Sector]],$B66, Emissions[[Emissions_category]:[Emissions_category]],$B$21)/1000,"")</f>
        <v>0</v>
      </c>
      <c r="X66" s="30">
        <f>IFERROR( SUMIFS(Emissions[2042],Emissions[[Sector]:[Sector]],$B66, Emissions[[Emissions_category]:[Emissions_category]],$B$21)/1000,"")</f>
        <v>0</v>
      </c>
      <c r="Y66" s="30">
        <f>IFERROR( SUMIFS(Emissions[2043],Emissions[[Sector]:[Sector]],$B66, Emissions[[Emissions_category]:[Emissions_category]],$B$21)/1000,"")</f>
        <v>0</v>
      </c>
      <c r="Z66" s="30">
        <f>IFERROR( SUMIFS(Emissions[2044],Emissions[[Sector]:[Sector]],$B66, Emissions[[Emissions_category]:[Emissions_category]],$B$21)/1000,"")</f>
        <v>0</v>
      </c>
      <c r="AA66" s="30">
        <f>IFERROR( SUMIFS(Emissions[2045],Emissions[[Sector]:[Sector]],$B66, Emissions[[Emissions_category]:[Emissions_category]],$B$21)/1000,"")</f>
        <v>0</v>
      </c>
      <c r="AB66" s="30">
        <f>IFERROR( SUMIFS(Emissions[2046],Emissions[[Sector]:[Sector]],$B66, Emissions[[Emissions_category]:[Emissions_category]],$B$21)/1000,"")</f>
        <v>0</v>
      </c>
      <c r="AC66" s="30">
        <f>IFERROR( SUMIFS(Emissions[2047],Emissions[[Sector]:[Sector]],$B66, Emissions[[Emissions_category]:[Emissions_category]],$B$21)/1000,"")</f>
        <v>0</v>
      </c>
      <c r="AD66" s="30">
        <f>IFERROR( SUMIFS(Emissions[2048],Emissions[[Sector]:[Sector]],$B66, Emissions[[Emissions_category]:[Emissions_category]],$B$21)/1000,"")</f>
        <v>0</v>
      </c>
      <c r="AE66" s="30">
        <f>IFERROR( SUMIFS(Emissions[2049],Emissions[[Sector]:[Sector]],$B66, Emissions[[Emissions_category]:[Emissions_category]],$B$21)/1000,"")</f>
        <v>0</v>
      </c>
      <c r="AF66" s="30">
        <f>IFERROR( SUMIFS(Emissions[2050],Emissions[[Sector]:[Sector]],$B66, Emissions[[Emissions_category]:[Emissions_category]],$B$21)/1000,"")</f>
        <v>0</v>
      </c>
      <c r="AG66" s="30">
        <f>IFERROR( SUMIFS(Emissions[2051],Emissions[[Sector]:[Sector]],$B66, Emissions[[Emissions_category]:[Emissions_category]],$B$21)/1000,"")</f>
        <v>0</v>
      </c>
    </row>
    <row r="67" spans="1:37" x14ac:dyDescent="0.45">
      <c r="B67" s="66" t="s">
        <v>270</v>
      </c>
      <c r="C67" s="30">
        <f>IFERROR( SUMIFS(Emissions[2021],Emissions[[Sector]:[Sector]],$B67, Emissions[[Emissions_category]:[Emissions_category]],$B$21)/1000,"")</f>
        <v>0</v>
      </c>
      <c r="D67" s="30">
        <f>IFERROR( SUMIFS(Emissions[2022],Emissions[[Sector]:[Sector]],$B67, Emissions[[Emissions_category]:[Emissions_category]],$B$21)/1000,"")</f>
        <v>0</v>
      </c>
      <c r="E67" s="30">
        <f>IFERROR( SUMIFS(Emissions[2023],Emissions[[Sector]:[Sector]],$B67, Emissions[[Emissions_category]:[Emissions_category]],$B$21)/1000,"")</f>
        <v>0</v>
      </c>
      <c r="F67" s="30">
        <f>IFERROR( SUMIFS(Emissions[2024],Emissions[[Sector]:[Sector]],$B67, Emissions[[Emissions_category]:[Emissions_category]],$B$21)/1000,"")</f>
        <v>0</v>
      </c>
      <c r="G67" s="30">
        <f>IFERROR( SUMIFS(Emissions[2025],Emissions[[Sector]:[Sector]],$B67, Emissions[[Emissions_category]:[Emissions_category]],$B$21)/1000,"")</f>
        <v>0</v>
      </c>
      <c r="H67" s="30">
        <f>IFERROR( SUMIFS(Emissions[2026],Emissions[[Sector]:[Sector]],$B67, Emissions[[Emissions_category]:[Emissions_category]],$B$21)/1000,"")</f>
        <v>0</v>
      </c>
      <c r="I67" s="30">
        <f>IFERROR( SUMIFS(Emissions[2027],Emissions[[Sector]:[Sector]],$B67, Emissions[[Emissions_category]:[Emissions_category]],$B$21)/1000,"")</f>
        <v>0</v>
      </c>
      <c r="J67" s="30">
        <f>IFERROR( SUMIFS(Emissions[2028],Emissions[[Sector]:[Sector]],$B67, Emissions[[Emissions_category]:[Emissions_category]],$B$21)/1000,"")</f>
        <v>0</v>
      </c>
      <c r="K67" s="30">
        <f>IFERROR( SUMIFS(Emissions[2029],Emissions[[Sector]:[Sector]],$B67, Emissions[[Emissions_category]:[Emissions_category]],$B$21)/1000,"")</f>
        <v>0</v>
      </c>
      <c r="L67" s="30">
        <f>IFERROR( SUMIFS(Emissions[2030],Emissions[[Sector]:[Sector]],$B67, Emissions[[Emissions_category]:[Emissions_category]],$B$21)/1000,"")</f>
        <v>0</v>
      </c>
      <c r="M67" s="30">
        <f>IFERROR( SUMIFS(Emissions[2031],Emissions[[Sector]:[Sector]],$B67, Emissions[[Emissions_category]:[Emissions_category]],$B$21)/1000,"")</f>
        <v>0</v>
      </c>
      <c r="N67" s="30">
        <f>IFERROR( SUMIFS(Emissions[2032],Emissions[[Sector]:[Sector]],$B67, Emissions[[Emissions_category]:[Emissions_category]],$B$21)/1000,"")</f>
        <v>0</v>
      </c>
      <c r="O67" s="30">
        <f>IFERROR( SUMIFS(Emissions[2033],Emissions[[Sector]:[Sector]],$B67, Emissions[[Emissions_category]:[Emissions_category]],$B$21)/1000,"")</f>
        <v>0</v>
      </c>
      <c r="P67" s="30">
        <f>IFERROR( SUMIFS(Emissions[2034],Emissions[[Sector]:[Sector]],$B67, Emissions[[Emissions_category]:[Emissions_category]],$B$21)/1000,"")</f>
        <v>0</v>
      </c>
      <c r="Q67" s="30">
        <f>IFERROR( SUMIFS(Emissions[2035],Emissions[[Sector]:[Sector]],$B67, Emissions[[Emissions_category]:[Emissions_category]],$B$21)/1000,"")</f>
        <v>0</v>
      </c>
      <c r="R67" s="30">
        <f>IFERROR( SUMIFS(Emissions[2036],Emissions[[Sector]:[Sector]],$B67, Emissions[[Emissions_category]:[Emissions_category]],$B$21)/1000,"")</f>
        <v>0</v>
      </c>
      <c r="S67" s="30">
        <f>IFERROR( SUMIFS(Emissions[2037],Emissions[[Sector]:[Sector]],$B67, Emissions[[Emissions_category]:[Emissions_category]],$B$21)/1000,"")</f>
        <v>0</v>
      </c>
      <c r="T67" s="30">
        <f>IFERROR( SUMIFS(Emissions[2038],Emissions[[Sector]:[Sector]],$B67, Emissions[[Emissions_category]:[Emissions_category]],$B$21)/1000,"")</f>
        <v>0</v>
      </c>
      <c r="U67" s="30">
        <f>IFERROR( SUMIFS(Emissions[2039],Emissions[[Sector]:[Sector]],$B67, Emissions[[Emissions_category]:[Emissions_category]],$B$21)/1000,"")</f>
        <v>0</v>
      </c>
      <c r="V67" s="30">
        <f>IFERROR( SUMIFS(Emissions[2040],Emissions[[Sector]:[Sector]],$B67, Emissions[[Emissions_category]:[Emissions_category]],$B$21)/1000,"")</f>
        <v>0</v>
      </c>
      <c r="W67" s="30">
        <f>IFERROR( SUMIFS(Emissions[2041],Emissions[[Sector]:[Sector]],$B67, Emissions[[Emissions_category]:[Emissions_category]],$B$21)/1000,"")</f>
        <v>0</v>
      </c>
      <c r="X67" s="30">
        <f>IFERROR( SUMIFS(Emissions[2042],Emissions[[Sector]:[Sector]],$B67, Emissions[[Emissions_category]:[Emissions_category]],$B$21)/1000,"")</f>
        <v>0</v>
      </c>
      <c r="Y67" s="30">
        <f>IFERROR( SUMIFS(Emissions[2043],Emissions[[Sector]:[Sector]],$B67, Emissions[[Emissions_category]:[Emissions_category]],$B$21)/1000,"")</f>
        <v>0</v>
      </c>
      <c r="Z67" s="30">
        <f>IFERROR( SUMIFS(Emissions[2044],Emissions[[Sector]:[Sector]],$B67, Emissions[[Emissions_category]:[Emissions_category]],$B$21)/1000,"")</f>
        <v>0</v>
      </c>
      <c r="AA67" s="30">
        <f>IFERROR( SUMIFS(Emissions[2045],Emissions[[Sector]:[Sector]],$B67, Emissions[[Emissions_category]:[Emissions_category]],$B$21)/1000,"")</f>
        <v>0</v>
      </c>
      <c r="AB67" s="30">
        <f>IFERROR( SUMIFS(Emissions[2046],Emissions[[Sector]:[Sector]],$B67, Emissions[[Emissions_category]:[Emissions_category]],$B$21)/1000,"")</f>
        <v>0</v>
      </c>
      <c r="AC67" s="30">
        <f>IFERROR( SUMIFS(Emissions[2047],Emissions[[Sector]:[Sector]],$B67, Emissions[[Emissions_category]:[Emissions_category]],$B$21)/1000,"")</f>
        <v>0</v>
      </c>
      <c r="AD67" s="30">
        <f>IFERROR( SUMIFS(Emissions[2048],Emissions[[Sector]:[Sector]],$B67, Emissions[[Emissions_category]:[Emissions_category]],$B$21)/1000,"")</f>
        <v>0</v>
      </c>
      <c r="AE67" s="30">
        <f>IFERROR( SUMIFS(Emissions[2049],Emissions[[Sector]:[Sector]],$B67, Emissions[[Emissions_category]:[Emissions_category]],$B$21)/1000,"")</f>
        <v>0</v>
      </c>
      <c r="AF67" s="30">
        <f>IFERROR( SUMIFS(Emissions[2050],Emissions[[Sector]:[Sector]],$B67, Emissions[[Emissions_category]:[Emissions_category]],$B$21)/1000,"")</f>
        <v>0</v>
      </c>
      <c r="AG67" s="30">
        <f>IFERROR( SUMIFS(Emissions[2051],Emissions[[Sector]:[Sector]],$B67, Emissions[[Emissions_category]:[Emissions_category]],$B$21)/1000,"")</f>
        <v>0</v>
      </c>
    </row>
    <row r="68" spans="1:37" x14ac:dyDescent="0.45">
      <c r="B68" s="33" t="s">
        <v>271</v>
      </c>
      <c r="C68" s="30">
        <f>IFERROR( SUMIFS(Emissions[2021],Emissions[[Sector]:[Sector]],$B68, Emissions[[Emissions_category]:[Emissions_category]],$B$21)/1000,"")</f>
        <v>0</v>
      </c>
      <c r="D68" s="30">
        <f>IFERROR( SUMIFS(Emissions[2022],Emissions[[Sector]:[Sector]],$B68, Emissions[[Emissions_category]:[Emissions_category]],$B$21)/1000,"")</f>
        <v>0</v>
      </c>
      <c r="E68" s="30">
        <f>IFERROR( SUMIFS(Emissions[2023],Emissions[[Sector]:[Sector]],$B68, Emissions[[Emissions_category]:[Emissions_category]],$B$21)/1000,"")</f>
        <v>0</v>
      </c>
      <c r="F68" s="30">
        <f>IFERROR( SUMIFS(Emissions[2024],Emissions[[Sector]:[Sector]],$B68, Emissions[[Emissions_category]:[Emissions_category]],$B$21)/1000,"")</f>
        <v>0</v>
      </c>
      <c r="G68" s="30">
        <f>IFERROR( SUMIFS(Emissions[2025],Emissions[[Sector]:[Sector]],$B68, Emissions[[Emissions_category]:[Emissions_category]],$B$21)/1000,"")</f>
        <v>0</v>
      </c>
      <c r="H68" s="30">
        <f>IFERROR( SUMIFS(Emissions[2026],Emissions[[Sector]:[Sector]],$B68, Emissions[[Emissions_category]:[Emissions_category]],$B$21)/1000,"")</f>
        <v>0</v>
      </c>
      <c r="I68" s="30">
        <f>IFERROR( SUMIFS(Emissions[2027],Emissions[[Sector]:[Sector]],$B68, Emissions[[Emissions_category]:[Emissions_category]],$B$21)/1000,"")</f>
        <v>0</v>
      </c>
      <c r="J68" s="30">
        <f>IFERROR( SUMIFS(Emissions[2028],Emissions[[Sector]:[Sector]],$B68, Emissions[[Emissions_category]:[Emissions_category]],$B$21)/1000,"")</f>
        <v>0</v>
      </c>
      <c r="K68" s="30">
        <f>IFERROR( SUMIFS(Emissions[2029],Emissions[[Sector]:[Sector]],$B68, Emissions[[Emissions_category]:[Emissions_category]],$B$21)/1000,"")</f>
        <v>0</v>
      </c>
      <c r="L68" s="30">
        <f>IFERROR( SUMIFS(Emissions[2030],Emissions[[Sector]:[Sector]],$B68, Emissions[[Emissions_category]:[Emissions_category]],$B$21)/1000,"")</f>
        <v>0</v>
      </c>
      <c r="M68" s="30">
        <f>IFERROR( SUMIFS(Emissions[2031],Emissions[[Sector]:[Sector]],$B68, Emissions[[Emissions_category]:[Emissions_category]],$B$21)/1000,"")</f>
        <v>0</v>
      </c>
      <c r="N68" s="30">
        <f>IFERROR( SUMIFS(Emissions[2032],Emissions[[Sector]:[Sector]],$B68, Emissions[[Emissions_category]:[Emissions_category]],$B$21)/1000,"")</f>
        <v>0</v>
      </c>
      <c r="O68" s="30">
        <f>IFERROR( SUMIFS(Emissions[2033],Emissions[[Sector]:[Sector]],$B68, Emissions[[Emissions_category]:[Emissions_category]],$B$21)/1000,"")</f>
        <v>0</v>
      </c>
      <c r="P68" s="30">
        <f>IFERROR( SUMIFS(Emissions[2034],Emissions[[Sector]:[Sector]],$B68, Emissions[[Emissions_category]:[Emissions_category]],$B$21)/1000,"")</f>
        <v>0</v>
      </c>
      <c r="Q68" s="30">
        <f>IFERROR( SUMIFS(Emissions[2035],Emissions[[Sector]:[Sector]],$B68, Emissions[[Emissions_category]:[Emissions_category]],$B$21)/1000,"")</f>
        <v>0</v>
      </c>
      <c r="R68" s="30">
        <f>IFERROR( SUMIFS(Emissions[2036],Emissions[[Sector]:[Sector]],$B68, Emissions[[Emissions_category]:[Emissions_category]],$B$21)/1000,"")</f>
        <v>0</v>
      </c>
      <c r="S68" s="30">
        <f>IFERROR( SUMIFS(Emissions[2037],Emissions[[Sector]:[Sector]],$B68, Emissions[[Emissions_category]:[Emissions_category]],$B$21)/1000,"")</f>
        <v>0</v>
      </c>
      <c r="T68" s="30">
        <f>IFERROR( SUMIFS(Emissions[2038],Emissions[[Sector]:[Sector]],$B68, Emissions[[Emissions_category]:[Emissions_category]],$B$21)/1000,"")</f>
        <v>0</v>
      </c>
      <c r="U68" s="30">
        <f>IFERROR( SUMIFS(Emissions[2039],Emissions[[Sector]:[Sector]],$B68, Emissions[[Emissions_category]:[Emissions_category]],$B$21)/1000,"")</f>
        <v>0</v>
      </c>
      <c r="V68" s="30">
        <f>IFERROR( SUMIFS(Emissions[2040],Emissions[[Sector]:[Sector]],$B68, Emissions[[Emissions_category]:[Emissions_category]],$B$21)/1000,"")</f>
        <v>0</v>
      </c>
      <c r="W68" s="30">
        <f>IFERROR( SUMIFS(Emissions[2041],Emissions[[Sector]:[Sector]],$B68, Emissions[[Emissions_category]:[Emissions_category]],$B$21)/1000,"")</f>
        <v>0</v>
      </c>
      <c r="X68" s="30">
        <f>IFERROR( SUMIFS(Emissions[2042],Emissions[[Sector]:[Sector]],$B68, Emissions[[Emissions_category]:[Emissions_category]],$B$21)/1000,"")</f>
        <v>0</v>
      </c>
      <c r="Y68" s="30">
        <f>IFERROR( SUMIFS(Emissions[2043],Emissions[[Sector]:[Sector]],$B68, Emissions[[Emissions_category]:[Emissions_category]],$B$21)/1000,"")</f>
        <v>0</v>
      </c>
      <c r="Z68" s="30">
        <f>IFERROR( SUMIFS(Emissions[2044],Emissions[[Sector]:[Sector]],$B68, Emissions[[Emissions_category]:[Emissions_category]],$B$21)/1000,"")</f>
        <v>0</v>
      </c>
      <c r="AA68" s="30">
        <f>IFERROR( SUMIFS(Emissions[2045],Emissions[[Sector]:[Sector]],$B68, Emissions[[Emissions_category]:[Emissions_category]],$B$21)/1000,"")</f>
        <v>0</v>
      </c>
      <c r="AB68" s="30">
        <f>IFERROR( SUMIFS(Emissions[2046],Emissions[[Sector]:[Sector]],$B68, Emissions[[Emissions_category]:[Emissions_category]],$B$21)/1000,"")</f>
        <v>0</v>
      </c>
      <c r="AC68" s="30">
        <f>IFERROR( SUMIFS(Emissions[2047],Emissions[[Sector]:[Sector]],$B68, Emissions[[Emissions_category]:[Emissions_category]],$B$21)/1000,"")</f>
        <v>0</v>
      </c>
      <c r="AD68" s="30">
        <f>IFERROR( SUMIFS(Emissions[2048],Emissions[[Sector]:[Sector]],$B68, Emissions[[Emissions_category]:[Emissions_category]],$B$21)/1000,"")</f>
        <v>0</v>
      </c>
      <c r="AE68" s="30">
        <f>IFERROR( SUMIFS(Emissions[2049],Emissions[[Sector]:[Sector]],$B68, Emissions[[Emissions_category]:[Emissions_category]],$B$21)/1000,"")</f>
        <v>0</v>
      </c>
      <c r="AF68" s="30">
        <f>IFERROR( SUMIFS(Emissions[2050],Emissions[[Sector]:[Sector]],$B68, Emissions[[Emissions_category]:[Emissions_category]],$B$21)/1000,"")</f>
        <v>0</v>
      </c>
      <c r="AG68" s="30">
        <f>IFERROR( SUMIFS(Emissions[2051],Emissions[[Sector]:[Sector]],$B68, Emissions[[Emissions_category]:[Emissions_category]],$B$21)/1000,"")</f>
        <v>0</v>
      </c>
    </row>
    <row r="69" spans="1:37" ht="14.65" thickBot="1" x14ac:dyDescent="0.5">
      <c r="B69" s="34" t="s">
        <v>124</v>
      </c>
      <c r="C69" s="31">
        <f>IFERROR(C46+C49+C50+C53+C54+C55+C56+C57+C60+C64+C65+C66+C63+C67+C68,"")</f>
        <v>0</v>
      </c>
      <c r="D69" s="31">
        <f t="shared" ref="D69:AG69" si="8">IFERROR(D46+D49+D50+D53+D54+D55+D56+D57+D60+D64+D65+D66+D63+D67+D68,"")</f>
        <v>0</v>
      </c>
      <c r="E69" s="31">
        <f t="shared" si="8"/>
        <v>0</v>
      </c>
      <c r="F69" s="31">
        <f t="shared" si="8"/>
        <v>0</v>
      </c>
      <c r="G69" s="31">
        <f t="shared" si="8"/>
        <v>0</v>
      </c>
      <c r="H69" s="31">
        <f t="shared" si="8"/>
        <v>0</v>
      </c>
      <c r="I69" s="31">
        <f t="shared" si="8"/>
        <v>0</v>
      </c>
      <c r="J69" s="31">
        <f t="shared" si="8"/>
        <v>0</v>
      </c>
      <c r="K69" s="31">
        <f t="shared" si="8"/>
        <v>0</v>
      </c>
      <c r="L69" s="31">
        <f t="shared" si="8"/>
        <v>0</v>
      </c>
      <c r="M69" s="31">
        <f t="shared" si="8"/>
        <v>0</v>
      </c>
      <c r="N69" s="31">
        <f t="shared" si="8"/>
        <v>0</v>
      </c>
      <c r="O69" s="31">
        <f t="shared" si="8"/>
        <v>0</v>
      </c>
      <c r="P69" s="31">
        <f t="shared" si="8"/>
        <v>0</v>
      </c>
      <c r="Q69" s="31">
        <f t="shared" si="8"/>
        <v>0</v>
      </c>
      <c r="R69" s="31">
        <f t="shared" si="8"/>
        <v>0</v>
      </c>
      <c r="S69" s="31">
        <f t="shared" si="8"/>
        <v>0</v>
      </c>
      <c r="T69" s="31">
        <f t="shared" si="8"/>
        <v>0</v>
      </c>
      <c r="U69" s="31">
        <f t="shared" si="8"/>
        <v>0</v>
      </c>
      <c r="V69" s="31">
        <f t="shared" si="8"/>
        <v>0</v>
      </c>
      <c r="W69" s="31">
        <f t="shared" si="8"/>
        <v>0</v>
      </c>
      <c r="X69" s="31">
        <f t="shared" si="8"/>
        <v>0</v>
      </c>
      <c r="Y69" s="31">
        <f t="shared" si="8"/>
        <v>0</v>
      </c>
      <c r="Z69" s="31">
        <f t="shared" si="8"/>
        <v>0</v>
      </c>
      <c r="AA69" s="31">
        <f t="shared" si="8"/>
        <v>0</v>
      </c>
      <c r="AB69" s="31">
        <f t="shared" si="8"/>
        <v>0</v>
      </c>
      <c r="AC69" s="31">
        <f t="shared" si="8"/>
        <v>0</v>
      </c>
      <c r="AD69" s="31">
        <f t="shared" si="8"/>
        <v>0</v>
      </c>
      <c r="AE69" s="31">
        <f t="shared" si="8"/>
        <v>0</v>
      </c>
      <c r="AF69" s="31">
        <f t="shared" si="8"/>
        <v>0</v>
      </c>
      <c r="AG69" s="31">
        <f t="shared" si="8"/>
        <v>0</v>
      </c>
    </row>
    <row r="70" spans="1:37" ht="14.65" thickTop="1" x14ac:dyDescent="0.45"/>
    <row r="71" spans="1:37" x14ac:dyDescent="0.45">
      <c r="A71" t="s">
        <v>16</v>
      </c>
      <c r="B71" s="32" t="s">
        <v>18</v>
      </c>
      <c r="C71" s="28">
        <f>IFERROR(-SUMIFS(Emissions[2021], Emissions[[Emissions_category]:[Emissions_category]], $B$71, Emissions[[Sector]:[Sector]], $A$71)/1000,"")</f>
        <v>0</v>
      </c>
      <c r="D71" s="28">
        <f>IFERROR(-SUMIFS(Emissions[2022], Emissions[[Emissions_category]:[Emissions_category]], $B$71, Emissions[[Sector]:[Sector]], $A$71)/1000,"")</f>
        <v>0</v>
      </c>
      <c r="E71" s="28">
        <f>IFERROR(-SUMIFS(Emissions[2023], Emissions[[Emissions_category]:[Emissions_category]], $B$71, Emissions[[Sector]:[Sector]], $A$71)/1000,"")</f>
        <v>0</v>
      </c>
      <c r="F71" s="28">
        <f>IFERROR(-SUMIFS(Emissions[2024], Emissions[[Emissions_category]:[Emissions_category]], $B$71, Emissions[[Sector]:[Sector]], $A$71)/1000,"")</f>
        <v>0</v>
      </c>
      <c r="G71" s="28">
        <f>IFERROR(-SUMIFS(Emissions[2025], Emissions[[Emissions_category]:[Emissions_category]], $B$71, Emissions[[Sector]:[Sector]], $A$71)/1000,"")</f>
        <v>0</v>
      </c>
      <c r="H71" s="28">
        <f>IFERROR(-SUMIFS(Emissions[2026], Emissions[[Emissions_category]:[Emissions_category]], $B$71, Emissions[[Sector]:[Sector]], $A$71)/1000,"")</f>
        <v>0</v>
      </c>
      <c r="I71" s="28">
        <f>IFERROR(-SUMIFS(Emissions[2027], Emissions[[Emissions_category]:[Emissions_category]], $B$71, Emissions[[Sector]:[Sector]], $A$71)/1000,"")</f>
        <v>0</v>
      </c>
      <c r="J71" s="28">
        <f>IFERROR(-SUMIFS(Emissions[2028], Emissions[[Emissions_category]:[Emissions_category]], $B$71, Emissions[[Sector]:[Sector]], $A$71)/1000,"")</f>
        <v>0</v>
      </c>
      <c r="K71" s="28">
        <f>IFERROR(-SUMIFS(Emissions[2029], Emissions[[Emissions_category]:[Emissions_category]], $B$71, Emissions[[Sector]:[Sector]], $A$71)/1000,"")</f>
        <v>0</v>
      </c>
      <c r="L71" s="28">
        <f>IFERROR(-SUMIFS(Emissions[2030], Emissions[[Emissions_category]:[Emissions_category]], $B$71, Emissions[[Sector]:[Sector]], $A$71)/1000,"")</f>
        <v>0</v>
      </c>
      <c r="M71" s="28">
        <f>IFERROR(-SUMIFS(Emissions[2031], Emissions[[Emissions_category]:[Emissions_category]], $B$71, Emissions[[Sector]:[Sector]], $A$71)/1000,"")</f>
        <v>0</v>
      </c>
      <c r="N71" s="28">
        <f>IFERROR(-SUMIFS(Emissions[2032], Emissions[[Emissions_category]:[Emissions_category]], $B$71, Emissions[[Sector]:[Sector]], $A$71)/1000,"")</f>
        <v>0</v>
      </c>
      <c r="O71" s="28">
        <f>IFERROR(-SUMIFS(Emissions[2033], Emissions[[Emissions_category]:[Emissions_category]], $B$71, Emissions[[Sector]:[Sector]], $A$71)/1000,"")</f>
        <v>0</v>
      </c>
      <c r="P71" s="28">
        <f>IFERROR(-SUMIFS(Emissions[2034], Emissions[[Emissions_category]:[Emissions_category]], $B$71, Emissions[[Sector]:[Sector]], $A$71)/1000,"")</f>
        <v>0</v>
      </c>
      <c r="Q71" s="28">
        <f>IFERROR(-SUMIFS(Emissions[2035], Emissions[[Emissions_category]:[Emissions_category]], $B$71, Emissions[[Sector]:[Sector]], $A$71)/1000,"")</f>
        <v>0</v>
      </c>
      <c r="R71" s="28">
        <f>IFERROR(-SUMIFS(Emissions[2036], Emissions[[Emissions_category]:[Emissions_category]], $B$71, Emissions[[Sector]:[Sector]], $A$71)/1000,"")</f>
        <v>0</v>
      </c>
      <c r="S71" s="28">
        <f>IFERROR(-SUMIFS(Emissions[2037], Emissions[[Emissions_category]:[Emissions_category]], $B$71, Emissions[[Sector]:[Sector]], $A$71)/1000,"")</f>
        <v>0</v>
      </c>
      <c r="T71" s="28">
        <f>IFERROR(-SUMIFS(Emissions[2038], Emissions[[Emissions_category]:[Emissions_category]], $B$71, Emissions[[Sector]:[Sector]], $A$71)/1000,"")</f>
        <v>0</v>
      </c>
      <c r="U71" s="28">
        <f>IFERROR(-SUMIFS(Emissions[2039], Emissions[[Emissions_category]:[Emissions_category]], $B$71, Emissions[[Sector]:[Sector]], $A$71)/1000,"")</f>
        <v>0</v>
      </c>
      <c r="V71" s="28">
        <f>IFERROR(-SUMIFS(Emissions[2040], Emissions[[Emissions_category]:[Emissions_category]], $B$71, Emissions[[Sector]:[Sector]], $A$71)/1000,"")</f>
        <v>0</v>
      </c>
      <c r="W71" s="28">
        <f>IFERROR(-SUMIFS(Emissions[2041], Emissions[[Emissions_category]:[Emissions_category]], $B$71, Emissions[[Sector]:[Sector]], $A$71)/1000,"")</f>
        <v>0</v>
      </c>
      <c r="X71" s="28">
        <f>IFERROR(-SUMIFS(Emissions[2042], Emissions[[Emissions_category]:[Emissions_category]], $B$71, Emissions[[Sector]:[Sector]], $A$71)/1000,"")</f>
        <v>0</v>
      </c>
      <c r="Y71" s="28">
        <f>IFERROR(-SUMIFS(Emissions[2043], Emissions[[Emissions_category]:[Emissions_category]], $B$71, Emissions[[Sector]:[Sector]], $A$71)/1000,"")</f>
        <v>0</v>
      </c>
      <c r="Z71" s="28">
        <f>IFERROR(-SUMIFS(Emissions[2044], Emissions[[Emissions_category]:[Emissions_category]], $B$71, Emissions[[Sector]:[Sector]], $A$71)/1000,"")</f>
        <v>0</v>
      </c>
      <c r="AA71" s="28">
        <f>IFERROR(-SUMIFS(Emissions[2045], Emissions[[Emissions_category]:[Emissions_category]], $B$71, Emissions[[Sector]:[Sector]], $A$71)/1000,"")</f>
        <v>0</v>
      </c>
      <c r="AB71" s="28">
        <f>IFERROR(-SUMIFS(Emissions[2046], Emissions[[Emissions_category]:[Emissions_category]], $B$71, Emissions[[Sector]:[Sector]], $A$71)/1000,"")</f>
        <v>0</v>
      </c>
      <c r="AC71" s="28">
        <f>IFERROR(-SUMIFS(Emissions[2047], Emissions[[Emissions_category]:[Emissions_category]], $B$71, Emissions[[Sector]:[Sector]], $A$71)/1000,"")</f>
        <v>0</v>
      </c>
      <c r="AD71" s="28">
        <f>IFERROR(-SUMIFS(Emissions[2048], Emissions[[Emissions_category]:[Emissions_category]], $B$71, Emissions[[Sector]:[Sector]], $A$71)/1000,"")</f>
        <v>0</v>
      </c>
      <c r="AE71" s="28">
        <f>IFERROR(-SUMIFS(Emissions[2049], Emissions[[Emissions_category]:[Emissions_category]], $B$71, Emissions[[Sector]:[Sector]], $A$71)/1000,"")</f>
        <v>0</v>
      </c>
      <c r="AF71" s="28">
        <f>IFERROR(-SUMIFS(Emissions[2050], Emissions[[Emissions_category]:[Emissions_category]], $B$71, Emissions[[Sector]:[Sector]], $A$71)/1000,"")</f>
        <v>0</v>
      </c>
      <c r="AG71" s="28">
        <f>IFERROR(-SUMIFS(Emissions[2051], Emissions[[Emissions_category]:[Emissions_category]], $B$71, Emissions[[Sector]:[Sector]], $A$71)/1000,"")</f>
        <v>0</v>
      </c>
    </row>
    <row r="72" spans="1:37" x14ac:dyDescent="0.45">
      <c r="B72" s="32" t="s">
        <v>19</v>
      </c>
      <c r="C72" s="28">
        <f>IFERROR(C73-C71,"")</f>
        <v>0</v>
      </c>
      <c r="D72" s="28">
        <f t="shared" ref="D72:AG72" si="9">IFERROR(D73-D71,"")</f>
        <v>0</v>
      </c>
      <c r="E72" s="28">
        <f t="shared" si="9"/>
        <v>0</v>
      </c>
      <c r="F72" s="28">
        <f t="shared" si="9"/>
        <v>0</v>
      </c>
      <c r="G72" s="28">
        <f t="shared" si="9"/>
        <v>0</v>
      </c>
      <c r="H72" s="28">
        <f t="shared" si="9"/>
        <v>0</v>
      </c>
      <c r="I72" s="28">
        <f t="shared" si="9"/>
        <v>0</v>
      </c>
      <c r="J72" s="28">
        <f t="shared" si="9"/>
        <v>0</v>
      </c>
      <c r="K72" s="28">
        <f t="shared" si="9"/>
        <v>0</v>
      </c>
      <c r="L72" s="28">
        <f t="shared" si="9"/>
        <v>0</v>
      </c>
      <c r="M72" s="28">
        <f t="shared" si="9"/>
        <v>0</v>
      </c>
      <c r="N72" s="28">
        <f t="shared" si="9"/>
        <v>0</v>
      </c>
      <c r="O72" s="28">
        <f t="shared" si="9"/>
        <v>0</v>
      </c>
      <c r="P72" s="28">
        <f t="shared" si="9"/>
        <v>0</v>
      </c>
      <c r="Q72" s="28">
        <f t="shared" si="9"/>
        <v>0</v>
      </c>
      <c r="R72" s="28">
        <f t="shared" si="9"/>
        <v>0</v>
      </c>
      <c r="S72" s="28">
        <f t="shared" si="9"/>
        <v>0</v>
      </c>
      <c r="T72" s="28">
        <f t="shared" si="9"/>
        <v>0</v>
      </c>
      <c r="U72" s="28">
        <f t="shared" si="9"/>
        <v>0</v>
      </c>
      <c r="V72" s="28">
        <f t="shared" si="9"/>
        <v>0</v>
      </c>
      <c r="W72" s="28">
        <f t="shared" si="9"/>
        <v>0</v>
      </c>
      <c r="X72" s="28">
        <f t="shared" si="9"/>
        <v>0</v>
      </c>
      <c r="Y72" s="28">
        <f t="shared" si="9"/>
        <v>0</v>
      </c>
      <c r="Z72" s="28">
        <f t="shared" si="9"/>
        <v>0</v>
      </c>
      <c r="AA72" s="28">
        <f t="shared" si="9"/>
        <v>0</v>
      </c>
      <c r="AB72" s="28">
        <f t="shared" si="9"/>
        <v>0</v>
      </c>
      <c r="AC72" s="28">
        <f t="shared" si="9"/>
        <v>0</v>
      </c>
      <c r="AD72" s="28">
        <f t="shared" si="9"/>
        <v>0</v>
      </c>
      <c r="AE72" s="28">
        <f t="shared" si="9"/>
        <v>0</v>
      </c>
      <c r="AF72" s="28">
        <f t="shared" si="9"/>
        <v>0</v>
      </c>
      <c r="AG72" s="28">
        <f t="shared" si="9"/>
        <v>0</v>
      </c>
    </row>
    <row r="73" spans="1:37" ht="14.65" thickBot="1" x14ac:dyDescent="0.5">
      <c r="B73" s="34" t="s">
        <v>124</v>
      </c>
      <c r="C73" s="31">
        <f xml:space="preserve"> IFERROR(SUMIFS(Emissions[2021],Emissions[[Sector]:[Sector]],$A$71, Emissions[[Emissions_category]:[Emissions_category]],$B$21)/1000,"")</f>
        <v>0</v>
      </c>
      <c r="D73" s="31">
        <f xml:space="preserve"> IFERROR(SUMIFS(Emissions[2022],Emissions[[Sector]:[Sector]],$A$71, Emissions[[Emissions_category]:[Emissions_category]],$B$21)/1000,"")</f>
        <v>0</v>
      </c>
      <c r="E73" s="31">
        <f xml:space="preserve"> IFERROR(SUMIFS(Emissions[2023],Emissions[[Sector]:[Sector]],$A$71, Emissions[[Emissions_category]:[Emissions_category]],$B$21)/1000,"")</f>
        <v>0</v>
      </c>
      <c r="F73" s="31">
        <f xml:space="preserve"> IFERROR(SUMIFS(Emissions[2024],Emissions[[Sector]:[Sector]],$A$71, Emissions[[Emissions_category]:[Emissions_category]],$B$21)/1000,"")</f>
        <v>0</v>
      </c>
      <c r="G73" s="31">
        <f xml:space="preserve"> IFERROR(SUMIFS(Emissions[2025],Emissions[[Sector]:[Sector]],$A$71, Emissions[[Emissions_category]:[Emissions_category]],$B$21)/1000,"")</f>
        <v>0</v>
      </c>
      <c r="H73" s="31">
        <f xml:space="preserve"> IFERROR(SUMIFS(Emissions[2026],Emissions[[Sector]:[Sector]],$A$71, Emissions[[Emissions_category]:[Emissions_category]],$B$21)/1000,"")</f>
        <v>0</v>
      </c>
      <c r="I73" s="31">
        <f xml:space="preserve"> IFERROR(SUMIFS(Emissions[2027],Emissions[[Sector]:[Sector]],$A$71, Emissions[[Emissions_category]:[Emissions_category]],$B$21)/1000,"")</f>
        <v>0</v>
      </c>
      <c r="J73" s="31">
        <f xml:space="preserve"> IFERROR(SUMIFS(Emissions[2028],Emissions[[Sector]:[Sector]],$A$71, Emissions[[Emissions_category]:[Emissions_category]],$B$21)/1000,"")</f>
        <v>0</v>
      </c>
      <c r="K73" s="31">
        <f xml:space="preserve"> IFERROR(SUMIFS(Emissions[2029],Emissions[[Sector]:[Sector]],$A$71, Emissions[[Emissions_category]:[Emissions_category]],$B$21)/1000,"")</f>
        <v>0</v>
      </c>
      <c r="L73" s="31">
        <f xml:space="preserve"> IFERROR(SUMIFS(Emissions[2030],Emissions[[Sector]:[Sector]],$A$71, Emissions[[Emissions_category]:[Emissions_category]],$B$21)/1000,"")</f>
        <v>0</v>
      </c>
      <c r="M73" s="31">
        <f xml:space="preserve"> IFERROR(SUMIFS(Emissions[2031],Emissions[[Sector]:[Sector]],$A$71, Emissions[[Emissions_category]:[Emissions_category]],$B$21)/1000,"")</f>
        <v>0</v>
      </c>
      <c r="N73" s="31">
        <f xml:space="preserve"> IFERROR(SUMIFS(Emissions[2032],Emissions[[Sector]:[Sector]],$A$71, Emissions[[Emissions_category]:[Emissions_category]],$B$21)/1000,"")</f>
        <v>0</v>
      </c>
      <c r="O73" s="31">
        <f xml:space="preserve"> IFERROR(SUMIFS(Emissions[2033],Emissions[[Sector]:[Sector]],$A$71, Emissions[[Emissions_category]:[Emissions_category]],$B$21)/1000,"")</f>
        <v>0</v>
      </c>
      <c r="P73" s="31">
        <f xml:space="preserve"> IFERROR(SUMIFS(Emissions[2034],Emissions[[Sector]:[Sector]],$A$71, Emissions[[Emissions_category]:[Emissions_category]],$B$21)/1000,"")</f>
        <v>0</v>
      </c>
      <c r="Q73" s="31">
        <f xml:space="preserve"> IFERROR(SUMIFS(Emissions[2035],Emissions[[Sector]:[Sector]],$A$71, Emissions[[Emissions_category]:[Emissions_category]],$B$21)/1000,"")</f>
        <v>0</v>
      </c>
      <c r="R73" s="31">
        <f xml:space="preserve"> IFERROR(SUMIFS(Emissions[2036],Emissions[[Sector]:[Sector]],$A$71, Emissions[[Emissions_category]:[Emissions_category]],$B$21)/1000,"")</f>
        <v>0</v>
      </c>
      <c r="S73" s="31">
        <f xml:space="preserve"> IFERROR(SUMIFS(Emissions[2037],Emissions[[Sector]:[Sector]],$A$71, Emissions[[Emissions_category]:[Emissions_category]],$B$21)/1000,"")</f>
        <v>0</v>
      </c>
      <c r="T73" s="31">
        <f xml:space="preserve"> IFERROR(SUMIFS(Emissions[2038],Emissions[[Sector]:[Sector]],$A$71, Emissions[[Emissions_category]:[Emissions_category]],$B$21)/1000,"")</f>
        <v>0</v>
      </c>
      <c r="U73" s="31">
        <f xml:space="preserve"> IFERROR(SUMIFS(Emissions[2039],Emissions[[Sector]:[Sector]],$A$71, Emissions[[Emissions_category]:[Emissions_category]],$B$21)/1000,"")</f>
        <v>0</v>
      </c>
      <c r="V73" s="31">
        <f xml:space="preserve"> IFERROR(SUMIFS(Emissions[2040],Emissions[[Sector]:[Sector]],$A$71, Emissions[[Emissions_category]:[Emissions_category]],$B$21)/1000,"")</f>
        <v>0</v>
      </c>
      <c r="W73" s="31">
        <f xml:space="preserve"> IFERROR(SUMIFS(Emissions[2041],Emissions[[Sector]:[Sector]],$A$71, Emissions[[Emissions_category]:[Emissions_category]],$B$21)/1000,"")</f>
        <v>0</v>
      </c>
      <c r="X73" s="31">
        <f xml:space="preserve"> IFERROR(SUMIFS(Emissions[2042],Emissions[[Sector]:[Sector]],$A$71, Emissions[[Emissions_category]:[Emissions_category]],$B$21)/1000,"")</f>
        <v>0</v>
      </c>
      <c r="Y73" s="31">
        <f xml:space="preserve"> IFERROR(SUMIFS(Emissions[2043],Emissions[[Sector]:[Sector]],$A$71, Emissions[[Emissions_category]:[Emissions_category]],$B$21)/1000,"")</f>
        <v>0</v>
      </c>
      <c r="Z73" s="31">
        <f xml:space="preserve"> IFERROR(SUMIFS(Emissions[2044],Emissions[[Sector]:[Sector]],$A$71, Emissions[[Emissions_category]:[Emissions_category]],$B$21)/1000,"")</f>
        <v>0</v>
      </c>
      <c r="AA73" s="31">
        <f xml:space="preserve"> IFERROR(SUMIFS(Emissions[2045],Emissions[[Sector]:[Sector]],$A$71, Emissions[[Emissions_category]:[Emissions_category]],$B$21)/1000,"")</f>
        <v>0</v>
      </c>
      <c r="AB73" s="31">
        <f xml:space="preserve"> IFERROR(SUMIFS(Emissions[2046],Emissions[[Sector]:[Sector]],$A$71, Emissions[[Emissions_category]:[Emissions_category]],$B$21)/1000,"")</f>
        <v>0</v>
      </c>
      <c r="AC73" s="31">
        <f xml:space="preserve"> IFERROR(SUMIFS(Emissions[2047],Emissions[[Sector]:[Sector]],$A$71, Emissions[[Emissions_category]:[Emissions_category]],$B$21)/1000,"")</f>
        <v>0</v>
      </c>
      <c r="AD73" s="31">
        <f xml:space="preserve"> IFERROR(SUMIFS(Emissions[2048],Emissions[[Sector]:[Sector]],$A$71, Emissions[[Emissions_category]:[Emissions_category]],$B$21)/1000,"")</f>
        <v>0</v>
      </c>
      <c r="AE73" s="31">
        <f xml:space="preserve"> IFERROR(SUMIFS(Emissions[2049],Emissions[[Sector]:[Sector]],$A$71, Emissions[[Emissions_category]:[Emissions_category]],$B$21)/1000,"")</f>
        <v>0</v>
      </c>
      <c r="AF73" s="31">
        <f xml:space="preserve"> IFERROR(SUMIFS(Emissions[2050],Emissions[[Sector]:[Sector]],$A$71, Emissions[[Emissions_category]:[Emissions_category]],$B$21)/1000,"")</f>
        <v>0</v>
      </c>
      <c r="AG73" s="31">
        <f xml:space="preserve"> IFERROR(SUMIFS(Emissions[2051],Emissions[[Sector]:[Sector]],$A$71, Emissions[[Emissions_category]:[Emissions_category]],$B$21)/1000,"")</f>
        <v>0</v>
      </c>
    </row>
    <row r="74" spans="1:37" ht="14.65" thickTop="1" x14ac:dyDescent="0.45"/>
    <row r="75" spans="1:37" x14ac:dyDescent="0.45">
      <c r="A75" t="s">
        <v>26</v>
      </c>
      <c r="B75" s="32" t="s">
        <v>18</v>
      </c>
      <c r="C75" s="28">
        <f>IFERROR(-SUMIFS(Emissions[2021], Emissions[[Emissions_category]:[Emissions_category]], $B$75, Emissions[[Sector]:[Sector]], $A$75)/1000,"")</f>
        <v>0</v>
      </c>
      <c r="D75" s="28">
        <f>IFERROR(-SUMIFS(Emissions[2022], Emissions[[Emissions_category]:[Emissions_category]], $B$75, Emissions[[Sector]:[Sector]], $A$75)/1000,"")</f>
        <v>0</v>
      </c>
      <c r="E75" s="28">
        <f>IFERROR(-SUMIFS(Emissions[2023], Emissions[[Emissions_category]:[Emissions_category]], $B$75, Emissions[[Sector]:[Sector]], $A$75)/1000,"")</f>
        <v>0</v>
      </c>
      <c r="F75" s="28">
        <f>IFERROR(-SUMIFS(Emissions[2024], Emissions[[Emissions_category]:[Emissions_category]], $B$75, Emissions[[Sector]:[Sector]], $A$75)/1000,"")</f>
        <v>0</v>
      </c>
      <c r="G75" s="28">
        <f>IFERROR(-SUMIFS(Emissions[2025], Emissions[[Emissions_category]:[Emissions_category]], $B$75, Emissions[[Sector]:[Sector]], $A$75)/1000,"")</f>
        <v>0</v>
      </c>
      <c r="H75" s="28">
        <f>IFERROR(-SUMIFS(Emissions[2026], Emissions[[Emissions_category]:[Emissions_category]], $B$75, Emissions[[Sector]:[Sector]], $A$75)/1000,"")</f>
        <v>0</v>
      </c>
      <c r="I75" s="28">
        <f>IFERROR(-SUMIFS(Emissions[2027], Emissions[[Emissions_category]:[Emissions_category]], $B$75, Emissions[[Sector]:[Sector]], $A$75)/1000,"")</f>
        <v>0</v>
      </c>
      <c r="J75" s="28">
        <f>IFERROR(-SUMIFS(Emissions[2028], Emissions[[Emissions_category]:[Emissions_category]], $B$75, Emissions[[Sector]:[Sector]], $A$75)/1000,"")</f>
        <v>0</v>
      </c>
      <c r="K75" s="28">
        <f>IFERROR(-SUMIFS(Emissions[2029], Emissions[[Emissions_category]:[Emissions_category]], $B$75, Emissions[[Sector]:[Sector]], $A$75)/1000,"")</f>
        <v>0</v>
      </c>
      <c r="L75" s="28">
        <f>IFERROR(-SUMIFS(Emissions[2030], Emissions[[Emissions_category]:[Emissions_category]], $B$75, Emissions[[Sector]:[Sector]], $A$75)/1000,"")</f>
        <v>0</v>
      </c>
      <c r="M75" s="28">
        <f>IFERROR(-SUMIFS(Emissions[2031], Emissions[[Emissions_category]:[Emissions_category]], $B$75, Emissions[[Sector]:[Sector]], $A$75)/1000,"")</f>
        <v>0</v>
      </c>
      <c r="N75" s="28">
        <f>IFERROR(-SUMIFS(Emissions[2032], Emissions[[Emissions_category]:[Emissions_category]], $B$75, Emissions[[Sector]:[Sector]], $A$75)/1000,"")</f>
        <v>0</v>
      </c>
      <c r="O75" s="28">
        <f>IFERROR(-SUMIFS(Emissions[2033], Emissions[[Emissions_category]:[Emissions_category]], $B$75, Emissions[[Sector]:[Sector]], $A$75)/1000,"")</f>
        <v>0</v>
      </c>
      <c r="P75" s="28">
        <f>IFERROR(-SUMIFS(Emissions[2034], Emissions[[Emissions_category]:[Emissions_category]], $B$75, Emissions[[Sector]:[Sector]], $A$75)/1000,"")</f>
        <v>0</v>
      </c>
      <c r="Q75" s="28">
        <f>IFERROR(-SUMIFS(Emissions[2035], Emissions[[Emissions_category]:[Emissions_category]], $B$75, Emissions[[Sector]:[Sector]], $A$75)/1000,"")</f>
        <v>0</v>
      </c>
      <c r="R75" s="28">
        <f>IFERROR(-SUMIFS(Emissions[2036], Emissions[[Emissions_category]:[Emissions_category]], $B$75, Emissions[[Sector]:[Sector]], $A$75)/1000,"")</f>
        <v>0</v>
      </c>
      <c r="S75" s="28">
        <f>IFERROR(-SUMIFS(Emissions[2037], Emissions[[Emissions_category]:[Emissions_category]], $B$75, Emissions[[Sector]:[Sector]], $A$75)/1000,"")</f>
        <v>0</v>
      </c>
      <c r="T75" s="28">
        <f>IFERROR(-SUMIFS(Emissions[2038], Emissions[[Emissions_category]:[Emissions_category]], $B$75, Emissions[[Sector]:[Sector]], $A$75)/1000,"")</f>
        <v>0</v>
      </c>
      <c r="U75" s="28">
        <f>IFERROR(-SUMIFS(Emissions[2039], Emissions[[Emissions_category]:[Emissions_category]], $B$75, Emissions[[Sector]:[Sector]], $A$75)/1000,"")</f>
        <v>0</v>
      </c>
      <c r="V75" s="28">
        <f>IFERROR(-SUMIFS(Emissions[2040], Emissions[[Emissions_category]:[Emissions_category]], $B$75, Emissions[[Sector]:[Sector]], $A$75)/1000,"")</f>
        <v>0</v>
      </c>
      <c r="W75" s="28">
        <f>IFERROR(-SUMIFS(Emissions[2041], Emissions[[Emissions_category]:[Emissions_category]], $B$75, Emissions[[Sector]:[Sector]], $A$75)/1000,"")</f>
        <v>0</v>
      </c>
      <c r="X75" s="28">
        <f>IFERROR(-SUMIFS(Emissions[2042], Emissions[[Emissions_category]:[Emissions_category]], $B$75, Emissions[[Sector]:[Sector]], $A$75)/1000,"")</f>
        <v>0</v>
      </c>
      <c r="Y75" s="28">
        <f>IFERROR(-SUMIFS(Emissions[2043], Emissions[[Emissions_category]:[Emissions_category]], $B$75, Emissions[[Sector]:[Sector]], $A$75)/1000,"")</f>
        <v>0</v>
      </c>
      <c r="Z75" s="28">
        <f>IFERROR(-SUMIFS(Emissions[2044], Emissions[[Emissions_category]:[Emissions_category]], $B$75, Emissions[[Sector]:[Sector]], $A$75)/1000,"")</f>
        <v>0</v>
      </c>
      <c r="AA75" s="28">
        <f>IFERROR(-SUMIFS(Emissions[2045], Emissions[[Emissions_category]:[Emissions_category]], $B$75, Emissions[[Sector]:[Sector]], $A$75)/1000,"")</f>
        <v>0</v>
      </c>
      <c r="AB75" s="28">
        <f>IFERROR(-SUMIFS(Emissions[2046], Emissions[[Emissions_category]:[Emissions_category]], $B$75, Emissions[[Sector]:[Sector]], $A$75)/1000,"")</f>
        <v>0</v>
      </c>
      <c r="AC75" s="28">
        <f>IFERROR(-SUMIFS(Emissions[2047], Emissions[[Emissions_category]:[Emissions_category]], $B$75, Emissions[[Sector]:[Sector]], $A$75)/1000,"")</f>
        <v>0</v>
      </c>
      <c r="AD75" s="28">
        <f>IFERROR(-SUMIFS(Emissions[2048], Emissions[[Emissions_category]:[Emissions_category]], $B$75, Emissions[[Sector]:[Sector]], $A$75)/1000,"")</f>
        <v>0</v>
      </c>
      <c r="AE75" s="28">
        <f>IFERROR(-SUMIFS(Emissions[2049], Emissions[[Emissions_category]:[Emissions_category]], $B$75, Emissions[[Sector]:[Sector]], $A$75)/1000,"")</f>
        <v>0</v>
      </c>
      <c r="AF75" s="28">
        <f>IFERROR(-SUMIFS(Emissions[2050], Emissions[[Emissions_category]:[Emissions_category]], $B$75, Emissions[[Sector]:[Sector]], $A$75)/1000,"")</f>
        <v>0</v>
      </c>
      <c r="AG75" s="28">
        <f>IFERROR(-SUMIFS(Emissions[2051], Emissions[[Emissions_category]:[Emissions_category]], $B$75, Emissions[[Sector]:[Sector]], $A$75)/1000,"")</f>
        <v>0</v>
      </c>
    </row>
    <row r="76" spans="1:37" x14ac:dyDescent="0.45">
      <c r="B76" s="32" t="s">
        <v>19</v>
      </c>
      <c r="C76" s="28">
        <f>IFERROR(C77-C75,"")</f>
        <v>0</v>
      </c>
      <c r="D76" s="28">
        <f t="shared" ref="D76:AG76" si="10">IFERROR(D77-D75,"")</f>
        <v>0</v>
      </c>
      <c r="E76" s="28">
        <f t="shared" si="10"/>
        <v>0</v>
      </c>
      <c r="F76" s="28">
        <f t="shared" si="10"/>
        <v>0</v>
      </c>
      <c r="G76" s="28">
        <f t="shared" si="10"/>
        <v>0</v>
      </c>
      <c r="H76" s="28">
        <f t="shared" si="10"/>
        <v>0</v>
      </c>
      <c r="I76" s="28">
        <f t="shared" si="10"/>
        <v>0</v>
      </c>
      <c r="J76" s="28">
        <f t="shared" si="10"/>
        <v>0</v>
      </c>
      <c r="K76" s="28">
        <f t="shared" si="10"/>
        <v>0</v>
      </c>
      <c r="L76" s="28">
        <f t="shared" si="10"/>
        <v>0</v>
      </c>
      <c r="M76" s="28">
        <f t="shared" si="10"/>
        <v>0</v>
      </c>
      <c r="N76" s="28">
        <f t="shared" si="10"/>
        <v>0</v>
      </c>
      <c r="O76" s="28">
        <f t="shared" si="10"/>
        <v>0</v>
      </c>
      <c r="P76" s="28">
        <f t="shared" si="10"/>
        <v>0</v>
      </c>
      <c r="Q76" s="28">
        <f t="shared" si="10"/>
        <v>0</v>
      </c>
      <c r="R76" s="28">
        <f t="shared" si="10"/>
        <v>0</v>
      </c>
      <c r="S76" s="28">
        <f t="shared" si="10"/>
        <v>0</v>
      </c>
      <c r="T76" s="28">
        <f t="shared" si="10"/>
        <v>0</v>
      </c>
      <c r="U76" s="28">
        <f t="shared" si="10"/>
        <v>0</v>
      </c>
      <c r="V76" s="28">
        <f t="shared" si="10"/>
        <v>0</v>
      </c>
      <c r="W76" s="28">
        <f t="shared" si="10"/>
        <v>0</v>
      </c>
      <c r="X76" s="28">
        <f t="shared" si="10"/>
        <v>0</v>
      </c>
      <c r="Y76" s="28">
        <f t="shared" si="10"/>
        <v>0</v>
      </c>
      <c r="Z76" s="28">
        <f t="shared" si="10"/>
        <v>0</v>
      </c>
      <c r="AA76" s="28">
        <f t="shared" si="10"/>
        <v>0</v>
      </c>
      <c r="AB76" s="28">
        <f t="shared" si="10"/>
        <v>0</v>
      </c>
      <c r="AC76" s="28">
        <f t="shared" si="10"/>
        <v>0</v>
      </c>
      <c r="AD76" s="28">
        <f t="shared" si="10"/>
        <v>0</v>
      </c>
      <c r="AE76" s="28">
        <f t="shared" si="10"/>
        <v>0</v>
      </c>
      <c r="AF76" s="28">
        <f t="shared" si="10"/>
        <v>0</v>
      </c>
      <c r="AG76" s="28">
        <f t="shared" si="10"/>
        <v>0</v>
      </c>
    </row>
    <row r="77" spans="1:37" ht="14.65" thickBot="1" x14ac:dyDescent="0.5">
      <c r="B77" s="34" t="s">
        <v>124</v>
      </c>
      <c r="C77" s="31">
        <f xml:space="preserve"> IFERROR(SUMIFS(Emissions[2021],Emissions[[Sector]:[Sector]],$A$75, Emissions[[Emissions_category]:[Emissions_category]],$B$21)/1000,"")</f>
        <v>0</v>
      </c>
      <c r="D77" s="31">
        <f xml:space="preserve"> IFERROR(SUMIFS(Emissions[2022],Emissions[[Sector]:[Sector]],$A$75, Emissions[[Emissions_category]:[Emissions_category]],$B$21)/1000,"")</f>
        <v>0</v>
      </c>
      <c r="E77" s="31">
        <f xml:space="preserve"> IFERROR(SUMIFS(Emissions[2023],Emissions[[Sector]:[Sector]],$A$75, Emissions[[Emissions_category]:[Emissions_category]],$B$21)/1000,"")</f>
        <v>0</v>
      </c>
      <c r="F77" s="31">
        <f xml:space="preserve"> IFERROR(SUMIFS(Emissions[2024],Emissions[[Sector]:[Sector]],$A$75, Emissions[[Emissions_category]:[Emissions_category]],$B$21)/1000,"")</f>
        <v>0</v>
      </c>
      <c r="G77" s="31">
        <f xml:space="preserve"> IFERROR(SUMIFS(Emissions[2025],Emissions[[Sector]:[Sector]],$A$75, Emissions[[Emissions_category]:[Emissions_category]],$B$21)/1000,"")</f>
        <v>0</v>
      </c>
      <c r="H77" s="31">
        <f xml:space="preserve"> IFERROR(SUMIFS(Emissions[2026],Emissions[[Sector]:[Sector]],$A$75, Emissions[[Emissions_category]:[Emissions_category]],$B$21)/1000,"")</f>
        <v>0</v>
      </c>
      <c r="I77" s="31">
        <f xml:space="preserve"> IFERROR(SUMIFS(Emissions[2027],Emissions[[Sector]:[Sector]],$A$75, Emissions[[Emissions_category]:[Emissions_category]],$B$21)/1000,"")</f>
        <v>0</v>
      </c>
      <c r="J77" s="31">
        <f xml:space="preserve"> IFERROR(SUMIFS(Emissions[2028],Emissions[[Sector]:[Sector]],$A$75, Emissions[[Emissions_category]:[Emissions_category]],$B$21)/1000,"")</f>
        <v>0</v>
      </c>
      <c r="K77" s="31">
        <f xml:space="preserve"> IFERROR(SUMIFS(Emissions[2029],Emissions[[Sector]:[Sector]],$A$75, Emissions[[Emissions_category]:[Emissions_category]],$B$21)/1000,"")</f>
        <v>0</v>
      </c>
      <c r="L77" s="31">
        <f xml:space="preserve"> IFERROR(SUMIFS(Emissions[2030],Emissions[[Sector]:[Sector]],$A$75, Emissions[[Emissions_category]:[Emissions_category]],$B$21)/1000,"")</f>
        <v>0</v>
      </c>
      <c r="M77" s="31">
        <f xml:space="preserve"> IFERROR(SUMIFS(Emissions[2031],Emissions[[Sector]:[Sector]],$A$75, Emissions[[Emissions_category]:[Emissions_category]],$B$21)/1000,"")</f>
        <v>0</v>
      </c>
      <c r="N77" s="31">
        <f xml:space="preserve"> IFERROR(SUMIFS(Emissions[2032],Emissions[[Sector]:[Sector]],$A$75, Emissions[[Emissions_category]:[Emissions_category]],$B$21)/1000,"")</f>
        <v>0</v>
      </c>
      <c r="O77" s="31">
        <f xml:space="preserve"> IFERROR(SUMIFS(Emissions[2033],Emissions[[Sector]:[Sector]],$A$75, Emissions[[Emissions_category]:[Emissions_category]],$B$21)/1000,"")</f>
        <v>0</v>
      </c>
      <c r="P77" s="31">
        <f xml:space="preserve"> IFERROR(SUMIFS(Emissions[2034],Emissions[[Sector]:[Sector]],$A$75, Emissions[[Emissions_category]:[Emissions_category]],$B$21)/1000,"")</f>
        <v>0</v>
      </c>
      <c r="Q77" s="31">
        <f xml:space="preserve"> IFERROR(SUMIFS(Emissions[2035],Emissions[[Sector]:[Sector]],$A$75, Emissions[[Emissions_category]:[Emissions_category]],$B$21)/1000,"")</f>
        <v>0</v>
      </c>
      <c r="R77" s="31">
        <f xml:space="preserve"> IFERROR(SUMIFS(Emissions[2036],Emissions[[Sector]:[Sector]],$A$75, Emissions[[Emissions_category]:[Emissions_category]],$B$21)/1000,"")</f>
        <v>0</v>
      </c>
      <c r="S77" s="31">
        <f xml:space="preserve"> IFERROR(SUMIFS(Emissions[2037],Emissions[[Sector]:[Sector]],$A$75, Emissions[[Emissions_category]:[Emissions_category]],$B$21)/1000,"")</f>
        <v>0</v>
      </c>
      <c r="T77" s="31">
        <f xml:space="preserve"> IFERROR(SUMIFS(Emissions[2038],Emissions[[Sector]:[Sector]],$A$75, Emissions[[Emissions_category]:[Emissions_category]],$B$21)/1000,"")</f>
        <v>0</v>
      </c>
      <c r="U77" s="31">
        <f xml:space="preserve"> IFERROR(SUMIFS(Emissions[2039],Emissions[[Sector]:[Sector]],$A$75, Emissions[[Emissions_category]:[Emissions_category]],$B$21)/1000,"")</f>
        <v>0</v>
      </c>
      <c r="V77" s="31">
        <f xml:space="preserve"> IFERROR(SUMIFS(Emissions[2040],Emissions[[Sector]:[Sector]],$A$75, Emissions[[Emissions_category]:[Emissions_category]],$B$21)/1000,"")</f>
        <v>0</v>
      </c>
      <c r="W77" s="31">
        <f xml:space="preserve"> IFERROR(SUMIFS(Emissions[2041],Emissions[[Sector]:[Sector]],$A$75, Emissions[[Emissions_category]:[Emissions_category]],$B$21)/1000,"")</f>
        <v>0</v>
      </c>
      <c r="X77" s="31">
        <f xml:space="preserve"> IFERROR(SUMIFS(Emissions[2042],Emissions[[Sector]:[Sector]],$A$75, Emissions[[Emissions_category]:[Emissions_category]],$B$21)/1000,"")</f>
        <v>0</v>
      </c>
      <c r="Y77" s="31">
        <f xml:space="preserve"> IFERROR(SUMIFS(Emissions[2043],Emissions[[Sector]:[Sector]],$A$75, Emissions[[Emissions_category]:[Emissions_category]],$B$21)/1000,"")</f>
        <v>0</v>
      </c>
      <c r="Z77" s="31">
        <f xml:space="preserve"> IFERROR(SUMIFS(Emissions[2044],Emissions[[Sector]:[Sector]],$A$75, Emissions[[Emissions_category]:[Emissions_category]],$B$21)/1000,"")</f>
        <v>0</v>
      </c>
      <c r="AA77" s="31">
        <f xml:space="preserve"> IFERROR(SUMIFS(Emissions[2045],Emissions[[Sector]:[Sector]],$A$75, Emissions[[Emissions_category]:[Emissions_category]],$B$21)/1000,"")</f>
        <v>0</v>
      </c>
      <c r="AB77" s="31">
        <f xml:space="preserve"> IFERROR(SUMIFS(Emissions[2046],Emissions[[Sector]:[Sector]],$A$75, Emissions[[Emissions_category]:[Emissions_category]],$B$21)/1000,"")</f>
        <v>0</v>
      </c>
      <c r="AC77" s="31">
        <f xml:space="preserve"> IFERROR(SUMIFS(Emissions[2047],Emissions[[Sector]:[Sector]],$A$75, Emissions[[Emissions_category]:[Emissions_category]],$B$21)/1000,"")</f>
        <v>0</v>
      </c>
      <c r="AD77" s="31">
        <f xml:space="preserve"> IFERROR(SUMIFS(Emissions[2048],Emissions[[Sector]:[Sector]],$A$75, Emissions[[Emissions_category]:[Emissions_category]],$B$21)/1000,"")</f>
        <v>0</v>
      </c>
      <c r="AE77" s="31">
        <f xml:space="preserve"> IFERROR(SUMIFS(Emissions[2049],Emissions[[Sector]:[Sector]],$A$75, Emissions[[Emissions_category]:[Emissions_category]],$B$21)/1000,"")</f>
        <v>0</v>
      </c>
      <c r="AF77" s="31">
        <f xml:space="preserve"> IFERROR(SUMIFS(Emissions[2050],Emissions[[Sector]:[Sector]],$A$75, Emissions[[Emissions_category]:[Emissions_category]],$B$21)/1000,"")</f>
        <v>0</v>
      </c>
      <c r="AG77" s="31">
        <f xml:space="preserve"> IFERROR(SUMIFS(Emissions[2051],Emissions[[Sector]:[Sector]],$A$75, Emissions[[Emissions_category]:[Emissions_category]],$B$21)/1000,"")</f>
        <v>0</v>
      </c>
      <c r="AK77" s="20"/>
    </row>
    <row r="78" spans="1:37" ht="14.65" thickTop="1" x14ac:dyDescent="0.45"/>
    <row r="79" spans="1:37" ht="26.25" customHeight="1" x14ac:dyDescent="0.75">
      <c r="A79" s="26" t="s">
        <v>2</v>
      </c>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row>
    <row r="80" spans="1:37" ht="18" x14ac:dyDescent="0.55000000000000004">
      <c r="A80" s="54" t="s">
        <v>197</v>
      </c>
    </row>
    <row r="81" spans="1:33" ht="21" customHeight="1" x14ac:dyDescent="0.65">
      <c r="A81" s="3" t="s">
        <v>29</v>
      </c>
      <c r="B81" s="8" t="s">
        <v>198</v>
      </c>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row>
    <row r="82" spans="1:33" ht="15.75" customHeight="1" x14ac:dyDescent="0.45">
      <c r="B82" s="6"/>
      <c r="C82" s="6">
        <v>2021</v>
      </c>
      <c r="D82" s="6">
        <v>2022</v>
      </c>
      <c r="E82" s="6">
        <v>2023</v>
      </c>
      <c r="F82" s="6">
        <v>2024</v>
      </c>
      <c r="G82" s="6">
        <v>2025</v>
      </c>
      <c r="H82" s="6">
        <v>2026</v>
      </c>
      <c r="I82" s="6">
        <v>2027</v>
      </c>
      <c r="J82" s="6">
        <v>2028</v>
      </c>
      <c r="K82" s="6">
        <v>2029</v>
      </c>
      <c r="L82" s="6">
        <v>2030</v>
      </c>
      <c r="M82" s="6">
        <v>2031</v>
      </c>
      <c r="N82" s="6">
        <v>2032</v>
      </c>
      <c r="O82" s="6">
        <v>2033</v>
      </c>
      <c r="P82" s="6">
        <v>2034</v>
      </c>
      <c r="Q82" s="6">
        <v>2035</v>
      </c>
      <c r="R82" s="6">
        <v>2036</v>
      </c>
      <c r="S82" s="6">
        <v>2037</v>
      </c>
      <c r="T82" s="6">
        <v>2038</v>
      </c>
      <c r="U82" s="6">
        <v>2039</v>
      </c>
      <c r="V82" s="6">
        <v>2040</v>
      </c>
      <c r="W82" s="6">
        <v>2041</v>
      </c>
      <c r="X82" s="6">
        <v>2042</v>
      </c>
      <c r="Y82" s="6">
        <v>2043</v>
      </c>
      <c r="Z82" s="6">
        <v>2044</v>
      </c>
      <c r="AA82" s="6">
        <v>2045</v>
      </c>
      <c r="AB82" s="6">
        <v>2046</v>
      </c>
      <c r="AC82" s="6">
        <v>2047</v>
      </c>
      <c r="AD82" s="6">
        <v>2048</v>
      </c>
      <c r="AE82" s="6">
        <v>2049</v>
      </c>
      <c r="AF82" s="6">
        <v>2050</v>
      </c>
      <c r="AG82" s="6">
        <v>2051</v>
      </c>
    </row>
    <row r="83" spans="1:33" x14ac:dyDescent="0.45">
      <c r="A83" t="s">
        <v>107</v>
      </c>
      <c r="B83" s="35" t="s">
        <v>14</v>
      </c>
      <c r="C83" s="30">
        <f ca="1">IF(C105&lt;&gt;"",SUM(C84:C87),"")</f>
        <v>0</v>
      </c>
      <c r="D83" s="30">
        <f t="shared" ref="D83:AG83" ca="1" si="11">IF(D105&lt;&gt;"",SUM(D84:D87),"")</f>
        <v>0</v>
      </c>
      <c r="E83" s="30">
        <f t="shared" ca="1" si="11"/>
        <v>0</v>
      </c>
      <c r="F83" s="30">
        <f t="shared" ca="1" si="11"/>
        <v>0</v>
      </c>
      <c r="G83" s="30">
        <f t="shared" ca="1" si="11"/>
        <v>0</v>
      </c>
      <c r="H83" s="30">
        <f t="shared" ca="1" si="11"/>
        <v>0</v>
      </c>
      <c r="I83" s="30">
        <f t="shared" ca="1" si="11"/>
        <v>0</v>
      </c>
      <c r="J83" s="30">
        <f t="shared" ca="1" si="11"/>
        <v>0</v>
      </c>
      <c r="K83" s="30">
        <f t="shared" ca="1" si="11"/>
        <v>0</v>
      </c>
      <c r="L83" s="30">
        <f t="shared" ca="1" si="11"/>
        <v>0</v>
      </c>
      <c r="M83" s="30">
        <f t="shared" ca="1" si="11"/>
        <v>0</v>
      </c>
      <c r="N83" s="30">
        <f t="shared" ca="1" si="11"/>
        <v>0</v>
      </c>
      <c r="O83" s="30">
        <f t="shared" ca="1" si="11"/>
        <v>0</v>
      </c>
      <c r="P83" s="30">
        <f t="shared" ca="1" si="11"/>
        <v>0</v>
      </c>
      <c r="Q83" s="30">
        <f t="shared" ca="1" si="11"/>
        <v>0</v>
      </c>
      <c r="R83" s="30">
        <f t="shared" ca="1" si="11"/>
        <v>0</v>
      </c>
      <c r="S83" s="30">
        <f t="shared" ca="1" si="11"/>
        <v>0</v>
      </c>
      <c r="T83" s="30">
        <f t="shared" ca="1" si="11"/>
        <v>0</v>
      </c>
      <c r="U83" s="30">
        <f t="shared" ca="1" si="11"/>
        <v>0</v>
      </c>
      <c r="V83" s="30">
        <f t="shared" ca="1" si="11"/>
        <v>0</v>
      </c>
      <c r="W83" s="30">
        <f t="shared" ca="1" si="11"/>
        <v>0</v>
      </c>
      <c r="X83" s="30">
        <f t="shared" ca="1" si="11"/>
        <v>0</v>
      </c>
      <c r="Y83" s="30">
        <f t="shared" ca="1" si="11"/>
        <v>0</v>
      </c>
      <c r="Z83" s="30">
        <f t="shared" ca="1" si="11"/>
        <v>0</v>
      </c>
      <c r="AA83" s="30">
        <f t="shared" ca="1" si="11"/>
        <v>0</v>
      </c>
      <c r="AB83" s="30">
        <f t="shared" ca="1" si="11"/>
        <v>0</v>
      </c>
      <c r="AC83" s="30">
        <f t="shared" ca="1" si="11"/>
        <v>0</v>
      </c>
      <c r="AD83" s="30">
        <f t="shared" ca="1" si="11"/>
        <v>0</v>
      </c>
      <c r="AE83" s="30">
        <f t="shared" ca="1" si="11"/>
        <v>0</v>
      </c>
      <c r="AF83" s="30">
        <f t="shared" ca="1" si="11"/>
        <v>0</v>
      </c>
      <c r="AG83" s="30">
        <f t="shared" ca="1" si="11"/>
        <v>0</v>
      </c>
    </row>
    <row r="84" spans="1:33" x14ac:dyDescent="0.45">
      <c r="B84" s="12" t="s">
        <v>30</v>
      </c>
      <c r="C84" s="28">
        <f ca="1">IFERROR(SUMIFS(Costs[2021],Costs[[Sector_group]:[Sector_group]],"="&amp;$B$83, Costs[[Cost_type]:[Cost_type]],"="&amp;$B84)/1000,"")</f>
        <v>0</v>
      </c>
      <c r="D84" s="28">
        <f ca="1">IFERROR(SUMIFS(Costs[2022],Costs[[Sector_group]:[Sector_group]],"="&amp;$B$83, Costs[[Cost_type]:[Cost_type]],"="&amp;$B84)/1000,"")</f>
        <v>0</v>
      </c>
      <c r="E84" s="28">
        <f ca="1">IFERROR(SUMIFS(Costs[2023],Costs[[Sector_group]:[Sector_group]],"="&amp;$B$83, Costs[[Cost_type]:[Cost_type]],"="&amp;$B84)/1000,"")</f>
        <v>0</v>
      </c>
      <c r="F84" s="28">
        <f ca="1">IFERROR(SUMIFS(Costs[2024],Costs[[Sector_group]:[Sector_group]],"="&amp;$B$83, Costs[[Cost_type]:[Cost_type]],"="&amp;$B84)/1000,"")</f>
        <v>0</v>
      </c>
      <c r="G84" s="28">
        <f ca="1">IFERROR(SUMIFS(Costs[2025],Costs[[Sector_group]:[Sector_group]],"="&amp;$B$83, Costs[[Cost_type]:[Cost_type]],"="&amp;$B84)/1000,"")</f>
        <v>0</v>
      </c>
      <c r="H84" s="28">
        <f ca="1">IFERROR(SUMIFS(Costs[2026],Costs[[Sector_group]:[Sector_group]],"="&amp;$B$83, Costs[[Cost_type]:[Cost_type]],"="&amp;$B84)/1000,"")</f>
        <v>0</v>
      </c>
      <c r="I84" s="28">
        <f ca="1">IFERROR(SUMIFS(Costs[2027],Costs[[Sector_group]:[Sector_group]],"="&amp;$B$83, Costs[[Cost_type]:[Cost_type]],"="&amp;$B84)/1000,"")</f>
        <v>0</v>
      </c>
      <c r="J84" s="28">
        <f ca="1">IFERROR(SUMIFS(Costs[2028],Costs[[Sector_group]:[Sector_group]],"="&amp;$B$83, Costs[[Cost_type]:[Cost_type]],"="&amp;$B84)/1000,"")</f>
        <v>0</v>
      </c>
      <c r="K84" s="28">
        <f ca="1">IFERROR(SUMIFS(Costs[2029],Costs[[Sector_group]:[Sector_group]],"="&amp;$B$83, Costs[[Cost_type]:[Cost_type]],"="&amp;$B84)/1000,"")</f>
        <v>0</v>
      </c>
      <c r="L84" s="28">
        <f ca="1">IFERROR(SUMIFS(Costs[2030],Costs[[Sector_group]:[Sector_group]],"="&amp;$B$83, Costs[[Cost_type]:[Cost_type]],"="&amp;$B84)/1000,"")</f>
        <v>0</v>
      </c>
      <c r="M84" s="28">
        <f ca="1">IFERROR(SUMIFS(Costs[2031],Costs[[Sector_group]:[Sector_group]],"="&amp;$B$83, Costs[[Cost_type]:[Cost_type]],"="&amp;$B84)/1000,"")</f>
        <v>0</v>
      </c>
      <c r="N84" s="28">
        <f ca="1">IFERROR(SUMIFS(Costs[2032],Costs[[Sector_group]:[Sector_group]],"="&amp;$B$83, Costs[[Cost_type]:[Cost_type]],"="&amp;$B84)/1000,"")</f>
        <v>0</v>
      </c>
      <c r="O84" s="28">
        <f ca="1">IFERROR(SUMIFS(Costs[2033],Costs[[Sector_group]:[Sector_group]],"="&amp;$B$83, Costs[[Cost_type]:[Cost_type]],"="&amp;$B84)/1000,"")</f>
        <v>0</v>
      </c>
      <c r="P84" s="28">
        <f ca="1">IFERROR(SUMIFS(Costs[2034],Costs[[Sector_group]:[Sector_group]],"="&amp;$B$83, Costs[[Cost_type]:[Cost_type]],"="&amp;$B84)/1000,"")</f>
        <v>0</v>
      </c>
      <c r="Q84" s="28">
        <f ca="1">IFERROR(SUMIFS(Costs[2035],Costs[[Sector_group]:[Sector_group]],"="&amp;$B$83, Costs[[Cost_type]:[Cost_type]],"="&amp;$B84)/1000,"")</f>
        <v>0</v>
      </c>
      <c r="R84" s="28">
        <f ca="1">IFERROR(SUMIFS(Costs[2036],Costs[[Sector_group]:[Sector_group]],"="&amp;$B$83, Costs[[Cost_type]:[Cost_type]],"="&amp;$B84)/1000,"")</f>
        <v>0</v>
      </c>
      <c r="S84" s="28">
        <f ca="1">IFERROR(SUMIFS(Costs[2037],Costs[[Sector_group]:[Sector_group]],"="&amp;$B$83, Costs[[Cost_type]:[Cost_type]],"="&amp;$B84)/1000,"")</f>
        <v>0</v>
      </c>
      <c r="T84" s="28">
        <f ca="1">IFERROR(SUMIFS(Costs[2038],Costs[[Sector_group]:[Sector_group]],"="&amp;$B$83, Costs[[Cost_type]:[Cost_type]],"="&amp;$B84)/1000,"")</f>
        <v>0</v>
      </c>
      <c r="U84" s="28">
        <f ca="1">IFERROR(SUMIFS(Costs[2039],Costs[[Sector_group]:[Sector_group]],"="&amp;$B$83, Costs[[Cost_type]:[Cost_type]],"="&amp;$B84)/1000,"")</f>
        <v>0</v>
      </c>
      <c r="V84" s="28">
        <f ca="1">IFERROR(SUMIFS(Costs[2040],Costs[[Sector_group]:[Sector_group]],"="&amp;$B$83, Costs[[Cost_type]:[Cost_type]],"="&amp;$B84)/1000,"")</f>
        <v>0</v>
      </c>
      <c r="W84" s="28">
        <f ca="1">IFERROR(SUMIFS(Costs[2041],Costs[[Sector_group]:[Sector_group]],"="&amp;$B$83, Costs[[Cost_type]:[Cost_type]],"="&amp;$B84)/1000,"")</f>
        <v>0</v>
      </c>
      <c r="X84" s="28">
        <f ca="1">IFERROR(SUMIFS(Costs[2042],Costs[[Sector_group]:[Sector_group]],"="&amp;$B$83, Costs[[Cost_type]:[Cost_type]],"="&amp;$B84)/1000,"")</f>
        <v>0</v>
      </c>
      <c r="Y84" s="28">
        <f ca="1">IFERROR(SUMIFS(Costs[2043],Costs[[Sector_group]:[Sector_group]],"="&amp;$B$83, Costs[[Cost_type]:[Cost_type]],"="&amp;$B84)/1000,"")</f>
        <v>0</v>
      </c>
      <c r="Z84" s="28">
        <f ca="1">IFERROR(SUMIFS(Costs[2044],Costs[[Sector_group]:[Sector_group]],"="&amp;$B$83, Costs[[Cost_type]:[Cost_type]],"="&amp;$B84)/1000,"")</f>
        <v>0</v>
      </c>
      <c r="AA84" s="28">
        <f ca="1">IFERROR(SUMIFS(Costs[2045],Costs[[Sector_group]:[Sector_group]],"="&amp;$B$83, Costs[[Cost_type]:[Cost_type]],"="&amp;$B84)/1000,"")</f>
        <v>0</v>
      </c>
      <c r="AB84" s="28">
        <f ca="1">IFERROR(SUMIFS(Costs[2046],Costs[[Sector_group]:[Sector_group]],"="&amp;$B$83, Costs[[Cost_type]:[Cost_type]],"="&amp;$B84)/1000,"")</f>
        <v>0</v>
      </c>
      <c r="AC84" s="28">
        <f ca="1">IFERROR(SUMIFS(Costs[2047],Costs[[Sector_group]:[Sector_group]],"="&amp;$B$83, Costs[[Cost_type]:[Cost_type]],"="&amp;$B84)/1000,"")</f>
        <v>0</v>
      </c>
      <c r="AD84" s="28">
        <f ca="1">IFERROR(SUMIFS(Costs[2048],Costs[[Sector_group]:[Sector_group]],"="&amp;$B$83, Costs[[Cost_type]:[Cost_type]],"="&amp;$B84)/1000,"")</f>
        <v>0</v>
      </c>
      <c r="AE84" s="28">
        <f ca="1">IFERROR(SUMIFS(Costs[2049],Costs[[Sector_group]:[Sector_group]],"="&amp;$B$83, Costs[[Cost_type]:[Cost_type]],"="&amp;$B84)/1000,"")</f>
        <v>0</v>
      </c>
      <c r="AF84" s="28">
        <f ca="1">IFERROR(SUMIFS(Costs[2050],Costs[[Sector_group]:[Sector_group]],"="&amp;$B$83, Costs[[Cost_type]:[Cost_type]],"="&amp;$B84)/1000,"")</f>
        <v>0</v>
      </c>
      <c r="AG84" s="28">
        <f ca="1">IFERROR(SUMIFS(Costs[2051],Costs[[Sector_group]:[Sector_group]],"="&amp;$B$83, Costs[[Cost_type]:[Cost_type]],"="&amp;$B84)/1000,"")</f>
        <v>0</v>
      </c>
    </row>
    <row r="85" spans="1:33" x14ac:dyDescent="0.45">
      <c r="B85" s="12" t="s">
        <v>31</v>
      </c>
      <c r="C85" s="28">
        <f ca="1">IFERROR(SUMIFS(Costs[2021],Costs[[Sector_group]:[Sector_group]],"="&amp;$B$83, Costs[[Cost_type]:[Cost_type]],"="&amp;$B85)/1000,"")</f>
        <v>0</v>
      </c>
      <c r="D85" s="28">
        <f ca="1">IFERROR(SUMIFS(Costs[2022],Costs[[Sector_group]:[Sector_group]],"="&amp;$B$83, Costs[[Cost_type]:[Cost_type]],"="&amp;$B85)/1000,"")</f>
        <v>0</v>
      </c>
      <c r="E85" s="28">
        <f ca="1">IFERROR(SUMIFS(Costs[2023],Costs[[Sector_group]:[Sector_group]],"="&amp;$B$83, Costs[[Cost_type]:[Cost_type]],"="&amp;$B85)/1000,"")</f>
        <v>0</v>
      </c>
      <c r="F85" s="28">
        <f ca="1">IFERROR(SUMIFS(Costs[2024],Costs[[Sector_group]:[Sector_group]],"="&amp;$B$83, Costs[[Cost_type]:[Cost_type]],"="&amp;$B85)/1000,"")</f>
        <v>0</v>
      </c>
      <c r="G85" s="28">
        <f ca="1">IFERROR(SUMIFS(Costs[2025],Costs[[Sector_group]:[Sector_group]],"="&amp;$B$83, Costs[[Cost_type]:[Cost_type]],"="&amp;$B85)/1000,"")</f>
        <v>0</v>
      </c>
      <c r="H85" s="28">
        <f ca="1">IFERROR(SUMIFS(Costs[2026],Costs[[Sector_group]:[Sector_group]],"="&amp;$B$83, Costs[[Cost_type]:[Cost_type]],"="&amp;$B85)/1000,"")</f>
        <v>0</v>
      </c>
      <c r="I85" s="28">
        <f ca="1">IFERROR(SUMIFS(Costs[2027],Costs[[Sector_group]:[Sector_group]],"="&amp;$B$83, Costs[[Cost_type]:[Cost_type]],"="&amp;$B85)/1000,"")</f>
        <v>0</v>
      </c>
      <c r="J85" s="28">
        <f ca="1">IFERROR(SUMIFS(Costs[2028],Costs[[Sector_group]:[Sector_group]],"="&amp;$B$83, Costs[[Cost_type]:[Cost_type]],"="&amp;$B85)/1000,"")</f>
        <v>0</v>
      </c>
      <c r="K85" s="28">
        <f ca="1">IFERROR(SUMIFS(Costs[2029],Costs[[Sector_group]:[Sector_group]],"="&amp;$B$83, Costs[[Cost_type]:[Cost_type]],"="&amp;$B85)/1000,"")</f>
        <v>0</v>
      </c>
      <c r="L85" s="28">
        <f ca="1">IFERROR(SUMIFS(Costs[2030],Costs[[Sector_group]:[Sector_group]],"="&amp;$B$83, Costs[[Cost_type]:[Cost_type]],"="&amp;$B85)/1000,"")</f>
        <v>0</v>
      </c>
      <c r="M85" s="28">
        <f ca="1">IFERROR(SUMIFS(Costs[2031],Costs[[Sector_group]:[Sector_group]],"="&amp;$B$83, Costs[[Cost_type]:[Cost_type]],"="&amp;$B85)/1000,"")</f>
        <v>0</v>
      </c>
      <c r="N85" s="28">
        <f ca="1">IFERROR(SUMIFS(Costs[2032],Costs[[Sector_group]:[Sector_group]],"="&amp;$B$83, Costs[[Cost_type]:[Cost_type]],"="&amp;$B85)/1000,"")</f>
        <v>0</v>
      </c>
      <c r="O85" s="28">
        <f ca="1">IFERROR(SUMIFS(Costs[2033],Costs[[Sector_group]:[Sector_group]],"="&amp;$B$83, Costs[[Cost_type]:[Cost_type]],"="&amp;$B85)/1000,"")</f>
        <v>0</v>
      </c>
      <c r="P85" s="28">
        <f ca="1">IFERROR(SUMIFS(Costs[2034],Costs[[Sector_group]:[Sector_group]],"="&amp;$B$83, Costs[[Cost_type]:[Cost_type]],"="&amp;$B85)/1000,"")</f>
        <v>0</v>
      </c>
      <c r="Q85" s="28">
        <f ca="1">IFERROR(SUMIFS(Costs[2035],Costs[[Sector_group]:[Sector_group]],"="&amp;$B$83, Costs[[Cost_type]:[Cost_type]],"="&amp;$B85)/1000,"")</f>
        <v>0</v>
      </c>
      <c r="R85" s="28">
        <f ca="1">IFERROR(SUMIFS(Costs[2036],Costs[[Sector_group]:[Sector_group]],"="&amp;$B$83, Costs[[Cost_type]:[Cost_type]],"="&amp;$B85)/1000,"")</f>
        <v>0</v>
      </c>
      <c r="S85" s="28">
        <f ca="1">IFERROR(SUMIFS(Costs[2037],Costs[[Sector_group]:[Sector_group]],"="&amp;$B$83, Costs[[Cost_type]:[Cost_type]],"="&amp;$B85)/1000,"")</f>
        <v>0</v>
      </c>
      <c r="T85" s="28">
        <f ca="1">IFERROR(SUMIFS(Costs[2038],Costs[[Sector_group]:[Sector_group]],"="&amp;$B$83, Costs[[Cost_type]:[Cost_type]],"="&amp;$B85)/1000,"")</f>
        <v>0</v>
      </c>
      <c r="U85" s="28">
        <f ca="1">IFERROR(SUMIFS(Costs[2039],Costs[[Sector_group]:[Sector_group]],"="&amp;$B$83, Costs[[Cost_type]:[Cost_type]],"="&amp;$B85)/1000,"")</f>
        <v>0</v>
      </c>
      <c r="V85" s="28">
        <f ca="1">IFERROR(SUMIFS(Costs[2040],Costs[[Sector_group]:[Sector_group]],"="&amp;$B$83, Costs[[Cost_type]:[Cost_type]],"="&amp;$B85)/1000,"")</f>
        <v>0</v>
      </c>
      <c r="W85" s="28">
        <f ca="1">IFERROR(SUMIFS(Costs[2041],Costs[[Sector_group]:[Sector_group]],"="&amp;$B$83, Costs[[Cost_type]:[Cost_type]],"="&amp;$B85)/1000,"")</f>
        <v>0</v>
      </c>
      <c r="X85" s="28">
        <f ca="1">IFERROR(SUMIFS(Costs[2042],Costs[[Sector_group]:[Sector_group]],"="&amp;$B$83, Costs[[Cost_type]:[Cost_type]],"="&amp;$B85)/1000,"")</f>
        <v>0</v>
      </c>
      <c r="Y85" s="28">
        <f ca="1">IFERROR(SUMIFS(Costs[2043],Costs[[Sector_group]:[Sector_group]],"="&amp;$B$83, Costs[[Cost_type]:[Cost_type]],"="&amp;$B85)/1000,"")</f>
        <v>0</v>
      </c>
      <c r="Z85" s="28">
        <f ca="1">IFERROR(SUMIFS(Costs[2044],Costs[[Sector_group]:[Sector_group]],"="&amp;$B$83, Costs[[Cost_type]:[Cost_type]],"="&amp;$B85)/1000,"")</f>
        <v>0</v>
      </c>
      <c r="AA85" s="28">
        <f ca="1">IFERROR(SUMIFS(Costs[2045],Costs[[Sector_group]:[Sector_group]],"="&amp;$B$83, Costs[[Cost_type]:[Cost_type]],"="&amp;$B85)/1000,"")</f>
        <v>0</v>
      </c>
      <c r="AB85" s="28">
        <f ca="1">IFERROR(SUMIFS(Costs[2046],Costs[[Sector_group]:[Sector_group]],"="&amp;$B$83, Costs[[Cost_type]:[Cost_type]],"="&amp;$B85)/1000,"")</f>
        <v>0</v>
      </c>
      <c r="AC85" s="28">
        <f ca="1">IFERROR(SUMIFS(Costs[2047],Costs[[Sector_group]:[Sector_group]],"="&amp;$B$83, Costs[[Cost_type]:[Cost_type]],"="&amp;$B85)/1000,"")</f>
        <v>0</v>
      </c>
      <c r="AD85" s="28">
        <f ca="1">IFERROR(SUMIFS(Costs[2048],Costs[[Sector_group]:[Sector_group]],"="&amp;$B$83, Costs[[Cost_type]:[Cost_type]],"="&amp;$B85)/1000,"")</f>
        <v>0</v>
      </c>
      <c r="AE85" s="28">
        <f ca="1">IFERROR(SUMIFS(Costs[2049],Costs[[Sector_group]:[Sector_group]],"="&amp;$B$83, Costs[[Cost_type]:[Cost_type]],"="&amp;$B85)/1000,"")</f>
        <v>0</v>
      </c>
      <c r="AF85" s="28">
        <f ca="1">IFERROR(SUMIFS(Costs[2050],Costs[[Sector_group]:[Sector_group]],"="&amp;$B$83, Costs[[Cost_type]:[Cost_type]],"="&amp;$B85)/1000,"")</f>
        <v>0</v>
      </c>
      <c r="AG85" s="28">
        <f ca="1">IFERROR(SUMIFS(Costs[2051],Costs[[Sector_group]:[Sector_group]],"="&amp;$B$83, Costs[[Cost_type]:[Cost_type]],"="&amp;$B85)/1000,"")</f>
        <v>0</v>
      </c>
    </row>
    <row r="86" spans="1:33" x14ac:dyDescent="0.45">
      <c r="B86" s="12" t="s">
        <v>32</v>
      </c>
      <c r="C86" s="28">
        <f ca="1">IFERROR(SUMIFS(Costs[2021],Costs[[Sector_group]:[Sector_group]],"="&amp;$B$83, Costs[[Cost_type]:[Cost_type]],"="&amp;$B86)/1000,"")</f>
        <v>0</v>
      </c>
      <c r="D86" s="28">
        <f ca="1">IFERROR(SUMIFS(Costs[2022],Costs[[Sector_group]:[Sector_group]],"="&amp;$B$83, Costs[[Cost_type]:[Cost_type]],"="&amp;$B86)/1000,"")</f>
        <v>0</v>
      </c>
      <c r="E86" s="28">
        <f ca="1">IFERROR(SUMIFS(Costs[2023],Costs[[Sector_group]:[Sector_group]],"="&amp;$B$83, Costs[[Cost_type]:[Cost_type]],"="&amp;$B86)/1000,"")</f>
        <v>0</v>
      </c>
      <c r="F86" s="28">
        <f ca="1">IFERROR(SUMIFS(Costs[2024],Costs[[Sector_group]:[Sector_group]],"="&amp;$B$83, Costs[[Cost_type]:[Cost_type]],"="&amp;$B86)/1000,"")</f>
        <v>0</v>
      </c>
      <c r="G86" s="28">
        <f ca="1">IFERROR(SUMIFS(Costs[2025],Costs[[Sector_group]:[Sector_group]],"="&amp;$B$83, Costs[[Cost_type]:[Cost_type]],"="&amp;$B86)/1000,"")</f>
        <v>0</v>
      </c>
      <c r="H86" s="28">
        <f ca="1">IFERROR(SUMIFS(Costs[2026],Costs[[Sector_group]:[Sector_group]],"="&amp;$B$83, Costs[[Cost_type]:[Cost_type]],"="&amp;$B86)/1000,"")</f>
        <v>0</v>
      </c>
      <c r="I86" s="28">
        <f ca="1">IFERROR(SUMIFS(Costs[2027],Costs[[Sector_group]:[Sector_group]],"="&amp;$B$83, Costs[[Cost_type]:[Cost_type]],"="&amp;$B86)/1000,"")</f>
        <v>0</v>
      </c>
      <c r="J86" s="28">
        <f ca="1">IFERROR(SUMIFS(Costs[2028],Costs[[Sector_group]:[Sector_group]],"="&amp;$B$83, Costs[[Cost_type]:[Cost_type]],"="&amp;$B86)/1000,"")</f>
        <v>0</v>
      </c>
      <c r="K86" s="28">
        <f ca="1">IFERROR(SUMIFS(Costs[2029],Costs[[Sector_group]:[Sector_group]],"="&amp;$B$83, Costs[[Cost_type]:[Cost_type]],"="&amp;$B86)/1000,"")</f>
        <v>0</v>
      </c>
      <c r="L86" s="28">
        <f ca="1">IFERROR(SUMIFS(Costs[2030],Costs[[Sector_group]:[Sector_group]],"="&amp;$B$83, Costs[[Cost_type]:[Cost_type]],"="&amp;$B86)/1000,"")</f>
        <v>0</v>
      </c>
      <c r="M86" s="28">
        <f ca="1">IFERROR(SUMIFS(Costs[2031],Costs[[Sector_group]:[Sector_group]],"="&amp;$B$83, Costs[[Cost_type]:[Cost_type]],"="&amp;$B86)/1000,"")</f>
        <v>0</v>
      </c>
      <c r="N86" s="28">
        <f ca="1">IFERROR(SUMIFS(Costs[2032],Costs[[Sector_group]:[Sector_group]],"="&amp;$B$83, Costs[[Cost_type]:[Cost_type]],"="&amp;$B86)/1000,"")</f>
        <v>0</v>
      </c>
      <c r="O86" s="28">
        <f ca="1">IFERROR(SUMIFS(Costs[2033],Costs[[Sector_group]:[Sector_group]],"="&amp;$B$83, Costs[[Cost_type]:[Cost_type]],"="&amp;$B86)/1000,"")</f>
        <v>0</v>
      </c>
      <c r="P86" s="28">
        <f ca="1">IFERROR(SUMIFS(Costs[2034],Costs[[Sector_group]:[Sector_group]],"="&amp;$B$83, Costs[[Cost_type]:[Cost_type]],"="&amp;$B86)/1000,"")</f>
        <v>0</v>
      </c>
      <c r="Q86" s="28">
        <f ca="1">IFERROR(SUMIFS(Costs[2035],Costs[[Sector_group]:[Sector_group]],"="&amp;$B$83, Costs[[Cost_type]:[Cost_type]],"="&amp;$B86)/1000,"")</f>
        <v>0</v>
      </c>
      <c r="R86" s="28">
        <f ca="1">IFERROR(SUMIFS(Costs[2036],Costs[[Sector_group]:[Sector_group]],"="&amp;$B$83, Costs[[Cost_type]:[Cost_type]],"="&amp;$B86)/1000,"")</f>
        <v>0</v>
      </c>
      <c r="S86" s="28">
        <f ca="1">IFERROR(SUMIFS(Costs[2037],Costs[[Sector_group]:[Sector_group]],"="&amp;$B$83, Costs[[Cost_type]:[Cost_type]],"="&amp;$B86)/1000,"")</f>
        <v>0</v>
      </c>
      <c r="T86" s="28">
        <f ca="1">IFERROR(SUMIFS(Costs[2038],Costs[[Sector_group]:[Sector_group]],"="&amp;$B$83, Costs[[Cost_type]:[Cost_type]],"="&amp;$B86)/1000,"")</f>
        <v>0</v>
      </c>
      <c r="U86" s="28">
        <f ca="1">IFERROR(SUMIFS(Costs[2039],Costs[[Sector_group]:[Sector_group]],"="&amp;$B$83, Costs[[Cost_type]:[Cost_type]],"="&amp;$B86)/1000,"")</f>
        <v>0</v>
      </c>
      <c r="V86" s="28">
        <f ca="1">IFERROR(SUMIFS(Costs[2040],Costs[[Sector_group]:[Sector_group]],"="&amp;$B$83, Costs[[Cost_type]:[Cost_type]],"="&amp;$B86)/1000,"")</f>
        <v>0</v>
      </c>
      <c r="W86" s="28">
        <f ca="1">IFERROR(SUMIFS(Costs[2041],Costs[[Sector_group]:[Sector_group]],"="&amp;$B$83, Costs[[Cost_type]:[Cost_type]],"="&amp;$B86)/1000,"")</f>
        <v>0</v>
      </c>
      <c r="X86" s="28">
        <f ca="1">IFERROR(SUMIFS(Costs[2042],Costs[[Sector_group]:[Sector_group]],"="&amp;$B$83, Costs[[Cost_type]:[Cost_type]],"="&amp;$B86)/1000,"")</f>
        <v>0</v>
      </c>
      <c r="Y86" s="28">
        <f ca="1">IFERROR(SUMIFS(Costs[2043],Costs[[Sector_group]:[Sector_group]],"="&amp;$B$83, Costs[[Cost_type]:[Cost_type]],"="&amp;$B86)/1000,"")</f>
        <v>0</v>
      </c>
      <c r="Z86" s="28">
        <f ca="1">IFERROR(SUMIFS(Costs[2044],Costs[[Sector_group]:[Sector_group]],"="&amp;$B$83, Costs[[Cost_type]:[Cost_type]],"="&amp;$B86)/1000,"")</f>
        <v>0</v>
      </c>
      <c r="AA86" s="28">
        <f ca="1">IFERROR(SUMIFS(Costs[2045],Costs[[Sector_group]:[Sector_group]],"="&amp;$B$83, Costs[[Cost_type]:[Cost_type]],"="&amp;$B86)/1000,"")</f>
        <v>0</v>
      </c>
      <c r="AB86" s="28">
        <f ca="1">IFERROR(SUMIFS(Costs[2046],Costs[[Sector_group]:[Sector_group]],"="&amp;$B$83, Costs[[Cost_type]:[Cost_type]],"="&amp;$B86)/1000,"")</f>
        <v>0</v>
      </c>
      <c r="AC86" s="28">
        <f ca="1">IFERROR(SUMIFS(Costs[2047],Costs[[Sector_group]:[Sector_group]],"="&amp;$B$83, Costs[[Cost_type]:[Cost_type]],"="&amp;$B86)/1000,"")</f>
        <v>0</v>
      </c>
      <c r="AD86" s="28">
        <f ca="1">IFERROR(SUMIFS(Costs[2048],Costs[[Sector_group]:[Sector_group]],"="&amp;$B$83, Costs[[Cost_type]:[Cost_type]],"="&amp;$B86)/1000,"")</f>
        <v>0</v>
      </c>
      <c r="AE86" s="28">
        <f ca="1">IFERROR(SUMIFS(Costs[2049],Costs[[Sector_group]:[Sector_group]],"="&amp;$B$83, Costs[[Cost_type]:[Cost_type]],"="&amp;$B86)/1000,"")</f>
        <v>0</v>
      </c>
      <c r="AF86" s="28">
        <f ca="1">IFERROR(SUMIFS(Costs[2050],Costs[[Sector_group]:[Sector_group]],"="&amp;$B$83, Costs[[Cost_type]:[Cost_type]],"="&amp;$B86)/1000,"")</f>
        <v>0</v>
      </c>
      <c r="AG86" s="28">
        <f ca="1">IFERROR(SUMIFS(Costs[2051],Costs[[Sector_group]:[Sector_group]],"="&amp;$B$83, Costs[[Cost_type]:[Cost_type]],"="&amp;$B86)/1000,"")</f>
        <v>0</v>
      </c>
    </row>
    <row r="87" spans="1:33" x14ac:dyDescent="0.45">
      <c r="B87" s="12" t="s">
        <v>33</v>
      </c>
      <c r="C87" s="28">
        <f ca="1">IFERROR(SUMIFS(Costs[2021],Costs[[Sector_group]:[Sector_group]],"="&amp;$B$83, Costs[[Cost_type]:[Cost_type]],"="&amp;$B87)/1000,"")</f>
        <v>0</v>
      </c>
      <c r="D87" s="28">
        <f ca="1">IFERROR(SUMIFS(Costs[2022],Costs[[Sector_group]:[Sector_group]],"="&amp;$B$83, Costs[[Cost_type]:[Cost_type]],"="&amp;$B87)/1000,"")</f>
        <v>0</v>
      </c>
      <c r="E87" s="28">
        <f ca="1">IFERROR(SUMIFS(Costs[2023],Costs[[Sector_group]:[Sector_group]],"="&amp;$B$83, Costs[[Cost_type]:[Cost_type]],"="&amp;$B87)/1000,"")</f>
        <v>0</v>
      </c>
      <c r="F87" s="28">
        <f ca="1">IFERROR(SUMIFS(Costs[2024],Costs[[Sector_group]:[Sector_group]],"="&amp;$B$83, Costs[[Cost_type]:[Cost_type]],"="&amp;$B87)/1000,"")</f>
        <v>0</v>
      </c>
      <c r="G87" s="28">
        <f ca="1">IFERROR(SUMIFS(Costs[2025],Costs[[Sector_group]:[Sector_group]],"="&amp;$B$83, Costs[[Cost_type]:[Cost_type]],"="&amp;$B87)/1000,"")</f>
        <v>0</v>
      </c>
      <c r="H87" s="28">
        <f ca="1">IFERROR(SUMIFS(Costs[2026],Costs[[Sector_group]:[Sector_group]],"="&amp;$B$83, Costs[[Cost_type]:[Cost_type]],"="&amp;$B87)/1000,"")</f>
        <v>0</v>
      </c>
      <c r="I87" s="28">
        <f ca="1">IFERROR(SUMIFS(Costs[2027],Costs[[Sector_group]:[Sector_group]],"="&amp;$B$83, Costs[[Cost_type]:[Cost_type]],"="&amp;$B87)/1000,"")</f>
        <v>0</v>
      </c>
      <c r="J87" s="28">
        <f ca="1">IFERROR(SUMIFS(Costs[2028],Costs[[Sector_group]:[Sector_group]],"="&amp;$B$83, Costs[[Cost_type]:[Cost_type]],"="&amp;$B87)/1000,"")</f>
        <v>0</v>
      </c>
      <c r="K87" s="28">
        <f ca="1">IFERROR(SUMIFS(Costs[2029],Costs[[Sector_group]:[Sector_group]],"="&amp;$B$83, Costs[[Cost_type]:[Cost_type]],"="&amp;$B87)/1000,"")</f>
        <v>0</v>
      </c>
      <c r="L87" s="28">
        <f ca="1">IFERROR(SUMIFS(Costs[2030],Costs[[Sector_group]:[Sector_group]],"="&amp;$B$83, Costs[[Cost_type]:[Cost_type]],"="&amp;$B87)/1000,"")</f>
        <v>0</v>
      </c>
      <c r="M87" s="28">
        <f ca="1">IFERROR(SUMIFS(Costs[2031],Costs[[Sector_group]:[Sector_group]],"="&amp;$B$83, Costs[[Cost_type]:[Cost_type]],"="&amp;$B87)/1000,"")</f>
        <v>0</v>
      </c>
      <c r="N87" s="28">
        <f ca="1">IFERROR(SUMIFS(Costs[2032],Costs[[Sector_group]:[Sector_group]],"="&amp;$B$83, Costs[[Cost_type]:[Cost_type]],"="&amp;$B87)/1000,"")</f>
        <v>0</v>
      </c>
      <c r="O87" s="28">
        <f ca="1">IFERROR(SUMIFS(Costs[2033],Costs[[Sector_group]:[Sector_group]],"="&amp;$B$83, Costs[[Cost_type]:[Cost_type]],"="&amp;$B87)/1000,"")</f>
        <v>0</v>
      </c>
      <c r="P87" s="28">
        <f ca="1">IFERROR(SUMIFS(Costs[2034],Costs[[Sector_group]:[Sector_group]],"="&amp;$B$83, Costs[[Cost_type]:[Cost_type]],"="&amp;$B87)/1000,"")</f>
        <v>0</v>
      </c>
      <c r="Q87" s="28">
        <f ca="1">IFERROR(SUMIFS(Costs[2035],Costs[[Sector_group]:[Sector_group]],"="&amp;$B$83, Costs[[Cost_type]:[Cost_type]],"="&amp;$B87)/1000,"")</f>
        <v>0</v>
      </c>
      <c r="R87" s="28">
        <f ca="1">IFERROR(SUMIFS(Costs[2036],Costs[[Sector_group]:[Sector_group]],"="&amp;$B$83, Costs[[Cost_type]:[Cost_type]],"="&amp;$B87)/1000,"")</f>
        <v>0</v>
      </c>
      <c r="S87" s="28">
        <f ca="1">IFERROR(SUMIFS(Costs[2037],Costs[[Sector_group]:[Sector_group]],"="&amp;$B$83, Costs[[Cost_type]:[Cost_type]],"="&amp;$B87)/1000,"")</f>
        <v>0</v>
      </c>
      <c r="T87" s="28">
        <f ca="1">IFERROR(SUMIFS(Costs[2038],Costs[[Sector_group]:[Sector_group]],"="&amp;$B$83, Costs[[Cost_type]:[Cost_type]],"="&amp;$B87)/1000,"")</f>
        <v>0</v>
      </c>
      <c r="U87" s="28">
        <f ca="1">IFERROR(SUMIFS(Costs[2039],Costs[[Sector_group]:[Sector_group]],"="&amp;$B$83, Costs[[Cost_type]:[Cost_type]],"="&amp;$B87)/1000,"")</f>
        <v>0</v>
      </c>
      <c r="V87" s="28">
        <f ca="1">IFERROR(SUMIFS(Costs[2040],Costs[[Sector_group]:[Sector_group]],"="&amp;$B$83, Costs[[Cost_type]:[Cost_type]],"="&amp;$B87)/1000,"")</f>
        <v>0</v>
      </c>
      <c r="W87" s="28">
        <f ca="1">IFERROR(SUMIFS(Costs[2041],Costs[[Sector_group]:[Sector_group]],"="&amp;$B$83, Costs[[Cost_type]:[Cost_type]],"="&amp;$B87)/1000,"")</f>
        <v>0</v>
      </c>
      <c r="X87" s="28">
        <f ca="1">IFERROR(SUMIFS(Costs[2042],Costs[[Sector_group]:[Sector_group]],"="&amp;$B$83, Costs[[Cost_type]:[Cost_type]],"="&amp;$B87)/1000,"")</f>
        <v>0</v>
      </c>
      <c r="Y87" s="28">
        <f ca="1">IFERROR(SUMIFS(Costs[2043],Costs[[Sector_group]:[Sector_group]],"="&amp;$B$83, Costs[[Cost_type]:[Cost_type]],"="&amp;$B87)/1000,"")</f>
        <v>0</v>
      </c>
      <c r="Z87" s="28">
        <f ca="1">IFERROR(SUMIFS(Costs[2044],Costs[[Sector_group]:[Sector_group]],"="&amp;$B$83, Costs[[Cost_type]:[Cost_type]],"="&amp;$B87)/1000,"")</f>
        <v>0</v>
      </c>
      <c r="AA87" s="28">
        <f ca="1">IFERROR(SUMIFS(Costs[2045],Costs[[Sector_group]:[Sector_group]],"="&amp;$B$83, Costs[[Cost_type]:[Cost_type]],"="&amp;$B87)/1000,"")</f>
        <v>0</v>
      </c>
      <c r="AB87" s="28">
        <f ca="1">IFERROR(SUMIFS(Costs[2046],Costs[[Sector_group]:[Sector_group]],"="&amp;$B$83, Costs[[Cost_type]:[Cost_type]],"="&amp;$B87)/1000,"")</f>
        <v>0</v>
      </c>
      <c r="AC87" s="28">
        <f ca="1">IFERROR(SUMIFS(Costs[2047],Costs[[Sector_group]:[Sector_group]],"="&amp;$B$83, Costs[[Cost_type]:[Cost_type]],"="&amp;$B87)/1000,"")</f>
        <v>0</v>
      </c>
      <c r="AD87" s="28">
        <f ca="1">IFERROR(SUMIFS(Costs[2048],Costs[[Sector_group]:[Sector_group]],"="&amp;$B$83, Costs[[Cost_type]:[Cost_type]],"="&amp;$B87)/1000,"")</f>
        <v>0</v>
      </c>
      <c r="AE87" s="28">
        <f ca="1">IFERROR(SUMIFS(Costs[2049],Costs[[Sector_group]:[Sector_group]],"="&amp;$B$83, Costs[[Cost_type]:[Cost_type]],"="&amp;$B87)/1000,"")</f>
        <v>0</v>
      </c>
      <c r="AF87" s="28">
        <f ca="1">IFERROR(SUMIFS(Costs[2050],Costs[[Sector_group]:[Sector_group]],"="&amp;$B$83, Costs[[Cost_type]:[Cost_type]],"="&amp;$B87)/1000,"")</f>
        <v>0</v>
      </c>
      <c r="AG87" s="28">
        <f ca="1">IFERROR(SUMIFS(Costs[2051],Costs[[Sector_group]:[Sector_group]],"="&amp;$B$83, Costs[[Cost_type]:[Cost_type]],"="&amp;$B87)/1000,"")</f>
        <v>0</v>
      </c>
    </row>
    <row r="88" spans="1:33" x14ac:dyDescent="0.45">
      <c r="B88" s="35" t="s">
        <v>16</v>
      </c>
      <c r="C88" s="30">
        <f ca="1">IF(C105&lt;&gt;"",SUM(C89:C92),"")</f>
        <v>0</v>
      </c>
      <c r="D88" s="30">
        <f t="shared" ref="D88:AG88" ca="1" si="12">IF(D105&lt;&gt;"",SUM(D89:D92),"")</f>
        <v>0</v>
      </c>
      <c r="E88" s="30">
        <f t="shared" ca="1" si="12"/>
        <v>0</v>
      </c>
      <c r="F88" s="30">
        <f t="shared" ca="1" si="12"/>
        <v>0</v>
      </c>
      <c r="G88" s="30">
        <f t="shared" ca="1" si="12"/>
        <v>0</v>
      </c>
      <c r="H88" s="30">
        <f t="shared" ca="1" si="12"/>
        <v>0</v>
      </c>
      <c r="I88" s="30">
        <f t="shared" ca="1" si="12"/>
        <v>0</v>
      </c>
      <c r="J88" s="30">
        <f t="shared" ca="1" si="12"/>
        <v>0</v>
      </c>
      <c r="K88" s="30">
        <f t="shared" ca="1" si="12"/>
        <v>0</v>
      </c>
      <c r="L88" s="30">
        <f t="shared" ca="1" si="12"/>
        <v>0</v>
      </c>
      <c r="M88" s="30">
        <f t="shared" ca="1" si="12"/>
        <v>0</v>
      </c>
      <c r="N88" s="30">
        <f t="shared" ca="1" si="12"/>
        <v>0</v>
      </c>
      <c r="O88" s="30">
        <f t="shared" ca="1" si="12"/>
        <v>0</v>
      </c>
      <c r="P88" s="30">
        <f t="shared" ca="1" si="12"/>
        <v>0</v>
      </c>
      <c r="Q88" s="30">
        <f t="shared" ca="1" si="12"/>
        <v>0</v>
      </c>
      <c r="R88" s="30">
        <f t="shared" ca="1" si="12"/>
        <v>0</v>
      </c>
      <c r="S88" s="30">
        <f t="shared" ca="1" si="12"/>
        <v>0</v>
      </c>
      <c r="T88" s="30">
        <f t="shared" ca="1" si="12"/>
        <v>0</v>
      </c>
      <c r="U88" s="30">
        <f t="shared" ca="1" si="12"/>
        <v>0</v>
      </c>
      <c r="V88" s="30">
        <f t="shared" ca="1" si="12"/>
        <v>0</v>
      </c>
      <c r="W88" s="30">
        <f t="shared" ca="1" si="12"/>
        <v>0</v>
      </c>
      <c r="X88" s="30">
        <f t="shared" ca="1" si="12"/>
        <v>0</v>
      </c>
      <c r="Y88" s="30">
        <f t="shared" ca="1" si="12"/>
        <v>0</v>
      </c>
      <c r="Z88" s="30">
        <f t="shared" ca="1" si="12"/>
        <v>0</v>
      </c>
      <c r="AA88" s="30">
        <f t="shared" ca="1" si="12"/>
        <v>0</v>
      </c>
      <c r="AB88" s="30">
        <f t="shared" ca="1" si="12"/>
        <v>0</v>
      </c>
      <c r="AC88" s="30">
        <f t="shared" ca="1" si="12"/>
        <v>0</v>
      </c>
      <c r="AD88" s="30">
        <f t="shared" ca="1" si="12"/>
        <v>0</v>
      </c>
      <c r="AE88" s="30">
        <f t="shared" ca="1" si="12"/>
        <v>0</v>
      </c>
      <c r="AF88" s="30">
        <f t="shared" ca="1" si="12"/>
        <v>0</v>
      </c>
      <c r="AG88" s="30">
        <f t="shared" ca="1" si="12"/>
        <v>0</v>
      </c>
    </row>
    <row r="89" spans="1:33" x14ac:dyDescent="0.45">
      <c r="B89" s="12" t="s">
        <v>30</v>
      </c>
      <c r="C89" s="28">
        <f ca="1">IFERROR(SUMIFS(Costs[2021],Costs[[Sector_group]:[Sector_group]],"="&amp;$B$88, Costs[[Cost_type]:[Cost_type]],"="&amp;$B89)/1000,"")</f>
        <v>0</v>
      </c>
      <c r="D89" s="28">
        <f ca="1">IFERROR(SUMIFS(Costs[2022],Costs[[Sector_group]:[Sector_group]],"="&amp;$B$88, Costs[[Cost_type]:[Cost_type]],"="&amp;$B89)/1000,"")</f>
        <v>0</v>
      </c>
      <c r="E89" s="28">
        <f ca="1">IFERROR(SUMIFS(Costs[2023],Costs[[Sector_group]:[Sector_group]],"="&amp;$B$88, Costs[[Cost_type]:[Cost_type]],"="&amp;$B89)/1000,"")</f>
        <v>0</v>
      </c>
      <c r="F89" s="28">
        <f ca="1">IFERROR(SUMIFS(Costs[2024],Costs[[Sector_group]:[Sector_group]],"="&amp;$B$88, Costs[[Cost_type]:[Cost_type]],"="&amp;$B89)/1000,"")</f>
        <v>0</v>
      </c>
      <c r="G89" s="28">
        <f ca="1">IFERROR(SUMIFS(Costs[2025],Costs[[Sector_group]:[Sector_group]],"="&amp;$B$88, Costs[[Cost_type]:[Cost_type]],"="&amp;$B89)/1000,"")</f>
        <v>0</v>
      </c>
      <c r="H89" s="28">
        <f ca="1">IFERROR(SUMIFS(Costs[2026],Costs[[Sector_group]:[Sector_group]],"="&amp;$B$88, Costs[[Cost_type]:[Cost_type]],"="&amp;$B89)/1000,"")</f>
        <v>0</v>
      </c>
      <c r="I89" s="28">
        <f ca="1">IFERROR(SUMIFS(Costs[2027],Costs[[Sector_group]:[Sector_group]],"="&amp;$B$88, Costs[[Cost_type]:[Cost_type]],"="&amp;$B89)/1000,"")</f>
        <v>0</v>
      </c>
      <c r="J89" s="28">
        <f ca="1">IFERROR(SUMIFS(Costs[2028],Costs[[Sector_group]:[Sector_group]],"="&amp;$B$88, Costs[[Cost_type]:[Cost_type]],"="&amp;$B89)/1000,"")</f>
        <v>0</v>
      </c>
      <c r="K89" s="28">
        <f ca="1">IFERROR(SUMIFS(Costs[2029],Costs[[Sector_group]:[Sector_group]],"="&amp;$B$88, Costs[[Cost_type]:[Cost_type]],"="&amp;$B89)/1000,"")</f>
        <v>0</v>
      </c>
      <c r="L89" s="28">
        <f ca="1">IFERROR(SUMIFS(Costs[2030],Costs[[Sector_group]:[Sector_group]],"="&amp;$B$88, Costs[[Cost_type]:[Cost_type]],"="&amp;$B89)/1000,"")</f>
        <v>0</v>
      </c>
      <c r="M89" s="28">
        <f ca="1">IFERROR(SUMIFS(Costs[2031],Costs[[Sector_group]:[Sector_group]],"="&amp;$B$88, Costs[[Cost_type]:[Cost_type]],"="&amp;$B89)/1000,"")</f>
        <v>0</v>
      </c>
      <c r="N89" s="28">
        <f ca="1">IFERROR(SUMIFS(Costs[2032],Costs[[Sector_group]:[Sector_group]],"="&amp;$B$88, Costs[[Cost_type]:[Cost_type]],"="&amp;$B89)/1000,"")</f>
        <v>0</v>
      </c>
      <c r="O89" s="28">
        <f ca="1">IFERROR(SUMIFS(Costs[2033],Costs[[Sector_group]:[Sector_group]],"="&amp;$B$88, Costs[[Cost_type]:[Cost_type]],"="&amp;$B89)/1000,"")</f>
        <v>0</v>
      </c>
      <c r="P89" s="28">
        <f ca="1">IFERROR(SUMIFS(Costs[2034],Costs[[Sector_group]:[Sector_group]],"="&amp;$B$88, Costs[[Cost_type]:[Cost_type]],"="&amp;$B89)/1000,"")</f>
        <v>0</v>
      </c>
      <c r="Q89" s="28">
        <f ca="1">IFERROR(SUMIFS(Costs[2035],Costs[[Sector_group]:[Sector_group]],"="&amp;$B$88, Costs[[Cost_type]:[Cost_type]],"="&amp;$B89)/1000,"")</f>
        <v>0</v>
      </c>
      <c r="R89" s="28">
        <f ca="1">IFERROR(SUMIFS(Costs[2036],Costs[[Sector_group]:[Sector_group]],"="&amp;$B$88, Costs[[Cost_type]:[Cost_type]],"="&amp;$B89)/1000,"")</f>
        <v>0</v>
      </c>
      <c r="S89" s="28">
        <f ca="1">IFERROR(SUMIFS(Costs[2037],Costs[[Sector_group]:[Sector_group]],"="&amp;$B$88, Costs[[Cost_type]:[Cost_type]],"="&amp;$B89)/1000,"")</f>
        <v>0</v>
      </c>
      <c r="T89" s="28">
        <f ca="1">IFERROR(SUMIFS(Costs[2038],Costs[[Sector_group]:[Sector_group]],"="&amp;$B$88, Costs[[Cost_type]:[Cost_type]],"="&amp;$B89)/1000,"")</f>
        <v>0</v>
      </c>
      <c r="U89" s="28">
        <f ca="1">IFERROR(SUMIFS(Costs[2039],Costs[[Sector_group]:[Sector_group]],"="&amp;$B$88, Costs[[Cost_type]:[Cost_type]],"="&amp;$B89)/1000,"")</f>
        <v>0</v>
      </c>
      <c r="V89" s="28">
        <f ca="1">IFERROR(SUMIFS(Costs[2040],Costs[[Sector_group]:[Sector_group]],"="&amp;$B$88, Costs[[Cost_type]:[Cost_type]],"="&amp;$B89)/1000,"")</f>
        <v>0</v>
      </c>
      <c r="W89" s="28">
        <f ca="1">IFERROR(SUMIFS(Costs[2041],Costs[[Sector_group]:[Sector_group]],"="&amp;$B$88, Costs[[Cost_type]:[Cost_type]],"="&amp;$B89)/1000,"")</f>
        <v>0</v>
      </c>
      <c r="X89" s="28">
        <f ca="1">IFERROR(SUMIFS(Costs[2042],Costs[[Sector_group]:[Sector_group]],"="&amp;$B$88, Costs[[Cost_type]:[Cost_type]],"="&amp;$B89)/1000,"")</f>
        <v>0</v>
      </c>
      <c r="Y89" s="28">
        <f ca="1">IFERROR(SUMIFS(Costs[2043],Costs[[Sector_group]:[Sector_group]],"="&amp;$B$88, Costs[[Cost_type]:[Cost_type]],"="&amp;$B89)/1000,"")</f>
        <v>0</v>
      </c>
      <c r="Z89" s="28">
        <f ca="1">IFERROR(SUMIFS(Costs[2044],Costs[[Sector_group]:[Sector_group]],"="&amp;$B$88, Costs[[Cost_type]:[Cost_type]],"="&amp;$B89)/1000,"")</f>
        <v>0</v>
      </c>
      <c r="AA89" s="28">
        <f ca="1">IFERROR(SUMIFS(Costs[2045],Costs[[Sector_group]:[Sector_group]],"="&amp;$B$88, Costs[[Cost_type]:[Cost_type]],"="&amp;$B89)/1000,"")</f>
        <v>0</v>
      </c>
      <c r="AB89" s="28">
        <f ca="1">IFERROR(SUMIFS(Costs[2046],Costs[[Sector_group]:[Sector_group]],"="&amp;$B$88, Costs[[Cost_type]:[Cost_type]],"="&amp;$B89)/1000,"")</f>
        <v>0</v>
      </c>
      <c r="AC89" s="28">
        <f ca="1">IFERROR(SUMIFS(Costs[2047],Costs[[Sector_group]:[Sector_group]],"="&amp;$B$88, Costs[[Cost_type]:[Cost_type]],"="&amp;$B89)/1000,"")</f>
        <v>0</v>
      </c>
      <c r="AD89" s="28">
        <f ca="1">IFERROR(SUMIFS(Costs[2048],Costs[[Sector_group]:[Sector_group]],"="&amp;$B$88, Costs[[Cost_type]:[Cost_type]],"="&amp;$B89)/1000,"")</f>
        <v>0</v>
      </c>
      <c r="AE89" s="28">
        <f ca="1">IFERROR(SUMIFS(Costs[2049],Costs[[Sector_group]:[Sector_group]],"="&amp;$B$88, Costs[[Cost_type]:[Cost_type]],"="&amp;$B89)/1000,"")</f>
        <v>0</v>
      </c>
      <c r="AF89" s="28">
        <f ca="1">IFERROR(SUMIFS(Costs[2050],Costs[[Sector_group]:[Sector_group]],"="&amp;$B$88, Costs[[Cost_type]:[Cost_type]],"="&amp;$B89)/1000,"")</f>
        <v>0</v>
      </c>
      <c r="AG89" s="28">
        <f ca="1">IFERROR(SUMIFS(Costs[2051],Costs[[Sector_group]:[Sector_group]],"="&amp;$B$88, Costs[[Cost_type]:[Cost_type]],"="&amp;$B89)/1000,"")</f>
        <v>0</v>
      </c>
    </row>
    <row r="90" spans="1:33" x14ac:dyDescent="0.45">
      <c r="B90" s="12" t="s">
        <v>31</v>
      </c>
      <c r="C90" s="28">
        <f ca="1">IFERROR(SUMIFS(Costs[2021],Costs[[Sector_group]:[Sector_group]],"="&amp;$B$88, Costs[[Cost_type]:[Cost_type]],"="&amp;$B90)/1000,"")</f>
        <v>0</v>
      </c>
      <c r="D90" s="28">
        <f ca="1">IFERROR(SUMIFS(Costs[2022],Costs[[Sector_group]:[Sector_group]],"="&amp;$B$88, Costs[[Cost_type]:[Cost_type]],"="&amp;$B90)/1000,"")</f>
        <v>0</v>
      </c>
      <c r="E90" s="28">
        <f ca="1">IFERROR(SUMIFS(Costs[2023],Costs[[Sector_group]:[Sector_group]],"="&amp;$B$88, Costs[[Cost_type]:[Cost_type]],"="&amp;$B90)/1000,"")</f>
        <v>0</v>
      </c>
      <c r="F90" s="28">
        <f ca="1">IFERROR(SUMIFS(Costs[2024],Costs[[Sector_group]:[Sector_group]],"="&amp;$B$88, Costs[[Cost_type]:[Cost_type]],"="&amp;$B90)/1000,"")</f>
        <v>0</v>
      </c>
      <c r="G90" s="28">
        <f ca="1">IFERROR(SUMIFS(Costs[2025],Costs[[Sector_group]:[Sector_group]],"="&amp;$B$88, Costs[[Cost_type]:[Cost_type]],"="&amp;$B90)/1000,"")</f>
        <v>0</v>
      </c>
      <c r="H90" s="28">
        <f ca="1">IFERROR(SUMIFS(Costs[2026],Costs[[Sector_group]:[Sector_group]],"="&amp;$B$88, Costs[[Cost_type]:[Cost_type]],"="&amp;$B90)/1000,"")</f>
        <v>0</v>
      </c>
      <c r="I90" s="28">
        <f ca="1">IFERROR(SUMIFS(Costs[2027],Costs[[Sector_group]:[Sector_group]],"="&amp;$B$88, Costs[[Cost_type]:[Cost_type]],"="&amp;$B90)/1000,"")</f>
        <v>0</v>
      </c>
      <c r="J90" s="28">
        <f ca="1">IFERROR(SUMIFS(Costs[2028],Costs[[Sector_group]:[Sector_group]],"="&amp;$B$88, Costs[[Cost_type]:[Cost_type]],"="&amp;$B90)/1000,"")</f>
        <v>0</v>
      </c>
      <c r="K90" s="28">
        <f ca="1">IFERROR(SUMIFS(Costs[2029],Costs[[Sector_group]:[Sector_group]],"="&amp;$B$88, Costs[[Cost_type]:[Cost_type]],"="&amp;$B90)/1000,"")</f>
        <v>0</v>
      </c>
      <c r="L90" s="28">
        <f ca="1">IFERROR(SUMIFS(Costs[2030],Costs[[Sector_group]:[Sector_group]],"="&amp;$B$88, Costs[[Cost_type]:[Cost_type]],"="&amp;$B90)/1000,"")</f>
        <v>0</v>
      </c>
      <c r="M90" s="28">
        <f ca="1">IFERROR(SUMIFS(Costs[2031],Costs[[Sector_group]:[Sector_group]],"="&amp;$B$88, Costs[[Cost_type]:[Cost_type]],"="&amp;$B90)/1000,"")</f>
        <v>0</v>
      </c>
      <c r="N90" s="28">
        <f ca="1">IFERROR(SUMIFS(Costs[2032],Costs[[Sector_group]:[Sector_group]],"="&amp;$B$88, Costs[[Cost_type]:[Cost_type]],"="&amp;$B90)/1000,"")</f>
        <v>0</v>
      </c>
      <c r="O90" s="28">
        <f ca="1">IFERROR(SUMIFS(Costs[2033],Costs[[Sector_group]:[Sector_group]],"="&amp;$B$88, Costs[[Cost_type]:[Cost_type]],"="&amp;$B90)/1000,"")</f>
        <v>0</v>
      </c>
      <c r="P90" s="28">
        <f ca="1">IFERROR(SUMIFS(Costs[2034],Costs[[Sector_group]:[Sector_group]],"="&amp;$B$88, Costs[[Cost_type]:[Cost_type]],"="&amp;$B90)/1000,"")</f>
        <v>0</v>
      </c>
      <c r="Q90" s="28">
        <f ca="1">IFERROR(SUMIFS(Costs[2035],Costs[[Sector_group]:[Sector_group]],"="&amp;$B$88, Costs[[Cost_type]:[Cost_type]],"="&amp;$B90)/1000,"")</f>
        <v>0</v>
      </c>
      <c r="R90" s="28">
        <f ca="1">IFERROR(SUMIFS(Costs[2036],Costs[[Sector_group]:[Sector_group]],"="&amp;$B$88, Costs[[Cost_type]:[Cost_type]],"="&amp;$B90)/1000,"")</f>
        <v>0</v>
      </c>
      <c r="S90" s="28">
        <f ca="1">IFERROR(SUMIFS(Costs[2037],Costs[[Sector_group]:[Sector_group]],"="&amp;$B$88, Costs[[Cost_type]:[Cost_type]],"="&amp;$B90)/1000,"")</f>
        <v>0</v>
      </c>
      <c r="T90" s="28">
        <f ca="1">IFERROR(SUMIFS(Costs[2038],Costs[[Sector_group]:[Sector_group]],"="&amp;$B$88, Costs[[Cost_type]:[Cost_type]],"="&amp;$B90)/1000,"")</f>
        <v>0</v>
      </c>
      <c r="U90" s="28">
        <f ca="1">IFERROR(SUMIFS(Costs[2039],Costs[[Sector_group]:[Sector_group]],"="&amp;$B$88, Costs[[Cost_type]:[Cost_type]],"="&amp;$B90)/1000,"")</f>
        <v>0</v>
      </c>
      <c r="V90" s="28">
        <f ca="1">IFERROR(SUMIFS(Costs[2040],Costs[[Sector_group]:[Sector_group]],"="&amp;$B$88, Costs[[Cost_type]:[Cost_type]],"="&amp;$B90)/1000,"")</f>
        <v>0</v>
      </c>
      <c r="W90" s="28">
        <f ca="1">IFERROR(SUMIFS(Costs[2041],Costs[[Sector_group]:[Sector_group]],"="&amp;$B$88, Costs[[Cost_type]:[Cost_type]],"="&amp;$B90)/1000,"")</f>
        <v>0</v>
      </c>
      <c r="X90" s="28">
        <f ca="1">IFERROR(SUMIFS(Costs[2042],Costs[[Sector_group]:[Sector_group]],"="&amp;$B$88, Costs[[Cost_type]:[Cost_type]],"="&amp;$B90)/1000,"")</f>
        <v>0</v>
      </c>
      <c r="Y90" s="28">
        <f ca="1">IFERROR(SUMIFS(Costs[2043],Costs[[Sector_group]:[Sector_group]],"="&amp;$B$88, Costs[[Cost_type]:[Cost_type]],"="&amp;$B90)/1000,"")</f>
        <v>0</v>
      </c>
      <c r="Z90" s="28">
        <f ca="1">IFERROR(SUMIFS(Costs[2044],Costs[[Sector_group]:[Sector_group]],"="&amp;$B$88, Costs[[Cost_type]:[Cost_type]],"="&amp;$B90)/1000,"")</f>
        <v>0</v>
      </c>
      <c r="AA90" s="28">
        <f ca="1">IFERROR(SUMIFS(Costs[2045],Costs[[Sector_group]:[Sector_group]],"="&amp;$B$88, Costs[[Cost_type]:[Cost_type]],"="&amp;$B90)/1000,"")</f>
        <v>0</v>
      </c>
      <c r="AB90" s="28">
        <f ca="1">IFERROR(SUMIFS(Costs[2046],Costs[[Sector_group]:[Sector_group]],"="&amp;$B$88, Costs[[Cost_type]:[Cost_type]],"="&amp;$B90)/1000,"")</f>
        <v>0</v>
      </c>
      <c r="AC90" s="28">
        <f ca="1">IFERROR(SUMIFS(Costs[2047],Costs[[Sector_group]:[Sector_group]],"="&amp;$B$88, Costs[[Cost_type]:[Cost_type]],"="&amp;$B90)/1000,"")</f>
        <v>0</v>
      </c>
      <c r="AD90" s="28">
        <f ca="1">IFERROR(SUMIFS(Costs[2048],Costs[[Sector_group]:[Sector_group]],"="&amp;$B$88, Costs[[Cost_type]:[Cost_type]],"="&amp;$B90)/1000,"")</f>
        <v>0</v>
      </c>
      <c r="AE90" s="28">
        <f ca="1">IFERROR(SUMIFS(Costs[2049],Costs[[Sector_group]:[Sector_group]],"="&amp;$B$88, Costs[[Cost_type]:[Cost_type]],"="&amp;$B90)/1000,"")</f>
        <v>0</v>
      </c>
      <c r="AF90" s="28">
        <f ca="1">IFERROR(SUMIFS(Costs[2050],Costs[[Sector_group]:[Sector_group]],"="&amp;$B$88, Costs[[Cost_type]:[Cost_type]],"="&amp;$B90)/1000,"")</f>
        <v>0</v>
      </c>
      <c r="AG90" s="28">
        <f ca="1">IFERROR(SUMIFS(Costs[2051],Costs[[Sector_group]:[Sector_group]],"="&amp;$B$88, Costs[[Cost_type]:[Cost_type]],"="&amp;$B90)/1000,"")</f>
        <v>0</v>
      </c>
    </row>
    <row r="91" spans="1:33" x14ac:dyDescent="0.45">
      <c r="B91" s="12" t="s">
        <v>32</v>
      </c>
      <c r="C91" s="28">
        <f ca="1">IFERROR(SUMIFS(Costs[2021],Costs[[Sector_group]:[Sector_group]],"="&amp;$B$88, Costs[[Cost_type]:[Cost_type]],"="&amp;$B91)/1000,"")</f>
        <v>0</v>
      </c>
      <c r="D91" s="28">
        <f ca="1">IFERROR(SUMIFS(Costs[2022],Costs[[Sector_group]:[Sector_group]],"="&amp;$B$88, Costs[[Cost_type]:[Cost_type]],"="&amp;$B91)/1000,"")</f>
        <v>0</v>
      </c>
      <c r="E91" s="28">
        <f ca="1">IFERROR(SUMIFS(Costs[2023],Costs[[Sector_group]:[Sector_group]],"="&amp;$B$88, Costs[[Cost_type]:[Cost_type]],"="&amp;$B91)/1000,"")</f>
        <v>0</v>
      </c>
      <c r="F91" s="28">
        <f ca="1">IFERROR(SUMIFS(Costs[2024],Costs[[Sector_group]:[Sector_group]],"="&amp;$B$88, Costs[[Cost_type]:[Cost_type]],"="&amp;$B91)/1000,"")</f>
        <v>0</v>
      </c>
      <c r="G91" s="28">
        <f ca="1">IFERROR(SUMIFS(Costs[2025],Costs[[Sector_group]:[Sector_group]],"="&amp;$B$88, Costs[[Cost_type]:[Cost_type]],"="&amp;$B91)/1000,"")</f>
        <v>0</v>
      </c>
      <c r="H91" s="28">
        <f ca="1">IFERROR(SUMIFS(Costs[2026],Costs[[Sector_group]:[Sector_group]],"="&amp;$B$88, Costs[[Cost_type]:[Cost_type]],"="&amp;$B91)/1000,"")</f>
        <v>0</v>
      </c>
      <c r="I91" s="28">
        <f ca="1">IFERROR(SUMIFS(Costs[2027],Costs[[Sector_group]:[Sector_group]],"="&amp;$B$88, Costs[[Cost_type]:[Cost_type]],"="&amp;$B91)/1000,"")</f>
        <v>0</v>
      </c>
      <c r="J91" s="28">
        <f ca="1">IFERROR(SUMIFS(Costs[2028],Costs[[Sector_group]:[Sector_group]],"="&amp;$B$88, Costs[[Cost_type]:[Cost_type]],"="&amp;$B91)/1000,"")</f>
        <v>0</v>
      </c>
      <c r="K91" s="28">
        <f ca="1">IFERROR(SUMIFS(Costs[2029],Costs[[Sector_group]:[Sector_group]],"="&amp;$B$88, Costs[[Cost_type]:[Cost_type]],"="&amp;$B91)/1000,"")</f>
        <v>0</v>
      </c>
      <c r="L91" s="28">
        <f ca="1">IFERROR(SUMIFS(Costs[2030],Costs[[Sector_group]:[Sector_group]],"="&amp;$B$88, Costs[[Cost_type]:[Cost_type]],"="&amp;$B91)/1000,"")</f>
        <v>0</v>
      </c>
      <c r="M91" s="28">
        <f ca="1">IFERROR(SUMIFS(Costs[2031],Costs[[Sector_group]:[Sector_group]],"="&amp;$B$88, Costs[[Cost_type]:[Cost_type]],"="&amp;$B91)/1000,"")</f>
        <v>0</v>
      </c>
      <c r="N91" s="28">
        <f ca="1">IFERROR(SUMIFS(Costs[2032],Costs[[Sector_group]:[Sector_group]],"="&amp;$B$88, Costs[[Cost_type]:[Cost_type]],"="&amp;$B91)/1000,"")</f>
        <v>0</v>
      </c>
      <c r="O91" s="28">
        <f ca="1">IFERROR(SUMIFS(Costs[2033],Costs[[Sector_group]:[Sector_group]],"="&amp;$B$88, Costs[[Cost_type]:[Cost_type]],"="&amp;$B91)/1000,"")</f>
        <v>0</v>
      </c>
      <c r="P91" s="28">
        <f ca="1">IFERROR(SUMIFS(Costs[2034],Costs[[Sector_group]:[Sector_group]],"="&amp;$B$88, Costs[[Cost_type]:[Cost_type]],"="&amp;$B91)/1000,"")</f>
        <v>0</v>
      </c>
      <c r="Q91" s="28">
        <f ca="1">IFERROR(SUMIFS(Costs[2035],Costs[[Sector_group]:[Sector_group]],"="&amp;$B$88, Costs[[Cost_type]:[Cost_type]],"="&amp;$B91)/1000,"")</f>
        <v>0</v>
      </c>
      <c r="R91" s="28">
        <f ca="1">IFERROR(SUMIFS(Costs[2036],Costs[[Sector_group]:[Sector_group]],"="&amp;$B$88, Costs[[Cost_type]:[Cost_type]],"="&amp;$B91)/1000,"")</f>
        <v>0</v>
      </c>
      <c r="S91" s="28">
        <f ca="1">IFERROR(SUMIFS(Costs[2037],Costs[[Sector_group]:[Sector_group]],"="&amp;$B$88, Costs[[Cost_type]:[Cost_type]],"="&amp;$B91)/1000,"")</f>
        <v>0</v>
      </c>
      <c r="T91" s="28">
        <f ca="1">IFERROR(SUMIFS(Costs[2038],Costs[[Sector_group]:[Sector_group]],"="&amp;$B$88, Costs[[Cost_type]:[Cost_type]],"="&amp;$B91)/1000,"")</f>
        <v>0</v>
      </c>
      <c r="U91" s="28">
        <f ca="1">IFERROR(SUMIFS(Costs[2039],Costs[[Sector_group]:[Sector_group]],"="&amp;$B$88, Costs[[Cost_type]:[Cost_type]],"="&amp;$B91)/1000,"")</f>
        <v>0</v>
      </c>
      <c r="V91" s="28">
        <f ca="1">IFERROR(SUMIFS(Costs[2040],Costs[[Sector_group]:[Sector_group]],"="&amp;$B$88, Costs[[Cost_type]:[Cost_type]],"="&amp;$B91)/1000,"")</f>
        <v>0</v>
      </c>
      <c r="W91" s="28">
        <f ca="1">IFERROR(SUMIFS(Costs[2041],Costs[[Sector_group]:[Sector_group]],"="&amp;$B$88, Costs[[Cost_type]:[Cost_type]],"="&amp;$B91)/1000,"")</f>
        <v>0</v>
      </c>
      <c r="X91" s="28">
        <f ca="1">IFERROR(SUMIFS(Costs[2042],Costs[[Sector_group]:[Sector_group]],"="&amp;$B$88, Costs[[Cost_type]:[Cost_type]],"="&amp;$B91)/1000,"")</f>
        <v>0</v>
      </c>
      <c r="Y91" s="28">
        <f ca="1">IFERROR(SUMIFS(Costs[2043],Costs[[Sector_group]:[Sector_group]],"="&amp;$B$88, Costs[[Cost_type]:[Cost_type]],"="&amp;$B91)/1000,"")</f>
        <v>0</v>
      </c>
      <c r="Z91" s="28">
        <f ca="1">IFERROR(SUMIFS(Costs[2044],Costs[[Sector_group]:[Sector_group]],"="&amp;$B$88, Costs[[Cost_type]:[Cost_type]],"="&amp;$B91)/1000,"")</f>
        <v>0</v>
      </c>
      <c r="AA91" s="28">
        <f ca="1">IFERROR(SUMIFS(Costs[2045],Costs[[Sector_group]:[Sector_group]],"="&amp;$B$88, Costs[[Cost_type]:[Cost_type]],"="&amp;$B91)/1000,"")</f>
        <v>0</v>
      </c>
      <c r="AB91" s="28">
        <f ca="1">IFERROR(SUMIFS(Costs[2046],Costs[[Sector_group]:[Sector_group]],"="&amp;$B$88, Costs[[Cost_type]:[Cost_type]],"="&amp;$B91)/1000,"")</f>
        <v>0</v>
      </c>
      <c r="AC91" s="28">
        <f ca="1">IFERROR(SUMIFS(Costs[2047],Costs[[Sector_group]:[Sector_group]],"="&amp;$B$88, Costs[[Cost_type]:[Cost_type]],"="&amp;$B91)/1000,"")</f>
        <v>0</v>
      </c>
      <c r="AD91" s="28">
        <f ca="1">IFERROR(SUMIFS(Costs[2048],Costs[[Sector_group]:[Sector_group]],"="&amp;$B$88, Costs[[Cost_type]:[Cost_type]],"="&amp;$B91)/1000,"")</f>
        <v>0</v>
      </c>
      <c r="AE91" s="28">
        <f ca="1">IFERROR(SUMIFS(Costs[2049],Costs[[Sector_group]:[Sector_group]],"="&amp;$B$88, Costs[[Cost_type]:[Cost_type]],"="&amp;$B91)/1000,"")</f>
        <v>0</v>
      </c>
      <c r="AF91" s="28">
        <f ca="1">IFERROR(SUMIFS(Costs[2050],Costs[[Sector_group]:[Sector_group]],"="&amp;$B$88, Costs[[Cost_type]:[Cost_type]],"="&amp;$B91)/1000,"")</f>
        <v>0</v>
      </c>
      <c r="AG91" s="28">
        <f ca="1">IFERROR(SUMIFS(Costs[2051],Costs[[Sector_group]:[Sector_group]],"="&amp;$B$88, Costs[[Cost_type]:[Cost_type]],"="&amp;$B91)/1000,"")</f>
        <v>0</v>
      </c>
    </row>
    <row r="92" spans="1:33" x14ac:dyDescent="0.45">
      <c r="B92" s="12" t="s">
        <v>33</v>
      </c>
      <c r="C92" s="28">
        <f ca="1">IFERROR(SUMIFS(Costs[2021],Costs[[Sector_group]:[Sector_group]],"="&amp;$B$88, Costs[[Cost_type]:[Cost_type]],"="&amp;$B92)/1000,"")</f>
        <v>0</v>
      </c>
      <c r="D92" s="28">
        <f ca="1">IFERROR(SUMIFS(Costs[2022],Costs[[Sector_group]:[Sector_group]],"="&amp;$B$88, Costs[[Cost_type]:[Cost_type]],"="&amp;$B92)/1000,"")</f>
        <v>0</v>
      </c>
      <c r="E92" s="28">
        <f ca="1">IFERROR(SUMIFS(Costs[2023],Costs[[Sector_group]:[Sector_group]],"="&amp;$B$88, Costs[[Cost_type]:[Cost_type]],"="&amp;$B92)/1000,"")</f>
        <v>0</v>
      </c>
      <c r="F92" s="28">
        <f ca="1">IFERROR(SUMIFS(Costs[2024],Costs[[Sector_group]:[Sector_group]],"="&amp;$B$88, Costs[[Cost_type]:[Cost_type]],"="&amp;$B92)/1000,"")</f>
        <v>0</v>
      </c>
      <c r="G92" s="28">
        <f ca="1">IFERROR(SUMIFS(Costs[2025],Costs[[Sector_group]:[Sector_group]],"="&amp;$B$88, Costs[[Cost_type]:[Cost_type]],"="&amp;$B92)/1000,"")</f>
        <v>0</v>
      </c>
      <c r="H92" s="28">
        <f ca="1">IFERROR(SUMIFS(Costs[2026],Costs[[Sector_group]:[Sector_group]],"="&amp;$B$88, Costs[[Cost_type]:[Cost_type]],"="&amp;$B92)/1000,"")</f>
        <v>0</v>
      </c>
      <c r="I92" s="28">
        <f ca="1">IFERROR(SUMIFS(Costs[2027],Costs[[Sector_group]:[Sector_group]],"="&amp;$B$88, Costs[[Cost_type]:[Cost_type]],"="&amp;$B92)/1000,"")</f>
        <v>0</v>
      </c>
      <c r="J92" s="28">
        <f ca="1">IFERROR(SUMIFS(Costs[2028],Costs[[Sector_group]:[Sector_group]],"="&amp;$B$88, Costs[[Cost_type]:[Cost_type]],"="&amp;$B92)/1000,"")</f>
        <v>0</v>
      </c>
      <c r="K92" s="28">
        <f ca="1">IFERROR(SUMIFS(Costs[2029],Costs[[Sector_group]:[Sector_group]],"="&amp;$B$88, Costs[[Cost_type]:[Cost_type]],"="&amp;$B92)/1000,"")</f>
        <v>0</v>
      </c>
      <c r="L92" s="28">
        <f ca="1">IFERROR(SUMIFS(Costs[2030],Costs[[Sector_group]:[Sector_group]],"="&amp;$B$88, Costs[[Cost_type]:[Cost_type]],"="&amp;$B92)/1000,"")</f>
        <v>0</v>
      </c>
      <c r="M92" s="28">
        <f ca="1">IFERROR(SUMIFS(Costs[2031],Costs[[Sector_group]:[Sector_group]],"="&amp;$B$88, Costs[[Cost_type]:[Cost_type]],"="&amp;$B92)/1000,"")</f>
        <v>0</v>
      </c>
      <c r="N92" s="28">
        <f ca="1">IFERROR(SUMIFS(Costs[2032],Costs[[Sector_group]:[Sector_group]],"="&amp;$B$88, Costs[[Cost_type]:[Cost_type]],"="&amp;$B92)/1000,"")</f>
        <v>0</v>
      </c>
      <c r="O92" s="28">
        <f ca="1">IFERROR(SUMIFS(Costs[2033],Costs[[Sector_group]:[Sector_group]],"="&amp;$B$88, Costs[[Cost_type]:[Cost_type]],"="&amp;$B92)/1000,"")</f>
        <v>0</v>
      </c>
      <c r="P92" s="28">
        <f ca="1">IFERROR(SUMIFS(Costs[2034],Costs[[Sector_group]:[Sector_group]],"="&amp;$B$88, Costs[[Cost_type]:[Cost_type]],"="&amp;$B92)/1000,"")</f>
        <v>0</v>
      </c>
      <c r="Q92" s="28">
        <f ca="1">IFERROR(SUMIFS(Costs[2035],Costs[[Sector_group]:[Sector_group]],"="&amp;$B$88, Costs[[Cost_type]:[Cost_type]],"="&amp;$B92)/1000,"")</f>
        <v>0</v>
      </c>
      <c r="R92" s="28">
        <f ca="1">IFERROR(SUMIFS(Costs[2036],Costs[[Sector_group]:[Sector_group]],"="&amp;$B$88, Costs[[Cost_type]:[Cost_type]],"="&amp;$B92)/1000,"")</f>
        <v>0</v>
      </c>
      <c r="S92" s="28">
        <f ca="1">IFERROR(SUMIFS(Costs[2037],Costs[[Sector_group]:[Sector_group]],"="&amp;$B$88, Costs[[Cost_type]:[Cost_type]],"="&amp;$B92)/1000,"")</f>
        <v>0</v>
      </c>
      <c r="T92" s="28">
        <f ca="1">IFERROR(SUMIFS(Costs[2038],Costs[[Sector_group]:[Sector_group]],"="&amp;$B$88, Costs[[Cost_type]:[Cost_type]],"="&amp;$B92)/1000,"")</f>
        <v>0</v>
      </c>
      <c r="U92" s="28">
        <f ca="1">IFERROR(SUMIFS(Costs[2039],Costs[[Sector_group]:[Sector_group]],"="&amp;$B$88, Costs[[Cost_type]:[Cost_type]],"="&amp;$B92)/1000,"")</f>
        <v>0</v>
      </c>
      <c r="V92" s="28">
        <f ca="1">IFERROR(SUMIFS(Costs[2040],Costs[[Sector_group]:[Sector_group]],"="&amp;$B$88, Costs[[Cost_type]:[Cost_type]],"="&amp;$B92)/1000,"")</f>
        <v>0</v>
      </c>
      <c r="W92" s="28">
        <f ca="1">IFERROR(SUMIFS(Costs[2041],Costs[[Sector_group]:[Sector_group]],"="&amp;$B$88, Costs[[Cost_type]:[Cost_type]],"="&amp;$B92)/1000,"")</f>
        <v>0</v>
      </c>
      <c r="X92" s="28">
        <f ca="1">IFERROR(SUMIFS(Costs[2042],Costs[[Sector_group]:[Sector_group]],"="&amp;$B$88, Costs[[Cost_type]:[Cost_type]],"="&amp;$B92)/1000,"")</f>
        <v>0</v>
      </c>
      <c r="Y92" s="28">
        <f ca="1">IFERROR(SUMIFS(Costs[2043],Costs[[Sector_group]:[Sector_group]],"="&amp;$B$88, Costs[[Cost_type]:[Cost_type]],"="&amp;$B92)/1000,"")</f>
        <v>0</v>
      </c>
      <c r="Z92" s="28">
        <f ca="1">IFERROR(SUMIFS(Costs[2044],Costs[[Sector_group]:[Sector_group]],"="&amp;$B$88, Costs[[Cost_type]:[Cost_type]],"="&amp;$B92)/1000,"")</f>
        <v>0</v>
      </c>
      <c r="AA92" s="28">
        <f ca="1">IFERROR(SUMIFS(Costs[2045],Costs[[Sector_group]:[Sector_group]],"="&amp;$B$88, Costs[[Cost_type]:[Cost_type]],"="&amp;$B92)/1000,"")</f>
        <v>0</v>
      </c>
      <c r="AB92" s="28">
        <f ca="1">IFERROR(SUMIFS(Costs[2046],Costs[[Sector_group]:[Sector_group]],"="&amp;$B$88, Costs[[Cost_type]:[Cost_type]],"="&amp;$B92)/1000,"")</f>
        <v>0</v>
      </c>
      <c r="AC92" s="28">
        <f ca="1">IFERROR(SUMIFS(Costs[2047],Costs[[Sector_group]:[Sector_group]],"="&amp;$B$88, Costs[[Cost_type]:[Cost_type]],"="&amp;$B92)/1000,"")</f>
        <v>0</v>
      </c>
      <c r="AD92" s="28">
        <f ca="1">IFERROR(SUMIFS(Costs[2048],Costs[[Sector_group]:[Sector_group]],"="&amp;$B$88, Costs[[Cost_type]:[Cost_type]],"="&amp;$B92)/1000,"")</f>
        <v>0</v>
      </c>
      <c r="AE92" s="28">
        <f ca="1">IFERROR(SUMIFS(Costs[2049],Costs[[Sector_group]:[Sector_group]],"="&amp;$B$88, Costs[[Cost_type]:[Cost_type]],"="&amp;$B92)/1000,"")</f>
        <v>0</v>
      </c>
      <c r="AF92" s="28">
        <f ca="1">IFERROR(SUMIFS(Costs[2050],Costs[[Sector_group]:[Sector_group]],"="&amp;$B$88, Costs[[Cost_type]:[Cost_type]],"="&amp;$B92)/1000,"")</f>
        <v>0</v>
      </c>
      <c r="AG92" s="28">
        <f ca="1">IFERROR(SUMIFS(Costs[2051],Costs[[Sector_group]:[Sector_group]],"="&amp;$B$88, Costs[[Cost_type]:[Cost_type]],"="&amp;$B92)/1000,"")</f>
        <v>0</v>
      </c>
    </row>
    <row r="93" spans="1:33" x14ac:dyDescent="0.45">
      <c r="B93" s="35" t="s">
        <v>26</v>
      </c>
      <c r="C93" s="30">
        <f ca="1">IF(C105&lt;&gt;"",SUM(C94:C97),"")</f>
        <v>0</v>
      </c>
      <c r="D93" s="30">
        <f t="shared" ref="D93:AG93" ca="1" si="13">IF(D105&lt;&gt;"",SUM(D94:D97),"")</f>
        <v>0</v>
      </c>
      <c r="E93" s="30">
        <f t="shared" ca="1" si="13"/>
        <v>0</v>
      </c>
      <c r="F93" s="30">
        <f t="shared" ca="1" si="13"/>
        <v>0</v>
      </c>
      <c r="G93" s="30">
        <f t="shared" ca="1" si="13"/>
        <v>0</v>
      </c>
      <c r="H93" s="30">
        <f t="shared" ca="1" si="13"/>
        <v>0</v>
      </c>
      <c r="I93" s="30">
        <f t="shared" ca="1" si="13"/>
        <v>0</v>
      </c>
      <c r="J93" s="30">
        <f t="shared" ca="1" si="13"/>
        <v>0</v>
      </c>
      <c r="K93" s="30">
        <f t="shared" ca="1" si="13"/>
        <v>0</v>
      </c>
      <c r="L93" s="30">
        <f t="shared" ca="1" si="13"/>
        <v>0</v>
      </c>
      <c r="M93" s="30">
        <f t="shared" ca="1" si="13"/>
        <v>0</v>
      </c>
      <c r="N93" s="30">
        <f t="shared" ca="1" si="13"/>
        <v>0</v>
      </c>
      <c r="O93" s="30">
        <f t="shared" ca="1" si="13"/>
        <v>0</v>
      </c>
      <c r="P93" s="30">
        <f t="shared" ca="1" si="13"/>
        <v>0</v>
      </c>
      <c r="Q93" s="30">
        <f t="shared" ca="1" si="13"/>
        <v>0</v>
      </c>
      <c r="R93" s="30">
        <f t="shared" ca="1" si="13"/>
        <v>0</v>
      </c>
      <c r="S93" s="30">
        <f t="shared" ca="1" si="13"/>
        <v>0</v>
      </c>
      <c r="T93" s="30">
        <f t="shared" ca="1" si="13"/>
        <v>0</v>
      </c>
      <c r="U93" s="30">
        <f t="shared" ca="1" si="13"/>
        <v>0</v>
      </c>
      <c r="V93" s="30">
        <f t="shared" ca="1" si="13"/>
        <v>0</v>
      </c>
      <c r="W93" s="30">
        <f t="shared" ca="1" si="13"/>
        <v>0</v>
      </c>
      <c r="X93" s="30">
        <f t="shared" ca="1" si="13"/>
        <v>0</v>
      </c>
      <c r="Y93" s="30">
        <f t="shared" ca="1" si="13"/>
        <v>0</v>
      </c>
      <c r="Z93" s="30">
        <f t="shared" ca="1" si="13"/>
        <v>0</v>
      </c>
      <c r="AA93" s="30">
        <f t="shared" ca="1" si="13"/>
        <v>0</v>
      </c>
      <c r="AB93" s="30">
        <f t="shared" ca="1" si="13"/>
        <v>0</v>
      </c>
      <c r="AC93" s="30">
        <f t="shared" ca="1" si="13"/>
        <v>0</v>
      </c>
      <c r="AD93" s="30">
        <f t="shared" ca="1" si="13"/>
        <v>0</v>
      </c>
      <c r="AE93" s="30">
        <f t="shared" ca="1" si="13"/>
        <v>0</v>
      </c>
      <c r="AF93" s="30">
        <f t="shared" ca="1" si="13"/>
        <v>0</v>
      </c>
      <c r="AG93" s="30">
        <f t="shared" ca="1" si="13"/>
        <v>0</v>
      </c>
    </row>
    <row r="94" spans="1:33" x14ac:dyDescent="0.45">
      <c r="B94" s="12" t="s">
        <v>30</v>
      </c>
      <c r="C94" s="28">
        <f ca="1">IFERROR(SUMIFS(Costs[2021],Costs[[Sector_group]:[Sector_group]],"="&amp;$B$93, Costs[[Cost_type]:[Cost_type]],"="&amp;$B94)/1000,"")</f>
        <v>0</v>
      </c>
      <c r="D94" s="28">
        <f ca="1">IFERROR(SUMIFS(Costs[2022],Costs[[Sector_group]:[Sector_group]],"="&amp;$B$93, Costs[[Cost_type]:[Cost_type]],"="&amp;$B94)/1000,"")</f>
        <v>0</v>
      </c>
      <c r="E94" s="28">
        <f ca="1">IFERROR(SUMIFS(Costs[2023],Costs[[Sector_group]:[Sector_group]],"="&amp;$B$93, Costs[[Cost_type]:[Cost_type]],"="&amp;$B94)/1000,"")</f>
        <v>0</v>
      </c>
      <c r="F94" s="28">
        <f ca="1">IFERROR(SUMIFS(Costs[2024],Costs[[Sector_group]:[Sector_group]],"="&amp;$B$93, Costs[[Cost_type]:[Cost_type]],"="&amp;$B94)/1000,"")</f>
        <v>0</v>
      </c>
      <c r="G94" s="28">
        <f ca="1">IFERROR(SUMIFS(Costs[2025],Costs[[Sector_group]:[Sector_group]],"="&amp;$B$93, Costs[[Cost_type]:[Cost_type]],"="&amp;$B94)/1000,"")</f>
        <v>0</v>
      </c>
      <c r="H94" s="28">
        <f ca="1">IFERROR(SUMIFS(Costs[2026],Costs[[Sector_group]:[Sector_group]],"="&amp;$B$93, Costs[[Cost_type]:[Cost_type]],"="&amp;$B94)/1000,"")</f>
        <v>0</v>
      </c>
      <c r="I94" s="28">
        <f ca="1">IFERROR(SUMIFS(Costs[2027],Costs[[Sector_group]:[Sector_group]],"="&amp;$B$93, Costs[[Cost_type]:[Cost_type]],"="&amp;$B94)/1000,"")</f>
        <v>0</v>
      </c>
      <c r="J94" s="28">
        <f ca="1">IFERROR(SUMIFS(Costs[2028],Costs[[Sector_group]:[Sector_group]],"="&amp;$B$93, Costs[[Cost_type]:[Cost_type]],"="&amp;$B94)/1000,"")</f>
        <v>0</v>
      </c>
      <c r="K94" s="28">
        <f ca="1">IFERROR(SUMIFS(Costs[2029],Costs[[Sector_group]:[Sector_group]],"="&amp;$B$93, Costs[[Cost_type]:[Cost_type]],"="&amp;$B94)/1000,"")</f>
        <v>0</v>
      </c>
      <c r="L94" s="28">
        <f ca="1">IFERROR(SUMIFS(Costs[2030],Costs[[Sector_group]:[Sector_group]],"="&amp;$B$93, Costs[[Cost_type]:[Cost_type]],"="&amp;$B94)/1000,"")</f>
        <v>0</v>
      </c>
      <c r="M94" s="28">
        <f ca="1">IFERROR(SUMIFS(Costs[2031],Costs[[Sector_group]:[Sector_group]],"="&amp;$B$93, Costs[[Cost_type]:[Cost_type]],"="&amp;$B94)/1000,"")</f>
        <v>0</v>
      </c>
      <c r="N94" s="28">
        <f ca="1">IFERROR(SUMIFS(Costs[2032],Costs[[Sector_group]:[Sector_group]],"="&amp;$B$93, Costs[[Cost_type]:[Cost_type]],"="&amp;$B94)/1000,"")</f>
        <v>0</v>
      </c>
      <c r="O94" s="28">
        <f ca="1">IFERROR(SUMIFS(Costs[2033],Costs[[Sector_group]:[Sector_group]],"="&amp;$B$93, Costs[[Cost_type]:[Cost_type]],"="&amp;$B94)/1000,"")</f>
        <v>0</v>
      </c>
      <c r="P94" s="28">
        <f ca="1">IFERROR(SUMIFS(Costs[2034],Costs[[Sector_group]:[Sector_group]],"="&amp;$B$93, Costs[[Cost_type]:[Cost_type]],"="&amp;$B94)/1000,"")</f>
        <v>0</v>
      </c>
      <c r="Q94" s="28">
        <f ca="1">IFERROR(SUMIFS(Costs[2035],Costs[[Sector_group]:[Sector_group]],"="&amp;$B$93, Costs[[Cost_type]:[Cost_type]],"="&amp;$B94)/1000,"")</f>
        <v>0</v>
      </c>
      <c r="R94" s="28">
        <f ca="1">IFERROR(SUMIFS(Costs[2036],Costs[[Sector_group]:[Sector_group]],"="&amp;$B$93, Costs[[Cost_type]:[Cost_type]],"="&amp;$B94)/1000,"")</f>
        <v>0</v>
      </c>
      <c r="S94" s="28">
        <f ca="1">IFERROR(SUMIFS(Costs[2037],Costs[[Sector_group]:[Sector_group]],"="&amp;$B$93, Costs[[Cost_type]:[Cost_type]],"="&amp;$B94)/1000,"")</f>
        <v>0</v>
      </c>
      <c r="T94" s="28">
        <f ca="1">IFERROR(SUMIFS(Costs[2038],Costs[[Sector_group]:[Sector_group]],"="&amp;$B$93, Costs[[Cost_type]:[Cost_type]],"="&amp;$B94)/1000,"")</f>
        <v>0</v>
      </c>
      <c r="U94" s="28">
        <f ca="1">IFERROR(SUMIFS(Costs[2039],Costs[[Sector_group]:[Sector_group]],"="&amp;$B$93, Costs[[Cost_type]:[Cost_type]],"="&amp;$B94)/1000,"")</f>
        <v>0</v>
      </c>
      <c r="V94" s="28">
        <f ca="1">IFERROR(SUMIFS(Costs[2040],Costs[[Sector_group]:[Sector_group]],"="&amp;$B$93, Costs[[Cost_type]:[Cost_type]],"="&amp;$B94)/1000,"")</f>
        <v>0</v>
      </c>
      <c r="W94" s="28">
        <f ca="1">IFERROR(SUMIFS(Costs[2041],Costs[[Sector_group]:[Sector_group]],"="&amp;$B$93, Costs[[Cost_type]:[Cost_type]],"="&amp;$B94)/1000,"")</f>
        <v>0</v>
      </c>
      <c r="X94" s="28">
        <f ca="1">IFERROR(SUMIFS(Costs[2042],Costs[[Sector_group]:[Sector_group]],"="&amp;$B$93, Costs[[Cost_type]:[Cost_type]],"="&amp;$B94)/1000,"")</f>
        <v>0</v>
      </c>
      <c r="Y94" s="28">
        <f ca="1">IFERROR(SUMIFS(Costs[2043],Costs[[Sector_group]:[Sector_group]],"="&amp;$B$93, Costs[[Cost_type]:[Cost_type]],"="&amp;$B94)/1000,"")</f>
        <v>0</v>
      </c>
      <c r="Z94" s="28">
        <f ca="1">IFERROR(SUMIFS(Costs[2044],Costs[[Sector_group]:[Sector_group]],"="&amp;$B$93, Costs[[Cost_type]:[Cost_type]],"="&amp;$B94)/1000,"")</f>
        <v>0</v>
      </c>
      <c r="AA94" s="28">
        <f ca="1">IFERROR(SUMIFS(Costs[2045],Costs[[Sector_group]:[Sector_group]],"="&amp;$B$93, Costs[[Cost_type]:[Cost_type]],"="&amp;$B94)/1000,"")</f>
        <v>0</v>
      </c>
      <c r="AB94" s="28">
        <f ca="1">IFERROR(SUMIFS(Costs[2046],Costs[[Sector_group]:[Sector_group]],"="&amp;$B$93, Costs[[Cost_type]:[Cost_type]],"="&amp;$B94)/1000,"")</f>
        <v>0</v>
      </c>
      <c r="AC94" s="28">
        <f ca="1">IFERROR(SUMIFS(Costs[2047],Costs[[Sector_group]:[Sector_group]],"="&amp;$B$93, Costs[[Cost_type]:[Cost_type]],"="&amp;$B94)/1000,"")</f>
        <v>0</v>
      </c>
      <c r="AD94" s="28">
        <f ca="1">IFERROR(SUMIFS(Costs[2048],Costs[[Sector_group]:[Sector_group]],"="&amp;$B$93, Costs[[Cost_type]:[Cost_type]],"="&amp;$B94)/1000,"")</f>
        <v>0</v>
      </c>
      <c r="AE94" s="28">
        <f ca="1">IFERROR(SUMIFS(Costs[2049],Costs[[Sector_group]:[Sector_group]],"="&amp;$B$93, Costs[[Cost_type]:[Cost_type]],"="&amp;$B94)/1000,"")</f>
        <v>0</v>
      </c>
      <c r="AF94" s="28">
        <f ca="1">IFERROR(SUMIFS(Costs[2050],Costs[[Sector_group]:[Sector_group]],"="&amp;$B$93, Costs[[Cost_type]:[Cost_type]],"="&amp;$B94)/1000,"")</f>
        <v>0</v>
      </c>
      <c r="AG94" s="28">
        <f ca="1">IFERROR(SUMIFS(Costs[2051],Costs[[Sector_group]:[Sector_group]],"="&amp;$B$93, Costs[[Cost_type]:[Cost_type]],"="&amp;$B94)/1000,"")</f>
        <v>0</v>
      </c>
    </row>
    <row r="95" spans="1:33" x14ac:dyDescent="0.45">
      <c r="B95" s="12" t="s">
        <v>31</v>
      </c>
      <c r="C95" s="28">
        <f ca="1">IFERROR(SUMIFS(Costs[2021],Costs[[Sector_group]:[Sector_group]],"="&amp;$B$93, Costs[[Cost_type]:[Cost_type]],"="&amp;$B95)/1000,"")</f>
        <v>0</v>
      </c>
      <c r="D95" s="28">
        <f ca="1">IFERROR(SUMIFS(Costs[2022],Costs[[Sector_group]:[Sector_group]],"="&amp;$B$93, Costs[[Cost_type]:[Cost_type]],"="&amp;$B95)/1000,"")</f>
        <v>0</v>
      </c>
      <c r="E95" s="28">
        <f ca="1">IFERROR(SUMIFS(Costs[2023],Costs[[Sector_group]:[Sector_group]],"="&amp;$B$93, Costs[[Cost_type]:[Cost_type]],"="&amp;$B95)/1000,"")</f>
        <v>0</v>
      </c>
      <c r="F95" s="28">
        <f ca="1">IFERROR(SUMIFS(Costs[2024],Costs[[Sector_group]:[Sector_group]],"="&amp;$B$93, Costs[[Cost_type]:[Cost_type]],"="&amp;$B95)/1000,"")</f>
        <v>0</v>
      </c>
      <c r="G95" s="28">
        <f ca="1">IFERROR(SUMIFS(Costs[2025],Costs[[Sector_group]:[Sector_group]],"="&amp;$B$93, Costs[[Cost_type]:[Cost_type]],"="&amp;$B95)/1000,"")</f>
        <v>0</v>
      </c>
      <c r="H95" s="28">
        <f ca="1">IFERROR(SUMIFS(Costs[2026],Costs[[Sector_group]:[Sector_group]],"="&amp;$B$93, Costs[[Cost_type]:[Cost_type]],"="&amp;$B95)/1000,"")</f>
        <v>0</v>
      </c>
      <c r="I95" s="28">
        <f ca="1">IFERROR(SUMIFS(Costs[2027],Costs[[Sector_group]:[Sector_group]],"="&amp;$B$93, Costs[[Cost_type]:[Cost_type]],"="&amp;$B95)/1000,"")</f>
        <v>0</v>
      </c>
      <c r="J95" s="28">
        <f ca="1">IFERROR(SUMIFS(Costs[2028],Costs[[Sector_group]:[Sector_group]],"="&amp;$B$93, Costs[[Cost_type]:[Cost_type]],"="&amp;$B95)/1000,"")</f>
        <v>0</v>
      </c>
      <c r="K95" s="28">
        <f ca="1">IFERROR(SUMIFS(Costs[2029],Costs[[Sector_group]:[Sector_group]],"="&amp;$B$93, Costs[[Cost_type]:[Cost_type]],"="&amp;$B95)/1000,"")</f>
        <v>0</v>
      </c>
      <c r="L95" s="28">
        <f ca="1">IFERROR(SUMIFS(Costs[2030],Costs[[Sector_group]:[Sector_group]],"="&amp;$B$93, Costs[[Cost_type]:[Cost_type]],"="&amp;$B95)/1000,"")</f>
        <v>0</v>
      </c>
      <c r="M95" s="28">
        <f ca="1">IFERROR(SUMIFS(Costs[2031],Costs[[Sector_group]:[Sector_group]],"="&amp;$B$93, Costs[[Cost_type]:[Cost_type]],"="&amp;$B95)/1000,"")</f>
        <v>0</v>
      </c>
      <c r="N95" s="28">
        <f ca="1">IFERROR(SUMIFS(Costs[2032],Costs[[Sector_group]:[Sector_group]],"="&amp;$B$93, Costs[[Cost_type]:[Cost_type]],"="&amp;$B95)/1000,"")</f>
        <v>0</v>
      </c>
      <c r="O95" s="28">
        <f ca="1">IFERROR(SUMIFS(Costs[2033],Costs[[Sector_group]:[Sector_group]],"="&amp;$B$93, Costs[[Cost_type]:[Cost_type]],"="&amp;$B95)/1000,"")</f>
        <v>0</v>
      </c>
      <c r="P95" s="28">
        <f ca="1">IFERROR(SUMIFS(Costs[2034],Costs[[Sector_group]:[Sector_group]],"="&amp;$B$93, Costs[[Cost_type]:[Cost_type]],"="&amp;$B95)/1000,"")</f>
        <v>0</v>
      </c>
      <c r="Q95" s="28">
        <f ca="1">IFERROR(SUMIFS(Costs[2035],Costs[[Sector_group]:[Sector_group]],"="&amp;$B$93, Costs[[Cost_type]:[Cost_type]],"="&amp;$B95)/1000,"")</f>
        <v>0</v>
      </c>
      <c r="R95" s="28">
        <f ca="1">IFERROR(SUMIFS(Costs[2036],Costs[[Sector_group]:[Sector_group]],"="&amp;$B$93, Costs[[Cost_type]:[Cost_type]],"="&amp;$B95)/1000,"")</f>
        <v>0</v>
      </c>
      <c r="S95" s="28">
        <f ca="1">IFERROR(SUMIFS(Costs[2037],Costs[[Sector_group]:[Sector_group]],"="&amp;$B$93, Costs[[Cost_type]:[Cost_type]],"="&amp;$B95)/1000,"")</f>
        <v>0</v>
      </c>
      <c r="T95" s="28">
        <f ca="1">IFERROR(SUMIFS(Costs[2038],Costs[[Sector_group]:[Sector_group]],"="&amp;$B$93, Costs[[Cost_type]:[Cost_type]],"="&amp;$B95)/1000,"")</f>
        <v>0</v>
      </c>
      <c r="U95" s="28">
        <f ca="1">IFERROR(SUMIFS(Costs[2039],Costs[[Sector_group]:[Sector_group]],"="&amp;$B$93, Costs[[Cost_type]:[Cost_type]],"="&amp;$B95)/1000,"")</f>
        <v>0</v>
      </c>
      <c r="V95" s="28">
        <f ca="1">IFERROR(SUMIFS(Costs[2040],Costs[[Sector_group]:[Sector_group]],"="&amp;$B$93, Costs[[Cost_type]:[Cost_type]],"="&amp;$B95)/1000,"")</f>
        <v>0</v>
      </c>
      <c r="W95" s="28">
        <f ca="1">IFERROR(SUMIFS(Costs[2041],Costs[[Sector_group]:[Sector_group]],"="&amp;$B$93, Costs[[Cost_type]:[Cost_type]],"="&amp;$B95)/1000,"")</f>
        <v>0</v>
      </c>
      <c r="X95" s="28">
        <f ca="1">IFERROR(SUMIFS(Costs[2042],Costs[[Sector_group]:[Sector_group]],"="&amp;$B$93, Costs[[Cost_type]:[Cost_type]],"="&amp;$B95)/1000,"")</f>
        <v>0</v>
      </c>
      <c r="Y95" s="28">
        <f ca="1">IFERROR(SUMIFS(Costs[2043],Costs[[Sector_group]:[Sector_group]],"="&amp;$B$93, Costs[[Cost_type]:[Cost_type]],"="&amp;$B95)/1000,"")</f>
        <v>0</v>
      </c>
      <c r="Z95" s="28">
        <f ca="1">IFERROR(SUMIFS(Costs[2044],Costs[[Sector_group]:[Sector_group]],"="&amp;$B$93, Costs[[Cost_type]:[Cost_type]],"="&amp;$B95)/1000,"")</f>
        <v>0</v>
      </c>
      <c r="AA95" s="28">
        <f ca="1">IFERROR(SUMIFS(Costs[2045],Costs[[Sector_group]:[Sector_group]],"="&amp;$B$93, Costs[[Cost_type]:[Cost_type]],"="&amp;$B95)/1000,"")</f>
        <v>0</v>
      </c>
      <c r="AB95" s="28">
        <f ca="1">IFERROR(SUMIFS(Costs[2046],Costs[[Sector_group]:[Sector_group]],"="&amp;$B$93, Costs[[Cost_type]:[Cost_type]],"="&amp;$B95)/1000,"")</f>
        <v>0</v>
      </c>
      <c r="AC95" s="28">
        <f ca="1">IFERROR(SUMIFS(Costs[2047],Costs[[Sector_group]:[Sector_group]],"="&amp;$B$93, Costs[[Cost_type]:[Cost_type]],"="&amp;$B95)/1000,"")</f>
        <v>0</v>
      </c>
      <c r="AD95" s="28">
        <f ca="1">IFERROR(SUMIFS(Costs[2048],Costs[[Sector_group]:[Sector_group]],"="&amp;$B$93, Costs[[Cost_type]:[Cost_type]],"="&amp;$B95)/1000,"")</f>
        <v>0</v>
      </c>
      <c r="AE95" s="28">
        <f ca="1">IFERROR(SUMIFS(Costs[2049],Costs[[Sector_group]:[Sector_group]],"="&amp;$B$93, Costs[[Cost_type]:[Cost_type]],"="&amp;$B95)/1000,"")</f>
        <v>0</v>
      </c>
      <c r="AF95" s="28">
        <f ca="1">IFERROR(SUMIFS(Costs[2050],Costs[[Sector_group]:[Sector_group]],"="&amp;$B$93, Costs[[Cost_type]:[Cost_type]],"="&amp;$B95)/1000,"")</f>
        <v>0</v>
      </c>
      <c r="AG95" s="28">
        <f ca="1">IFERROR(SUMIFS(Costs[2051],Costs[[Sector_group]:[Sector_group]],"="&amp;$B$93, Costs[[Cost_type]:[Cost_type]],"="&amp;$B95)/1000,"")</f>
        <v>0</v>
      </c>
    </row>
    <row r="96" spans="1:33" x14ac:dyDescent="0.45">
      <c r="B96" s="12" t="s">
        <v>32</v>
      </c>
      <c r="C96" s="28">
        <f ca="1">IFERROR(SUMIFS(Costs[2021],Costs[[Sector_group]:[Sector_group]],"="&amp;$B$93, Costs[[Cost_type]:[Cost_type]],"="&amp;$B96)/1000,"")</f>
        <v>0</v>
      </c>
      <c r="D96" s="28">
        <f ca="1">IFERROR(SUMIFS(Costs[2022],Costs[[Sector_group]:[Sector_group]],"="&amp;$B$93, Costs[[Cost_type]:[Cost_type]],"="&amp;$B96)/1000,"")</f>
        <v>0</v>
      </c>
      <c r="E96" s="28">
        <f ca="1">IFERROR(SUMIFS(Costs[2023],Costs[[Sector_group]:[Sector_group]],"="&amp;$B$93, Costs[[Cost_type]:[Cost_type]],"="&amp;$B96)/1000,"")</f>
        <v>0</v>
      </c>
      <c r="F96" s="28">
        <f ca="1">IFERROR(SUMIFS(Costs[2024],Costs[[Sector_group]:[Sector_group]],"="&amp;$B$93, Costs[[Cost_type]:[Cost_type]],"="&amp;$B96)/1000,"")</f>
        <v>0</v>
      </c>
      <c r="G96" s="28">
        <f ca="1">IFERROR(SUMIFS(Costs[2025],Costs[[Sector_group]:[Sector_group]],"="&amp;$B$93, Costs[[Cost_type]:[Cost_type]],"="&amp;$B96)/1000,"")</f>
        <v>0</v>
      </c>
      <c r="H96" s="28">
        <f ca="1">IFERROR(SUMIFS(Costs[2026],Costs[[Sector_group]:[Sector_group]],"="&amp;$B$93, Costs[[Cost_type]:[Cost_type]],"="&amp;$B96)/1000,"")</f>
        <v>0</v>
      </c>
      <c r="I96" s="28">
        <f ca="1">IFERROR(SUMIFS(Costs[2027],Costs[[Sector_group]:[Sector_group]],"="&amp;$B$93, Costs[[Cost_type]:[Cost_type]],"="&amp;$B96)/1000,"")</f>
        <v>0</v>
      </c>
      <c r="J96" s="28">
        <f ca="1">IFERROR(SUMIFS(Costs[2028],Costs[[Sector_group]:[Sector_group]],"="&amp;$B$93, Costs[[Cost_type]:[Cost_type]],"="&amp;$B96)/1000,"")</f>
        <v>0</v>
      </c>
      <c r="K96" s="28">
        <f ca="1">IFERROR(SUMIFS(Costs[2029],Costs[[Sector_group]:[Sector_group]],"="&amp;$B$93, Costs[[Cost_type]:[Cost_type]],"="&amp;$B96)/1000,"")</f>
        <v>0</v>
      </c>
      <c r="L96" s="28">
        <f ca="1">IFERROR(SUMIFS(Costs[2030],Costs[[Sector_group]:[Sector_group]],"="&amp;$B$93, Costs[[Cost_type]:[Cost_type]],"="&amp;$B96)/1000,"")</f>
        <v>0</v>
      </c>
      <c r="M96" s="28">
        <f ca="1">IFERROR(SUMIFS(Costs[2031],Costs[[Sector_group]:[Sector_group]],"="&amp;$B$93, Costs[[Cost_type]:[Cost_type]],"="&amp;$B96)/1000,"")</f>
        <v>0</v>
      </c>
      <c r="N96" s="28">
        <f ca="1">IFERROR(SUMIFS(Costs[2032],Costs[[Sector_group]:[Sector_group]],"="&amp;$B$93, Costs[[Cost_type]:[Cost_type]],"="&amp;$B96)/1000,"")</f>
        <v>0</v>
      </c>
      <c r="O96" s="28">
        <f ca="1">IFERROR(SUMIFS(Costs[2033],Costs[[Sector_group]:[Sector_group]],"="&amp;$B$93, Costs[[Cost_type]:[Cost_type]],"="&amp;$B96)/1000,"")</f>
        <v>0</v>
      </c>
      <c r="P96" s="28">
        <f ca="1">IFERROR(SUMIFS(Costs[2034],Costs[[Sector_group]:[Sector_group]],"="&amp;$B$93, Costs[[Cost_type]:[Cost_type]],"="&amp;$B96)/1000,"")</f>
        <v>0</v>
      </c>
      <c r="Q96" s="28">
        <f ca="1">IFERROR(SUMIFS(Costs[2035],Costs[[Sector_group]:[Sector_group]],"="&amp;$B$93, Costs[[Cost_type]:[Cost_type]],"="&amp;$B96)/1000,"")</f>
        <v>0</v>
      </c>
      <c r="R96" s="28">
        <f ca="1">IFERROR(SUMIFS(Costs[2036],Costs[[Sector_group]:[Sector_group]],"="&amp;$B$93, Costs[[Cost_type]:[Cost_type]],"="&amp;$B96)/1000,"")</f>
        <v>0</v>
      </c>
      <c r="S96" s="28">
        <f ca="1">IFERROR(SUMIFS(Costs[2037],Costs[[Sector_group]:[Sector_group]],"="&amp;$B$93, Costs[[Cost_type]:[Cost_type]],"="&amp;$B96)/1000,"")</f>
        <v>0</v>
      </c>
      <c r="T96" s="28">
        <f ca="1">IFERROR(SUMIFS(Costs[2038],Costs[[Sector_group]:[Sector_group]],"="&amp;$B$93, Costs[[Cost_type]:[Cost_type]],"="&amp;$B96)/1000,"")</f>
        <v>0</v>
      </c>
      <c r="U96" s="28">
        <f ca="1">IFERROR(SUMIFS(Costs[2039],Costs[[Sector_group]:[Sector_group]],"="&amp;$B$93, Costs[[Cost_type]:[Cost_type]],"="&amp;$B96)/1000,"")</f>
        <v>0</v>
      </c>
      <c r="V96" s="28">
        <f ca="1">IFERROR(SUMIFS(Costs[2040],Costs[[Sector_group]:[Sector_group]],"="&amp;$B$93, Costs[[Cost_type]:[Cost_type]],"="&amp;$B96)/1000,"")</f>
        <v>0</v>
      </c>
      <c r="W96" s="28">
        <f ca="1">IFERROR(SUMIFS(Costs[2041],Costs[[Sector_group]:[Sector_group]],"="&amp;$B$93, Costs[[Cost_type]:[Cost_type]],"="&amp;$B96)/1000,"")</f>
        <v>0</v>
      </c>
      <c r="X96" s="28">
        <f ca="1">IFERROR(SUMIFS(Costs[2042],Costs[[Sector_group]:[Sector_group]],"="&amp;$B$93, Costs[[Cost_type]:[Cost_type]],"="&amp;$B96)/1000,"")</f>
        <v>0</v>
      </c>
      <c r="Y96" s="28">
        <f ca="1">IFERROR(SUMIFS(Costs[2043],Costs[[Sector_group]:[Sector_group]],"="&amp;$B$93, Costs[[Cost_type]:[Cost_type]],"="&amp;$B96)/1000,"")</f>
        <v>0</v>
      </c>
      <c r="Z96" s="28">
        <f ca="1">IFERROR(SUMIFS(Costs[2044],Costs[[Sector_group]:[Sector_group]],"="&amp;$B$93, Costs[[Cost_type]:[Cost_type]],"="&amp;$B96)/1000,"")</f>
        <v>0</v>
      </c>
      <c r="AA96" s="28">
        <f ca="1">IFERROR(SUMIFS(Costs[2045],Costs[[Sector_group]:[Sector_group]],"="&amp;$B$93, Costs[[Cost_type]:[Cost_type]],"="&amp;$B96)/1000,"")</f>
        <v>0</v>
      </c>
      <c r="AB96" s="28">
        <f ca="1">IFERROR(SUMIFS(Costs[2046],Costs[[Sector_group]:[Sector_group]],"="&amp;$B$93, Costs[[Cost_type]:[Cost_type]],"="&amp;$B96)/1000,"")</f>
        <v>0</v>
      </c>
      <c r="AC96" s="28">
        <f ca="1">IFERROR(SUMIFS(Costs[2047],Costs[[Sector_group]:[Sector_group]],"="&amp;$B$93, Costs[[Cost_type]:[Cost_type]],"="&amp;$B96)/1000,"")</f>
        <v>0</v>
      </c>
      <c r="AD96" s="28">
        <f ca="1">IFERROR(SUMIFS(Costs[2048],Costs[[Sector_group]:[Sector_group]],"="&amp;$B$93, Costs[[Cost_type]:[Cost_type]],"="&amp;$B96)/1000,"")</f>
        <v>0</v>
      </c>
      <c r="AE96" s="28">
        <f ca="1">IFERROR(SUMIFS(Costs[2049],Costs[[Sector_group]:[Sector_group]],"="&amp;$B$93, Costs[[Cost_type]:[Cost_type]],"="&amp;$B96)/1000,"")</f>
        <v>0</v>
      </c>
      <c r="AF96" s="28">
        <f ca="1">IFERROR(SUMIFS(Costs[2050],Costs[[Sector_group]:[Sector_group]],"="&amp;$B$93, Costs[[Cost_type]:[Cost_type]],"="&amp;$B96)/1000,"")</f>
        <v>0</v>
      </c>
      <c r="AG96" s="28">
        <f ca="1">IFERROR(SUMIFS(Costs[2051],Costs[[Sector_group]:[Sector_group]],"="&amp;$B$93, Costs[[Cost_type]:[Cost_type]],"="&amp;$B96)/1000,"")</f>
        <v>0</v>
      </c>
    </row>
    <row r="97" spans="1:33" x14ac:dyDescent="0.45">
      <c r="B97" s="12" t="s">
        <v>33</v>
      </c>
      <c r="C97" s="28">
        <f ca="1">IFERROR(SUMIFS(Costs[2021],Costs[[Sector_group]:[Sector_group]],"="&amp;$B$93, Costs[[Cost_type]:[Cost_type]],"="&amp;$B97)/1000,"")</f>
        <v>0</v>
      </c>
      <c r="D97" s="28">
        <f ca="1">IFERROR(SUMIFS(Costs[2022],Costs[[Sector_group]:[Sector_group]],"="&amp;$B$93, Costs[[Cost_type]:[Cost_type]],"="&amp;$B97)/1000,"")</f>
        <v>0</v>
      </c>
      <c r="E97" s="28">
        <f ca="1">IFERROR(SUMIFS(Costs[2023],Costs[[Sector_group]:[Sector_group]],"="&amp;$B$93, Costs[[Cost_type]:[Cost_type]],"="&amp;$B97)/1000,"")</f>
        <v>0</v>
      </c>
      <c r="F97" s="28">
        <f ca="1">IFERROR(SUMIFS(Costs[2024],Costs[[Sector_group]:[Sector_group]],"="&amp;$B$93, Costs[[Cost_type]:[Cost_type]],"="&amp;$B97)/1000,"")</f>
        <v>0</v>
      </c>
      <c r="G97" s="28">
        <f ca="1">IFERROR(SUMIFS(Costs[2025],Costs[[Sector_group]:[Sector_group]],"="&amp;$B$93, Costs[[Cost_type]:[Cost_type]],"="&amp;$B97)/1000,"")</f>
        <v>0</v>
      </c>
      <c r="H97" s="28">
        <f ca="1">IFERROR(SUMIFS(Costs[2026],Costs[[Sector_group]:[Sector_group]],"="&amp;$B$93, Costs[[Cost_type]:[Cost_type]],"="&amp;$B97)/1000,"")</f>
        <v>0</v>
      </c>
      <c r="I97" s="28">
        <f ca="1">IFERROR(SUMIFS(Costs[2027],Costs[[Sector_group]:[Sector_group]],"="&amp;$B$93, Costs[[Cost_type]:[Cost_type]],"="&amp;$B97)/1000,"")</f>
        <v>0</v>
      </c>
      <c r="J97" s="28">
        <f ca="1">IFERROR(SUMIFS(Costs[2028],Costs[[Sector_group]:[Sector_group]],"="&amp;$B$93, Costs[[Cost_type]:[Cost_type]],"="&amp;$B97)/1000,"")</f>
        <v>0</v>
      </c>
      <c r="K97" s="28">
        <f ca="1">IFERROR(SUMIFS(Costs[2029],Costs[[Sector_group]:[Sector_group]],"="&amp;$B$93, Costs[[Cost_type]:[Cost_type]],"="&amp;$B97)/1000,"")</f>
        <v>0</v>
      </c>
      <c r="L97" s="28">
        <f ca="1">IFERROR(SUMIFS(Costs[2030],Costs[[Sector_group]:[Sector_group]],"="&amp;$B$93, Costs[[Cost_type]:[Cost_type]],"="&amp;$B97)/1000,"")</f>
        <v>0</v>
      </c>
      <c r="M97" s="28">
        <f ca="1">IFERROR(SUMIFS(Costs[2031],Costs[[Sector_group]:[Sector_group]],"="&amp;$B$93, Costs[[Cost_type]:[Cost_type]],"="&amp;$B97)/1000,"")</f>
        <v>0</v>
      </c>
      <c r="N97" s="28">
        <f ca="1">IFERROR(SUMIFS(Costs[2032],Costs[[Sector_group]:[Sector_group]],"="&amp;$B$93, Costs[[Cost_type]:[Cost_type]],"="&amp;$B97)/1000,"")</f>
        <v>0</v>
      </c>
      <c r="O97" s="28">
        <f ca="1">IFERROR(SUMIFS(Costs[2033],Costs[[Sector_group]:[Sector_group]],"="&amp;$B$93, Costs[[Cost_type]:[Cost_type]],"="&amp;$B97)/1000,"")</f>
        <v>0</v>
      </c>
      <c r="P97" s="28">
        <f ca="1">IFERROR(SUMIFS(Costs[2034],Costs[[Sector_group]:[Sector_group]],"="&amp;$B$93, Costs[[Cost_type]:[Cost_type]],"="&amp;$B97)/1000,"")</f>
        <v>0</v>
      </c>
      <c r="Q97" s="28">
        <f ca="1">IFERROR(SUMIFS(Costs[2035],Costs[[Sector_group]:[Sector_group]],"="&amp;$B$93, Costs[[Cost_type]:[Cost_type]],"="&amp;$B97)/1000,"")</f>
        <v>0</v>
      </c>
      <c r="R97" s="28">
        <f ca="1">IFERROR(SUMIFS(Costs[2036],Costs[[Sector_group]:[Sector_group]],"="&amp;$B$93, Costs[[Cost_type]:[Cost_type]],"="&amp;$B97)/1000,"")</f>
        <v>0</v>
      </c>
      <c r="S97" s="28">
        <f ca="1">IFERROR(SUMIFS(Costs[2037],Costs[[Sector_group]:[Sector_group]],"="&amp;$B$93, Costs[[Cost_type]:[Cost_type]],"="&amp;$B97)/1000,"")</f>
        <v>0</v>
      </c>
      <c r="T97" s="28">
        <f ca="1">IFERROR(SUMIFS(Costs[2038],Costs[[Sector_group]:[Sector_group]],"="&amp;$B$93, Costs[[Cost_type]:[Cost_type]],"="&amp;$B97)/1000,"")</f>
        <v>0</v>
      </c>
      <c r="U97" s="28">
        <f ca="1">IFERROR(SUMIFS(Costs[2039],Costs[[Sector_group]:[Sector_group]],"="&amp;$B$93, Costs[[Cost_type]:[Cost_type]],"="&amp;$B97)/1000,"")</f>
        <v>0</v>
      </c>
      <c r="V97" s="28">
        <f ca="1">IFERROR(SUMIFS(Costs[2040],Costs[[Sector_group]:[Sector_group]],"="&amp;$B$93, Costs[[Cost_type]:[Cost_type]],"="&amp;$B97)/1000,"")</f>
        <v>0</v>
      </c>
      <c r="W97" s="28">
        <f ca="1">IFERROR(SUMIFS(Costs[2041],Costs[[Sector_group]:[Sector_group]],"="&amp;$B$93, Costs[[Cost_type]:[Cost_type]],"="&amp;$B97)/1000,"")</f>
        <v>0</v>
      </c>
      <c r="X97" s="28">
        <f ca="1">IFERROR(SUMIFS(Costs[2042],Costs[[Sector_group]:[Sector_group]],"="&amp;$B$93, Costs[[Cost_type]:[Cost_type]],"="&amp;$B97)/1000,"")</f>
        <v>0</v>
      </c>
      <c r="Y97" s="28">
        <f ca="1">IFERROR(SUMIFS(Costs[2043],Costs[[Sector_group]:[Sector_group]],"="&amp;$B$93, Costs[[Cost_type]:[Cost_type]],"="&amp;$B97)/1000,"")</f>
        <v>0</v>
      </c>
      <c r="Z97" s="28">
        <f ca="1">IFERROR(SUMIFS(Costs[2044],Costs[[Sector_group]:[Sector_group]],"="&amp;$B$93, Costs[[Cost_type]:[Cost_type]],"="&amp;$B97)/1000,"")</f>
        <v>0</v>
      </c>
      <c r="AA97" s="28">
        <f ca="1">IFERROR(SUMIFS(Costs[2045],Costs[[Sector_group]:[Sector_group]],"="&amp;$B$93, Costs[[Cost_type]:[Cost_type]],"="&amp;$B97)/1000,"")</f>
        <v>0</v>
      </c>
      <c r="AB97" s="28">
        <f ca="1">IFERROR(SUMIFS(Costs[2046],Costs[[Sector_group]:[Sector_group]],"="&amp;$B$93, Costs[[Cost_type]:[Cost_type]],"="&amp;$B97)/1000,"")</f>
        <v>0</v>
      </c>
      <c r="AC97" s="28">
        <f ca="1">IFERROR(SUMIFS(Costs[2047],Costs[[Sector_group]:[Sector_group]],"="&amp;$B$93, Costs[[Cost_type]:[Cost_type]],"="&amp;$B97)/1000,"")</f>
        <v>0</v>
      </c>
      <c r="AD97" s="28">
        <f ca="1">IFERROR(SUMIFS(Costs[2048],Costs[[Sector_group]:[Sector_group]],"="&amp;$B$93, Costs[[Cost_type]:[Cost_type]],"="&amp;$B97)/1000,"")</f>
        <v>0</v>
      </c>
      <c r="AE97" s="28">
        <f ca="1">IFERROR(SUMIFS(Costs[2049],Costs[[Sector_group]:[Sector_group]],"="&amp;$B$93, Costs[[Cost_type]:[Cost_type]],"="&amp;$B97)/1000,"")</f>
        <v>0</v>
      </c>
      <c r="AF97" s="28">
        <f ca="1">IFERROR(SUMIFS(Costs[2050],Costs[[Sector_group]:[Sector_group]],"="&amp;$B$93, Costs[[Cost_type]:[Cost_type]],"="&amp;$B97)/1000,"")</f>
        <v>0</v>
      </c>
      <c r="AG97" s="28">
        <f ca="1">IFERROR(SUMIFS(Costs[2051],Costs[[Sector_group]:[Sector_group]],"="&amp;$B$93, Costs[[Cost_type]:[Cost_type]],"="&amp;$B97)/1000,"")</f>
        <v>0</v>
      </c>
    </row>
    <row r="99" spans="1:33" x14ac:dyDescent="0.45">
      <c r="A99" t="s">
        <v>34</v>
      </c>
      <c r="B99" s="37" t="s">
        <v>276</v>
      </c>
      <c r="C99" s="73">
        <f ca="1">IFERROR(C100+C101,"")</f>
        <v>0</v>
      </c>
      <c r="D99" s="73">
        <f t="shared" ref="D99:AG99" ca="1" si="14">IFERROR(D100+D101,"")</f>
        <v>0</v>
      </c>
      <c r="E99" s="73">
        <f t="shared" ca="1" si="14"/>
        <v>0</v>
      </c>
      <c r="F99" s="73">
        <f t="shared" ca="1" si="14"/>
        <v>0</v>
      </c>
      <c r="G99" s="73">
        <f t="shared" ca="1" si="14"/>
        <v>0</v>
      </c>
      <c r="H99" s="73">
        <f t="shared" ca="1" si="14"/>
        <v>0</v>
      </c>
      <c r="I99" s="73">
        <f t="shared" ca="1" si="14"/>
        <v>0</v>
      </c>
      <c r="J99" s="73">
        <f t="shared" ca="1" si="14"/>
        <v>0</v>
      </c>
      <c r="K99" s="73">
        <f t="shared" ca="1" si="14"/>
        <v>0</v>
      </c>
      <c r="L99" s="73">
        <f t="shared" ca="1" si="14"/>
        <v>0</v>
      </c>
      <c r="M99" s="73">
        <f t="shared" ca="1" si="14"/>
        <v>0</v>
      </c>
      <c r="N99" s="73">
        <f t="shared" ca="1" si="14"/>
        <v>0</v>
      </c>
      <c r="O99" s="73">
        <f t="shared" ca="1" si="14"/>
        <v>0</v>
      </c>
      <c r="P99" s="73">
        <f t="shared" ca="1" si="14"/>
        <v>0</v>
      </c>
      <c r="Q99" s="73">
        <f t="shared" ca="1" si="14"/>
        <v>0</v>
      </c>
      <c r="R99" s="73">
        <f t="shared" ca="1" si="14"/>
        <v>0</v>
      </c>
      <c r="S99" s="73">
        <f t="shared" ca="1" si="14"/>
        <v>0</v>
      </c>
      <c r="T99" s="73">
        <f t="shared" ca="1" si="14"/>
        <v>0</v>
      </c>
      <c r="U99" s="73">
        <f t="shared" ca="1" si="14"/>
        <v>0</v>
      </c>
      <c r="V99" s="73">
        <f t="shared" ca="1" si="14"/>
        <v>0</v>
      </c>
      <c r="W99" s="73">
        <f t="shared" ca="1" si="14"/>
        <v>0</v>
      </c>
      <c r="X99" s="73">
        <f t="shared" ca="1" si="14"/>
        <v>0</v>
      </c>
      <c r="Y99" s="73">
        <f t="shared" ca="1" si="14"/>
        <v>0</v>
      </c>
      <c r="Z99" s="73">
        <f t="shared" ca="1" si="14"/>
        <v>0</v>
      </c>
      <c r="AA99" s="73">
        <f t="shared" ca="1" si="14"/>
        <v>0</v>
      </c>
      <c r="AB99" s="73">
        <f t="shared" ca="1" si="14"/>
        <v>0</v>
      </c>
      <c r="AC99" s="73">
        <f t="shared" ca="1" si="14"/>
        <v>0</v>
      </c>
      <c r="AD99" s="73">
        <f t="shared" ca="1" si="14"/>
        <v>0</v>
      </c>
      <c r="AE99" s="73">
        <f t="shared" ca="1" si="14"/>
        <v>0</v>
      </c>
      <c r="AF99" s="73">
        <f t="shared" ca="1" si="14"/>
        <v>0</v>
      </c>
      <c r="AG99" s="73">
        <f t="shared" ca="1" si="14"/>
        <v>0</v>
      </c>
    </row>
    <row r="100" spans="1:33" x14ac:dyDescent="0.45">
      <c r="B100" s="36" t="s">
        <v>30</v>
      </c>
      <c r="C100" s="74">
        <f ca="1">IFERROR(SUM(SUMIFS(Costs[2021],Costs[[Sector_infrastructure]:[Sector_infrastructure]],"H2_pipe_available_capacity", Costs[[Cost_type]:[Cost_type]],$B100)+SUMIFS(Costs[2021],Costs[[Sector_infrastructure]:[Sector_infrastructure]],"H2_truck_used_capacity", Costs[[Cost_type]:[Cost_type]],$B100)+SUMIFS(Costs[2021],Costs[[Sector_infrastructure]:[Sector_infrastructure]],"H2_grid_used_capacity", Costs[[Cost_type]:[Cost_type]],$B100))/1000,"")</f>
        <v>0</v>
      </c>
      <c r="D100" s="74">
        <f ca="1">IFERROR(SUM(SUMIFS(Costs[2022],Costs[[Sector_infrastructure]:[Sector_infrastructure]],"H2_pipe_available_capacity", Costs[[Cost_type]:[Cost_type]],$B100)+SUMIFS(Costs[2022],Costs[[Sector_infrastructure]:[Sector_infrastructure]],"H2_truck_used_capacity", Costs[[Cost_type]:[Cost_type]],$B100)+SUMIFS(Costs[2022],Costs[[Sector_infrastructure]:[Sector_infrastructure]],"H2_grid_used_capacity", Costs[[Cost_type]:[Cost_type]],$B100))/1000,"")</f>
        <v>0</v>
      </c>
      <c r="E100" s="74">
        <f ca="1">IFERROR(SUM(SUMIFS(Costs[2023],Costs[[Sector_infrastructure]:[Sector_infrastructure]],"H2_pipe_available_capacity", Costs[[Cost_type]:[Cost_type]],$B100)+SUMIFS(Costs[2023],Costs[[Sector_infrastructure]:[Sector_infrastructure]],"H2_truck_used_capacity", Costs[[Cost_type]:[Cost_type]],$B100)+SUMIFS(Costs[2023],Costs[[Sector_infrastructure]:[Sector_infrastructure]],"H2_grid_used_capacity", Costs[[Cost_type]:[Cost_type]],$B100))/1000,"")</f>
        <v>0</v>
      </c>
      <c r="F100" s="74">
        <f ca="1">IFERROR(SUM(SUMIFS(Costs[2024],Costs[[Sector_infrastructure]:[Sector_infrastructure]],"H2_pipe_available_capacity", Costs[[Cost_type]:[Cost_type]],$B100)+SUMIFS(Costs[2024],Costs[[Sector_infrastructure]:[Sector_infrastructure]],"H2_truck_used_capacity", Costs[[Cost_type]:[Cost_type]],$B100)+SUMIFS(Costs[2024],Costs[[Sector_infrastructure]:[Sector_infrastructure]],"H2_grid_used_capacity", Costs[[Cost_type]:[Cost_type]],$B100))/1000,"")</f>
        <v>0</v>
      </c>
      <c r="G100" s="74">
        <f ca="1">IFERROR(SUM(SUMIFS(Costs[2025],Costs[[Sector_infrastructure]:[Sector_infrastructure]],"H2_pipe_available_capacity", Costs[[Cost_type]:[Cost_type]],$B100)+SUMIFS(Costs[2025],Costs[[Sector_infrastructure]:[Sector_infrastructure]],"H2_truck_used_capacity", Costs[[Cost_type]:[Cost_type]],$B100)+SUMIFS(Costs[2025],Costs[[Sector_infrastructure]:[Sector_infrastructure]],"H2_grid_used_capacity", Costs[[Cost_type]:[Cost_type]],$B100))/1000,"")</f>
        <v>0</v>
      </c>
      <c r="H100" s="74">
        <f ca="1">IFERROR(SUM(SUMIFS(Costs[2026],Costs[[Sector_infrastructure]:[Sector_infrastructure]],"H2_pipe_available_capacity", Costs[[Cost_type]:[Cost_type]],$B100)+SUMIFS(Costs[2026],Costs[[Sector_infrastructure]:[Sector_infrastructure]],"H2_truck_used_capacity", Costs[[Cost_type]:[Cost_type]],$B100)+SUMIFS(Costs[2026],Costs[[Sector_infrastructure]:[Sector_infrastructure]],"H2_grid_used_capacity", Costs[[Cost_type]:[Cost_type]],$B100))/1000,"")</f>
        <v>0</v>
      </c>
      <c r="I100" s="74">
        <f ca="1">IFERROR(SUM(SUMIFS(Costs[2027],Costs[[Sector_infrastructure]:[Sector_infrastructure]],"H2_pipe_available_capacity", Costs[[Cost_type]:[Cost_type]],$B100)+SUMIFS(Costs[2027],Costs[[Sector_infrastructure]:[Sector_infrastructure]],"H2_truck_used_capacity", Costs[[Cost_type]:[Cost_type]],$B100)+SUMIFS(Costs[2027],Costs[[Sector_infrastructure]:[Sector_infrastructure]],"H2_grid_used_capacity", Costs[[Cost_type]:[Cost_type]],$B100))/1000,"")</f>
        <v>0</v>
      </c>
      <c r="J100" s="74">
        <f ca="1">IFERROR(SUM(SUMIFS(Costs[2028],Costs[[Sector_infrastructure]:[Sector_infrastructure]],"H2_pipe_available_capacity", Costs[[Cost_type]:[Cost_type]],$B100)+SUMIFS(Costs[2028],Costs[[Sector_infrastructure]:[Sector_infrastructure]],"H2_truck_used_capacity", Costs[[Cost_type]:[Cost_type]],$B100)+SUMIFS(Costs[2028],Costs[[Sector_infrastructure]:[Sector_infrastructure]],"H2_grid_used_capacity", Costs[[Cost_type]:[Cost_type]],$B100))/1000,"")</f>
        <v>0</v>
      </c>
      <c r="K100" s="74">
        <f ca="1">IFERROR(SUM(SUMIFS(Costs[2029],Costs[[Sector_infrastructure]:[Sector_infrastructure]],"H2_pipe_available_capacity", Costs[[Cost_type]:[Cost_type]],$B100)+SUMIFS(Costs[2029],Costs[[Sector_infrastructure]:[Sector_infrastructure]],"H2_truck_used_capacity", Costs[[Cost_type]:[Cost_type]],$B100)+SUMIFS(Costs[2029],Costs[[Sector_infrastructure]:[Sector_infrastructure]],"H2_grid_used_capacity", Costs[[Cost_type]:[Cost_type]],$B100))/1000,"")</f>
        <v>0</v>
      </c>
      <c r="L100" s="74">
        <f ca="1">IFERROR(SUM(SUMIFS(Costs[2030],Costs[[Sector_infrastructure]:[Sector_infrastructure]],"H2_pipe_available_capacity", Costs[[Cost_type]:[Cost_type]],$B100)+SUMIFS(Costs[2030],Costs[[Sector_infrastructure]:[Sector_infrastructure]],"H2_truck_used_capacity", Costs[[Cost_type]:[Cost_type]],$B100)+SUMIFS(Costs[2030],Costs[[Sector_infrastructure]:[Sector_infrastructure]],"H2_grid_used_capacity", Costs[[Cost_type]:[Cost_type]],$B100))/1000,"")</f>
        <v>0</v>
      </c>
      <c r="M100" s="74">
        <f ca="1">IFERROR(SUM(SUMIFS(Costs[2031],Costs[[Sector_infrastructure]:[Sector_infrastructure]],"H2_pipe_available_capacity", Costs[[Cost_type]:[Cost_type]],$B100)+SUMIFS(Costs[2031],Costs[[Sector_infrastructure]:[Sector_infrastructure]],"H2_truck_used_capacity", Costs[[Cost_type]:[Cost_type]],$B100)+SUMIFS(Costs[2031],Costs[[Sector_infrastructure]:[Sector_infrastructure]],"H2_grid_used_capacity", Costs[[Cost_type]:[Cost_type]],$B100))/1000,"")</f>
        <v>0</v>
      </c>
      <c r="N100" s="74">
        <f ca="1">IFERROR(SUM(SUMIFS(Costs[2032],Costs[[Sector_infrastructure]:[Sector_infrastructure]],"H2_pipe_available_capacity", Costs[[Cost_type]:[Cost_type]],$B100)+SUMIFS(Costs[2032],Costs[[Sector_infrastructure]:[Sector_infrastructure]],"H2_truck_used_capacity", Costs[[Cost_type]:[Cost_type]],$B100)+SUMIFS(Costs[2032],Costs[[Sector_infrastructure]:[Sector_infrastructure]],"H2_grid_used_capacity", Costs[[Cost_type]:[Cost_type]],$B100))/1000,"")</f>
        <v>0</v>
      </c>
      <c r="O100" s="74">
        <f ca="1">IFERROR(SUM(SUMIFS(Costs[2033],Costs[[Sector_infrastructure]:[Sector_infrastructure]],"H2_pipe_available_capacity", Costs[[Cost_type]:[Cost_type]],$B100)+SUMIFS(Costs[2033],Costs[[Sector_infrastructure]:[Sector_infrastructure]],"H2_truck_used_capacity", Costs[[Cost_type]:[Cost_type]],$B100)+SUMIFS(Costs[2033],Costs[[Sector_infrastructure]:[Sector_infrastructure]],"H2_grid_used_capacity", Costs[[Cost_type]:[Cost_type]],$B100))/1000,"")</f>
        <v>0</v>
      </c>
      <c r="P100" s="74">
        <f ca="1">IFERROR(SUM(SUMIFS(Costs[2034],Costs[[Sector_infrastructure]:[Sector_infrastructure]],"H2_pipe_available_capacity", Costs[[Cost_type]:[Cost_type]],$B100)+SUMIFS(Costs[2034],Costs[[Sector_infrastructure]:[Sector_infrastructure]],"H2_truck_used_capacity", Costs[[Cost_type]:[Cost_type]],$B100)+SUMIFS(Costs[2034],Costs[[Sector_infrastructure]:[Sector_infrastructure]],"H2_grid_used_capacity", Costs[[Cost_type]:[Cost_type]],$B100))/1000,"")</f>
        <v>0</v>
      </c>
      <c r="Q100" s="74">
        <f ca="1">IFERROR(SUM(SUMIFS(Costs[2035],Costs[[Sector_infrastructure]:[Sector_infrastructure]],"H2_pipe_available_capacity", Costs[[Cost_type]:[Cost_type]],$B100)+SUMIFS(Costs[2035],Costs[[Sector_infrastructure]:[Sector_infrastructure]],"H2_truck_used_capacity", Costs[[Cost_type]:[Cost_type]],$B100)+SUMIFS(Costs[2035],Costs[[Sector_infrastructure]:[Sector_infrastructure]],"H2_grid_used_capacity", Costs[[Cost_type]:[Cost_type]],$B100))/1000,"")</f>
        <v>0</v>
      </c>
      <c r="R100" s="74">
        <f ca="1">IFERROR(SUM(SUMIFS(Costs[2036],Costs[[Sector_infrastructure]:[Sector_infrastructure]],"H2_pipe_available_capacity", Costs[[Cost_type]:[Cost_type]],$B100)+SUMIFS(Costs[2036],Costs[[Sector_infrastructure]:[Sector_infrastructure]],"H2_truck_used_capacity", Costs[[Cost_type]:[Cost_type]],$B100)+SUMIFS(Costs[2036],Costs[[Sector_infrastructure]:[Sector_infrastructure]],"H2_grid_used_capacity", Costs[[Cost_type]:[Cost_type]],$B100))/1000,"")</f>
        <v>0</v>
      </c>
      <c r="S100" s="74">
        <f ca="1">IFERROR(SUM(SUMIFS(Costs[2037],Costs[[Sector_infrastructure]:[Sector_infrastructure]],"H2_pipe_available_capacity", Costs[[Cost_type]:[Cost_type]],$B100)+SUMIFS(Costs[2037],Costs[[Sector_infrastructure]:[Sector_infrastructure]],"H2_truck_used_capacity", Costs[[Cost_type]:[Cost_type]],$B100)+SUMIFS(Costs[2037],Costs[[Sector_infrastructure]:[Sector_infrastructure]],"H2_grid_used_capacity", Costs[[Cost_type]:[Cost_type]],$B100))/1000,"")</f>
        <v>0</v>
      </c>
      <c r="T100" s="74">
        <f ca="1">IFERROR(SUM(SUMIFS(Costs[2038],Costs[[Sector_infrastructure]:[Sector_infrastructure]],"H2_pipe_available_capacity", Costs[[Cost_type]:[Cost_type]],$B100)+SUMIFS(Costs[2038],Costs[[Sector_infrastructure]:[Sector_infrastructure]],"H2_truck_used_capacity", Costs[[Cost_type]:[Cost_type]],$B100)+SUMIFS(Costs[2038],Costs[[Sector_infrastructure]:[Sector_infrastructure]],"H2_grid_used_capacity", Costs[[Cost_type]:[Cost_type]],$B100))/1000,"")</f>
        <v>0</v>
      </c>
      <c r="U100" s="74">
        <f ca="1">IFERROR(SUM(SUMIFS(Costs[2039],Costs[[Sector_infrastructure]:[Sector_infrastructure]],"H2_pipe_available_capacity", Costs[[Cost_type]:[Cost_type]],$B100)+SUMIFS(Costs[2039],Costs[[Sector_infrastructure]:[Sector_infrastructure]],"H2_truck_used_capacity", Costs[[Cost_type]:[Cost_type]],$B100)+SUMIFS(Costs[2039],Costs[[Sector_infrastructure]:[Sector_infrastructure]],"H2_grid_used_capacity", Costs[[Cost_type]:[Cost_type]],$B100))/1000,"")</f>
        <v>0</v>
      </c>
      <c r="V100" s="74">
        <f ca="1">IFERROR(SUM(SUMIFS(Costs[2040],Costs[[Sector_infrastructure]:[Sector_infrastructure]],"H2_pipe_available_capacity", Costs[[Cost_type]:[Cost_type]],$B100)+SUMIFS(Costs[2040],Costs[[Sector_infrastructure]:[Sector_infrastructure]],"H2_truck_used_capacity", Costs[[Cost_type]:[Cost_type]],$B100)+SUMIFS(Costs[2040],Costs[[Sector_infrastructure]:[Sector_infrastructure]],"H2_grid_used_capacity", Costs[[Cost_type]:[Cost_type]],$B100))/1000,"")</f>
        <v>0</v>
      </c>
      <c r="W100" s="74">
        <f ca="1">IFERROR(SUM(SUMIFS(Costs[2041],Costs[[Sector_infrastructure]:[Sector_infrastructure]],"H2_pipe_available_capacity", Costs[[Cost_type]:[Cost_type]],$B100)+SUMIFS(Costs[2041],Costs[[Sector_infrastructure]:[Sector_infrastructure]],"H2_truck_used_capacity", Costs[[Cost_type]:[Cost_type]],$B100)+SUMIFS(Costs[2041],Costs[[Sector_infrastructure]:[Sector_infrastructure]],"H2_grid_used_capacity", Costs[[Cost_type]:[Cost_type]],$B100))/1000,"")</f>
        <v>0</v>
      </c>
      <c r="X100" s="74">
        <f ca="1">IFERROR(SUM(SUMIFS(Costs[2042],Costs[[Sector_infrastructure]:[Sector_infrastructure]],"H2_pipe_available_capacity", Costs[[Cost_type]:[Cost_type]],$B100)+SUMIFS(Costs[2042],Costs[[Sector_infrastructure]:[Sector_infrastructure]],"H2_truck_used_capacity", Costs[[Cost_type]:[Cost_type]],$B100)+SUMIFS(Costs[2042],Costs[[Sector_infrastructure]:[Sector_infrastructure]],"H2_grid_used_capacity", Costs[[Cost_type]:[Cost_type]],$B100))/1000,"")</f>
        <v>0</v>
      </c>
      <c r="Y100" s="74">
        <f ca="1">IFERROR(SUM(SUMIFS(Costs[2043],Costs[[Sector_infrastructure]:[Sector_infrastructure]],"H2_pipe_available_capacity", Costs[[Cost_type]:[Cost_type]],$B100)+SUMIFS(Costs[2043],Costs[[Sector_infrastructure]:[Sector_infrastructure]],"H2_truck_used_capacity", Costs[[Cost_type]:[Cost_type]],$B100)+SUMIFS(Costs[2043],Costs[[Sector_infrastructure]:[Sector_infrastructure]],"H2_grid_used_capacity", Costs[[Cost_type]:[Cost_type]],$B100))/1000,"")</f>
        <v>0</v>
      </c>
      <c r="Z100" s="74">
        <f ca="1">IFERROR(SUM(SUMIFS(Costs[2044],Costs[[Sector_infrastructure]:[Sector_infrastructure]],"H2_pipe_available_capacity", Costs[[Cost_type]:[Cost_type]],$B100)+SUMIFS(Costs[2044],Costs[[Sector_infrastructure]:[Sector_infrastructure]],"H2_truck_used_capacity", Costs[[Cost_type]:[Cost_type]],$B100)+SUMIFS(Costs[2044],Costs[[Sector_infrastructure]:[Sector_infrastructure]],"H2_grid_used_capacity", Costs[[Cost_type]:[Cost_type]],$B100))/1000,"")</f>
        <v>0</v>
      </c>
      <c r="AA100" s="74">
        <f ca="1">IFERROR(SUM(SUMIFS(Costs[2045],Costs[[Sector_infrastructure]:[Sector_infrastructure]],"H2_pipe_available_capacity", Costs[[Cost_type]:[Cost_type]],$B100)+SUMIFS(Costs[2045],Costs[[Sector_infrastructure]:[Sector_infrastructure]],"H2_truck_used_capacity", Costs[[Cost_type]:[Cost_type]],$B100)+SUMIFS(Costs[2045],Costs[[Sector_infrastructure]:[Sector_infrastructure]],"H2_grid_used_capacity", Costs[[Cost_type]:[Cost_type]],$B100))/1000,"")</f>
        <v>0</v>
      </c>
      <c r="AB100" s="74">
        <f ca="1">IFERROR(SUM(SUMIFS(Costs[2046],Costs[[Sector_infrastructure]:[Sector_infrastructure]],"H2_pipe_available_capacity", Costs[[Cost_type]:[Cost_type]],$B100)+SUMIFS(Costs[2046],Costs[[Sector_infrastructure]:[Sector_infrastructure]],"H2_truck_used_capacity", Costs[[Cost_type]:[Cost_type]],$B100)+SUMIFS(Costs[2046],Costs[[Sector_infrastructure]:[Sector_infrastructure]],"H2_grid_used_capacity", Costs[[Cost_type]:[Cost_type]],$B100))/1000,"")</f>
        <v>0</v>
      </c>
      <c r="AC100" s="74">
        <f ca="1">IFERROR(SUM(SUMIFS(Costs[2047],Costs[[Sector_infrastructure]:[Sector_infrastructure]],"H2_pipe_available_capacity", Costs[[Cost_type]:[Cost_type]],$B100)+SUMIFS(Costs[2047],Costs[[Sector_infrastructure]:[Sector_infrastructure]],"H2_truck_used_capacity", Costs[[Cost_type]:[Cost_type]],$B100)+SUMIFS(Costs[2047],Costs[[Sector_infrastructure]:[Sector_infrastructure]],"H2_grid_used_capacity", Costs[[Cost_type]:[Cost_type]],$B100))/1000,"")</f>
        <v>0</v>
      </c>
      <c r="AD100" s="74">
        <f ca="1">IFERROR(SUM(SUMIFS(Costs[2048],Costs[[Sector_infrastructure]:[Sector_infrastructure]],"H2_pipe_available_capacity", Costs[[Cost_type]:[Cost_type]],$B100)+SUMIFS(Costs[2048],Costs[[Sector_infrastructure]:[Sector_infrastructure]],"H2_truck_used_capacity", Costs[[Cost_type]:[Cost_type]],$B100)+SUMIFS(Costs[2048],Costs[[Sector_infrastructure]:[Sector_infrastructure]],"H2_grid_used_capacity", Costs[[Cost_type]:[Cost_type]],$B100))/1000,"")</f>
        <v>0</v>
      </c>
      <c r="AE100" s="74">
        <f ca="1">IFERROR(SUM(SUMIFS(Costs[2049],Costs[[Sector_infrastructure]:[Sector_infrastructure]],"H2_pipe_available_capacity", Costs[[Cost_type]:[Cost_type]],$B100)+SUMIFS(Costs[2049],Costs[[Sector_infrastructure]:[Sector_infrastructure]],"H2_truck_used_capacity", Costs[[Cost_type]:[Cost_type]],$B100)+SUMIFS(Costs[2049],Costs[[Sector_infrastructure]:[Sector_infrastructure]],"H2_grid_used_capacity", Costs[[Cost_type]:[Cost_type]],$B100))/1000,"")</f>
        <v>0</v>
      </c>
      <c r="AF100" s="74">
        <f ca="1">IFERROR(SUM(SUMIFS(Costs[2050],Costs[[Sector_infrastructure]:[Sector_infrastructure]],"H2_pipe_available_capacity", Costs[[Cost_type]:[Cost_type]],$B100)+SUMIFS(Costs[2050],Costs[[Sector_infrastructure]:[Sector_infrastructure]],"H2_truck_used_capacity", Costs[[Cost_type]:[Cost_type]],$B100)+SUMIFS(Costs[2050],Costs[[Sector_infrastructure]:[Sector_infrastructure]],"H2_grid_used_capacity", Costs[[Cost_type]:[Cost_type]],$B100))/1000,"")</f>
        <v>0</v>
      </c>
      <c r="AG100" s="74">
        <f ca="1">IFERROR(SUM(SUMIFS(Costs[2051],Costs[[Sector_infrastructure]:[Sector_infrastructure]],"H2_pipe_available_capacity", Costs[[Cost_type]:[Cost_type]],$B100)+SUMIFS(Costs[2051],Costs[[Sector_infrastructure]:[Sector_infrastructure]],"H2_truck_used_capacity", Costs[[Cost_type]:[Cost_type]],$B100)+SUMIFS(Costs[2051],Costs[[Sector_infrastructure]:[Sector_infrastructure]],"H2_grid_used_capacity", Costs[[Cost_type]:[Cost_type]],$B100))/1000,"")</f>
        <v>0</v>
      </c>
    </row>
    <row r="101" spans="1:33" x14ac:dyDescent="0.45">
      <c r="B101" s="36" t="s">
        <v>31</v>
      </c>
      <c r="C101" s="74">
        <f ca="1">IFERROR(SUMIFS(Costs[2021],Costs[[Sector_infrastructure]:[Sector_infrastructure]],"H2_S2C", Costs[[Cost_type]:[Cost_type]],$B101)/1000,"")</f>
        <v>0</v>
      </c>
      <c r="D101" s="74">
        <f ca="1">IFERROR(SUMIFS(Costs[2022],Costs[[Sector_infrastructure]:[Sector_infrastructure]],"H2_S2C", Costs[[Cost_type]:[Cost_type]],$B101)/1000,"")</f>
        <v>0</v>
      </c>
      <c r="E101" s="74">
        <f ca="1">IFERROR(SUMIFS(Costs[2023],Costs[[Sector_infrastructure]:[Sector_infrastructure]],"H2_S2C", Costs[[Cost_type]:[Cost_type]],$B101)/1000,"")</f>
        <v>0</v>
      </c>
      <c r="F101" s="74">
        <f ca="1">IFERROR(SUMIFS(Costs[2024],Costs[[Sector_infrastructure]:[Sector_infrastructure]],"H2_S2C", Costs[[Cost_type]:[Cost_type]],$B101)/1000,"")</f>
        <v>0</v>
      </c>
      <c r="G101" s="74">
        <f ca="1">IFERROR(SUMIFS(Costs[2025],Costs[[Sector_infrastructure]:[Sector_infrastructure]],"H2_S2C", Costs[[Cost_type]:[Cost_type]],$B101)/1000,"")</f>
        <v>0</v>
      </c>
      <c r="H101" s="74">
        <f ca="1">IFERROR(SUMIFS(Costs[2026],Costs[[Sector_infrastructure]:[Sector_infrastructure]],"H2_S2C", Costs[[Cost_type]:[Cost_type]],$B101)/1000,"")</f>
        <v>0</v>
      </c>
      <c r="I101" s="74">
        <f ca="1">IFERROR(SUMIFS(Costs[2027],Costs[[Sector_infrastructure]:[Sector_infrastructure]],"H2_S2C", Costs[[Cost_type]:[Cost_type]],$B101)/1000,"")</f>
        <v>0</v>
      </c>
      <c r="J101" s="74">
        <f ca="1">IFERROR(SUMIFS(Costs[2028],Costs[[Sector_infrastructure]:[Sector_infrastructure]],"H2_S2C", Costs[[Cost_type]:[Cost_type]],$B101)/1000,"")</f>
        <v>0</v>
      </c>
      <c r="K101" s="74">
        <f ca="1">IFERROR(SUMIFS(Costs[2029],Costs[[Sector_infrastructure]:[Sector_infrastructure]],"H2_S2C", Costs[[Cost_type]:[Cost_type]],$B101)/1000,"")</f>
        <v>0</v>
      </c>
      <c r="L101" s="74">
        <f ca="1">IFERROR(SUMIFS(Costs[2030],Costs[[Sector_infrastructure]:[Sector_infrastructure]],"H2_S2C", Costs[[Cost_type]:[Cost_type]],$B101)/1000,"")</f>
        <v>0</v>
      </c>
      <c r="M101" s="74">
        <f ca="1">IFERROR(SUMIFS(Costs[2031],Costs[[Sector_infrastructure]:[Sector_infrastructure]],"H2_S2C", Costs[[Cost_type]:[Cost_type]],$B101)/1000,"")</f>
        <v>0</v>
      </c>
      <c r="N101" s="74">
        <f ca="1">IFERROR(SUMIFS(Costs[2032],Costs[[Sector_infrastructure]:[Sector_infrastructure]],"H2_S2C", Costs[[Cost_type]:[Cost_type]],$B101)/1000,"")</f>
        <v>0</v>
      </c>
      <c r="O101" s="74">
        <f ca="1">IFERROR(SUMIFS(Costs[2033],Costs[[Sector_infrastructure]:[Sector_infrastructure]],"H2_S2C", Costs[[Cost_type]:[Cost_type]],$B101)/1000,"")</f>
        <v>0</v>
      </c>
      <c r="P101" s="74">
        <f ca="1">IFERROR(SUMIFS(Costs[2034],Costs[[Sector_infrastructure]:[Sector_infrastructure]],"H2_S2C", Costs[[Cost_type]:[Cost_type]],$B101)/1000,"")</f>
        <v>0</v>
      </c>
      <c r="Q101" s="74">
        <f ca="1">IFERROR(SUMIFS(Costs[2035],Costs[[Sector_infrastructure]:[Sector_infrastructure]],"H2_S2C", Costs[[Cost_type]:[Cost_type]],$B101)/1000,"")</f>
        <v>0</v>
      </c>
      <c r="R101" s="74">
        <f ca="1">IFERROR(SUMIFS(Costs[2036],Costs[[Sector_infrastructure]:[Sector_infrastructure]],"H2_S2C", Costs[[Cost_type]:[Cost_type]],$B101)/1000,"")</f>
        <v>0</v>
      </c>
      <c r="S101" s="74">
        <f ca="1">IFERROR(SUMIFS(Costs[2037],Costs[[Sector_infrastructure]:[Sector_infrastructure]],"H2_S2C", Costs[[Cost_type]:[Cost_type]],$B101)/1000,"")</f>
        <v>0</v>
      </c>
      <c r="T101" s="74">
        <f ca="1">IFERROR(SUMIFS(Costs[2038],Costs[[Sector_infrastructure]:[Sector_infrastructure]],"H2_S2C", Costs[[Cost_type]:[Cost_type]],$B101)/1000,"")</f>
        <v>0</v>
      </c>
      <c r="U101" s="74">
        <f ca="1">IFERROR(SUMIFS(Costs[2039],Costs[[Sector_infrastructure]:[Sector_infrastructure]],"H2_S2C", Costs[[Cost_type]:[Cost_type]],$B101)/1000,"")</f>
        <v>0</v>
      </c>
      <c r="V101" s="74">
        <f ca="1">IFERROR(SUMIFS(Costs[2040],Costs[[Sector_infrastructure]:[Sector_infrastructure]],"H2_S2C", Costs[[Cost_type]:[Cost_type]],$B101)/1000,"")</f>
        <v>0</v>
      </c>
      <c r="W101" s="74">
        <f ca="1">IFERROR(SUMIFS(Costs[2041],Costs[[Sector_infrastructure]:[Sector_infrastructure]],"H2_S2C", Costs[[Cost_type]:[Cost_type]],$B101)/1000,"")</f>
        <v>0</v>
      </c>
      <c r="X101" s="74">
        <f ca="1">IFERROR(SUMIFS(Costs[2042],Costs[[Sector_infrastructure]:[Sector_infrastructure]],"H2_S2C", Costs[[Cost_type]:[Cost_type]],$B101)/1000,"")</f>
        <v>0</v>
      </c>
      <c r="Y101" s="74">
        <f ca="1">IFERROR(SUMIFS(Costs[2043],Costs[[Sector_infrastructure]:[Sector_infrastructure]],"H2_S2C", Costs[[Cost_type]:[Cost_type]],$B101)/1000,"")</f>
        <v>0</v>
      </c>
      <c r="Z101" s="74">
        <f ca="1">IFERROR(SUMIFS(Costs[2044],Costs[[Sector_infrastructure]:[Sector_infrastructure]],"H2_S2C", Costs[[Cost_type]:[Cost_type]],$B101)/1000,"")</f>
        <v>0</v>
      </c>
      <c r="AA101" s="74">
        <f ca="1">IFERROR(SUMIFS(Costs[2045],Costs[[Sector_infrastructure]:[Sector_infrastructure]],"H2_S2C", Costs[[Cost_type]:[Cost_type]],$B101)/1000,"")</f>
        <v>0</v>
      </c>
      <c r="AB101" s="74">
        <f ca="1">IFERROR(SUMIFS(Costs[2046],Costs[[Sector_infrastructure]:[Sector_infrastructure]],"H2_S2C", Costs[[Cost_type]:[Cost_type]],$B101)/1000,"")</f>
        <v>0</v>
      </c>
      <c r="AC101" s="74">
        <f ca="1">IFERROR(SUMIFS(Costs[2047],Costs[[Sector_infrastructure]:[Sector_infrastructure]],"H2_S2C", Costs[[Cost_type]:[Cost_type]],$B101)/1000,"")</f>
        <v>0</v>
      </c>
      <c r="AD101" s="74">
        <f ca="1">IFERROR(SUMIFS(Costs[2048],Costs[[Sector_infrastructure]:[Sector_infrastructure]],"H2_S2C", Costs[[Cost_type]:[Cost_type]],$B101)/1000,"")</f>
        <v>0</v>
      </c>
      <c r="AE101" s="74">
        <f ca="1">IFERROR(SUMIFS(Costs[2049],Costs[[Sector_infrastructure]:[Sector_infrastructure]],"H2_S2C", Costs[[Cost_type]:[Cost_type]],$B101)/1000,"")</f>
        <v>0</v>
      </c>
      <c r="AF101" s="74">
        <f ca="1">IFERROR(SUMIFS(Costs[2050],Costs[[Sector_infrastructure]:[Sector_infrastructure]],"H2_S2C", Costs[[Cost_type]:[Cost_type]],$B101)/1000,"")</f>
        <v>0</v>
      </c>
      <c r="AG101" s="74">
        <f ca="1">IFERROR(SUMIFS(Costs[2051],Costs[[Sector_infrastructure]:[Sector_infrastructure]],"H2_S2C", Costs[[Cost_type]:[Cost_type]],$B101)/1000,"")</f>
        <v>0</v>
      </c>
    </row>
    <row r="102" spans="1:33" x14ac:dyDescent="0.45">
      <c r="B102" s="38" t="s">
        <v>277</v>
      </c>
      <c r="C102" s="73">
        <f ca="1">IFERROR(C103+C104,"")</f>
        <v>0</v>
      </c>
      <c r="D102" s="73">
        <f t="shared" ref="D102:AG102" ca="1" si="15">IFERROR(D103+D104,"")</f>
        <v>0</v>
      </c>
      <c r="E102" s="73">
        <f t="shared" ca="1" si="15"/>
        <v>0</v>
      </c>
      <c r="F102" s="73">
        <f t="shared" ca="1" si="15"/>
        <v>0</v>
      </c>
      <c r="G102" s="73">
        <f t="shared" ca="1" si="15"/>
        <v>0</v>
      </c>
      <c r="H102" s="73">
        <f t="shared" ca="1" si="15"/>
        <v>0</v>
      </c>
      <c r="I102" s="73">
        <f t="shared" ca="1" si="15"/>
        <v>0</v>
      </c>
      <c r="J102" s="73">
        <f t="shared" ca="1" si="15"/>
        <v>0</v>
      </c>
      <c r="K102" s="73">
        <f t="shared" ca="1" si="15"/>
        <v>0</v>
      </c>
      <c r="L102" s="73">
        <f t="shared" ca="1" si="15"/>
        <v>0</v>
      </c>
      <c r="M102" s="73">
        <f t="shared" ca="1" si="15"/>
        <v>0</v>
      </c>
      <c r="N102" s="73">
        <f t="shared" ca="1" si="15"/>
        <v>0</v>
      </c>
      <c r="O102" s="73">
        <f t="shared" ca="1" si="15"/>
        <v>0</v>
      </c>
      <c r="P102" s="73">
        <f t="shared" ca="1" si="15"/>
        <v>0</v>
      </c>
      <c r="Q102" s="73">
        <f t="shared" ca="1" si="15"/>
        <v>0</v>
      </c>
      <c r="R102" s="73">
        <f t="shared" ca="1" si="15"/>
        <v>0</v>
      </c>
      <c r="S102" s="73">
        <f t="shared" ca="1" si="15"/>
        <v>0</v>
      </c>
      <c r="T102" s="73">
        <f t="shared" ca="1" si="15"/>
        <v>0</v>
      </c>
      <c r="U102" s="73">
        <f t="shared" ca="1" si="15"/>
        <v>0</v>
      </c>
      <c r="V102" s="73">
        <f t="shared" ca="1" si="15"/>
        <v>0</v>
      </c>
      <c r="W102" s="73">
        <f t="shared" ca="1" si="15"/>
        <v>0</v>
      </c>
      <c r="X102" s="73">
        <f t="shared" ca="1" si="15"/>
        <v>0</v>
      </c>
      <c r="Y102" s="73">
        <f t="shared" ca="1" si="15"/>
        <v>0</v>
      </c>
      <c r="Z102" s="73">
        <f t="shared" ca="1" si="15"/>
        <v>0</v>
      </c>
      <c r="AA102" s="73">
        <f t="shared" ca="1" si="15"/>
        <v>0</v>
      </c>
      <c r="AB102" s="73">
        <f t="shared" ca="1" si="15"/>
        <v>0</v>
      </c>
      <c r="AC102" s="73">
        <f t="shared" ca="1" si="15"/>
        <v>0</v>
      </c>
      <c r="AD102" s="73">
        <f t="shared" ca="1" si="15"/>
        <v>0</v>
      </c>
      <c r="AE102" s="73">
        <f t="shared" ca="1" si="15"/>
        <v>0</v>
      </c>
      <c r="AF102" s="73">
        <f t="shared" ca="1" si="15"/>
        <v>0</v>
      </c>
      <c r="AG102" s="73">
        <f t="shared" ca="1" si="15"/>
        <v>0</v>
      </c>
    </row>
    <row r="103" spans="1:33" x14ac:dyDescent="0.45">
      <c r="B103" s="36" t="s">
        <v>30</v>
      </c>
      <c r="C103" s="74">
        <f ca="1">IFERROR(SUMIFS(Costs[2021],Costs[[Sector_infrastructure]:[Sector_infrastructure]],"CO2_pipe_new_capacity", Costs[[Cost_type]:[Cost_type]],$B103)/1000,"")</f>
        <v>0</v>
      </c>
      <c r="D103" s="74">
        <f ca="1">IFERROR(SUMIFS(Costs[2022],Costs[[Sector_infrastructure]:[Sector_infrastructure]],"CO2_pipe_new_capacity", Costs[[Cost_type]:[Cost_type]],$B103)/1000,"")</f>
        <v>0</v>
      </c>
      <c r="E103" s="74">
        <f ca="1">IFERROR(SUMIFS(Costs[2023],Costs[[Sector_infrastructure]:[Sector_infrastructure]],"CO2_pipe_new_capacity", Costs[[Cost_type]:[Cost_type]],$B103)/1000,"")</f>
        <v>0</v>
      </c>
      <c r="F103" s="74">
        <f ca="1">IFERROR(SUMIFS(Costs[2024],Costs[[Sector_infrastructure]:[Sector_infrastructure]],"CO2_pipe_new_capacity", Costs[[Cost_type]:[Cost_type]],$B103)/1000,"")</f>
        <v>0</v>
      </c>
      <c r="G103" s="74">
        <f ca="1">IFERROR(SUMIFS(Costs[2025],Costs[[Sector_infrastructure]:[Sector_infrastructure]],"CO2_pipe_new_capacity", Costs[[Cost_type]:[Cost_type]],$B103)/1000,"")</f>
        <v>0</v>
      </c>
      <c r="H103" s="74">
        <f ca="1">IFERROR(SUMIFS(Costs[2026],Costs[[Sector_infrastructure]:[Sector_infrastructure]],"CO2_pipe_new_capacity", Costs[[Cost_type]:[Cost_type]],$B103)/1000,"")</f>
        <v>0</v>
      </c>
      <c r="I103" s="74">
        <f ca="1">IFERROR(SUMIFS(Costs[2027],Costs[[Sector_infrastructure]:[Sector_infrastructure]],"CO2_pipe_new_capacity", Costs[[Cost_type]:[Cost_type]],$B103)/1000,"")</f>
        <v>0</v>
      </c>
      <c r="J103" s="74">
        <f ca="1">IFERROR(SUMIFS(Costs[2028],Costs[[Sector_infrastructure]:[Sector_infrastructure]],"CO2_pipe_new_capacity", Costs[[Cost_type]:[Cost_type]],$B103)/1000,"")</f>
        <v>0</v>
      </c>
      <c r="K103" s="74">
        <f ca="1">IFERROR(SUMIFS(Costs[2029],Costs[[Sector_infrastructure]:[Sector_infrastructure]],"CO2_pipe_new_capacity", Costs[[Cost_type]:[Cost_type]],$B103)/1000,"")</f>
        <v>0</v>
      </c>
      <c r="L103" s="74">
        <f ca="1">IFERROR(SUMIFS(Costs[2030],Costs[[Sector_infrastructure]:[Sector_infrastructure]],"CO2_pipe_new_capacity", Costs[[Cost_type]:[Cost_type]],$B103)/1000,"")</f>
        <v>0</v>
      </c>
      <c r="M103" s="74">
        <f ca="1">IFERROR(SUMIFS(Costs[2031],Costs[[Sector_infrastructure]:[Sector_infrastructure]],"CO2_pipe_new_capacity", Costs[[Cost_type]:[Cost_type]],$B103)/1000,"")</f>
        <v>0</v>
      </c>
      <c r="N103" s="74">
        <f ca="1">IFERROR(SUMIFS(Costs[2032],Costs[[Sector_infrastructure]:[Sector_infrastructure]],"CO2_pipe_new_capacity", Costs[[Cost_type]:[Cost_type]],$B103)/1000,"")</f>
        <v>0</v>
      </c>
      <c r="O103" s="74">
        <f ca="1">IFERROR(SUMIFS(Costs[2033],Costs[[Sector_infrastructure]:[Sector_infrastructure]],"CO2_pipe_new_capacity", Costs[[Cost_type]:[Cost_type]],$B103)/1000,"")</f>
        <v>0</v>
      </c>
      <c r="P103" s="74">
        <f ca="1">IFERROR(SUMIFS(Costs[2034],Costs[[Sector_infrastructure]:[Sector_infrastructure]],"CO2_pipe_new_capacity", Costs[[Cost_type]:[Cost_type]],$B103)/1000,"")</f>
        <v>0</v>
      </c>
      <c r="Q103" s="74">
        <f ca="1">IFERROR(SUMIFS(Costs[2035],Costs[[Sector_infrastructure]:[Sector_infrastructure]],"CO2_pipe_new_capacity", Costs[[Cost_type]:[Cost_type]],$B103)/1000,"")</f>
        <v>0</v>
      </c>
      <c r="R103" s="74">
        <f ca="1">IFERROR(SUMIFS(Costs[2036],Costs[[Sector_infrastructure]:[Sector_infrastructure]],"CO2_pipe_new_capacity", Costs[[Cost_type]:[Cost_type]],$B103)/1000,"")</f>
        <v>0</v>
      </c>
      <c r="S103" s="74">
        <f ca="1">IFERROR(SUMIFS(Costs[2037],Costs[[Sector_infrastructure]:[Sector_infrastructure]],"CO2_pipe_new_capacity", Costs[[Cost_type]:[Cost_type]],$B103)/1000,"")</f>
        <v>0</v>
      </c>
      <c r="T103" s="74">
        <f ca="1">IFERROR(SUMIFS(Costs[2038],Costs[[Sector_infrastructure]:[Sector_infrastructure]],"CO2_pipe_new_capacity", Costs[[Cost_type]:[Cost_type]],$B103)/1000,"")</f>
        <v>0</v>
      </c>
      <c r="U103" s="74">
        <f ca="1">IFERROR(SUMIFS(Costs[2039],Costs[[Sector_infrastructure]:[Sector_infrastructure]],"CO2_pipe_new_capacity", Costs[[Cost_type]:[Cost_type]],$B103)/1000,"")</f>
        <v>0</v>
      </c>
      <c r="V103" s="74">
        <f ca="1">IFERROR(SUMIFS(Costs[2040],Costs[[Sector_infrastructure]:[Sector_infrastructure]],"CO2_pipe_new_capacity", Costs[[Cost_type]:[Cost_type]],$B103)/1000,"")</f>
        <v>0</v>
      </c>
      <c r="W103" s="74">
        <f ca="1">IFERROR(SUMIFS(Costs[2041],Costs[[Sector_infrastructure]:[Sector_infrastructure]],"CO2_pipe_new_capacity", Costs[[Cost_type]:[Cost_type]],$B103)/1000,"")</f>
        <v>0</v>
      </c>
      <c r="X103" s="74">
        <f ca="1">IFERROR(SUMIFS(Costs[2042],Costs[[Sector_infrastructure]:[Sector_infrastructure]],"CO2_pipe_new_capacity", Costs[[Cost_type]:[Cost_type]],$B103)/1000,"")</f>
        <v>0</v>
      </c>
      <c r="Y103" s="74">
        <f ca="1">IFERROR(SUMIFS(Costs[2043],Costs[[Sector_infrastructure]:[Sector_infrastructure]],"CO2_pipe_new_capacity", Costs[[Cost_type]:[Cost_type]],$B103)/1000,"")</f>
        <v>0</v>
      </c>
      <c r="Z103" s="74">
        <f ca="1">IFERROR(SUMIFS(Costs[2044],Costs[[Sector_infrastructure]:[Sector_infrastructure]],"CO2_pipe_new_capacity", Costs[[Cost_type]:[Cost_type]],$B103)/1000,"")</f>
        <v>0</v>
      </c>
      <c r="AA103" s="74">
        <f ca="1">IFERROR(SUMIFS(Costs[2045],Costs[[Sector_infrastructure]:[Sector_infrastructure]],"CO2_pipe_new_capacity", Costs[[Cost_type]:[Cost_type]],$B103)/1000,"")</f>
        <v>0</v>
      </c>
      <c r="AB103" s="74">
        <f ca="1">IFERROR(SUMIFS(Costs[2046],Costs[[Sector_infrastructure]:[Sector_infrastructure]],"CO2_pipe_new_capacity", Costs[[Cost_type]:[Cost_type]],$B103)/1000,"")</f>
        <v>0</v>
      </c>
      <c r="AC103" s="74">
        <f ca="1">IFERROR(SUMIFS(Costs[2047],Costs[[Sector_infrastructure]:[Sector_infrastructure]],"CO2_pipe_new_capacity", Costs[[Cost_type]:[Cost_type]],$B103)/1000,"")</f>
        <v>0</v>
      </c>
      <c r="AD103" s="74">
        <f ca="1">IFERROR(SUMIFS(Costs[2048],Costs[[Sector_infrastructure]:[Sector_infrastructure]],"CO2_pipe_new_capacity", Costs[[Cost_type]:[Cost_type]],$B103)/1000,"")</f>
        <v>0</v>
      </c>
      <c r="AE103" s="74">
        <f ca="1">IFERROR(SUMIFS(Costs[2049],Costs[[Sector_infrastructure]:[Sector_infrastructure]],"CO2_pipe_new_capacity", Costs[[Cost_type]:[Cost_type]],$B103)/1000,"")</f>
        <v>0</v>
      </c>
      <c r="AF103" s="74">
        <f ca="1">IFERROR(SUMIFS(Costs[2050],Costs[[Sector_infrastructure]:[Sector_infrastructure]],"CO2_pipe_new_capacity", Costs[[Cost_type]:[Cost_type]],$B103)/1000,"")</f>
        <v>0</v>
      </c>
      <c r="AG103" s="74">
        <f ca="1">IFERROR(SUMIFS(Costs[2051],Costs[[Sector_infrastructure]:[Sector_infrastructure]],"CO2_pipe_new_capacity", Costs[[Cost_type]:[Cost_type]],$B103)/1000,"")</f>
        <v>0</v>
      </c>
    </row>
    <row r="104" spans="1:33" x14ac:dyDescent="0.45">
      <c r="B104" s="36" t="s">
        <v>31</v>
      </c>
      <c r="C104" s="74">
        <f ca="1">IFERROR(SUM(SUMIFS(Costs[2021],Costs[[Sector_infrastructure]:[Sector_infrastructure]],"CO2_pipe_available_capacity", Costs[[Cost_type]:[Cost_type]],$B104)+SUMIFS(Costs[2021],Costs[[Sector_infrastructure]:[Sector_infrastructure]],"CO2_truck_used_capacity", Costs[[Cost_type]:[Cost_type]],$B104))/1000,"")</f>
        <v>0</v>
      </c>
      <c r="D104" s="74">
        <f ca="1">IFERROR(SUM(SUMIFS(Costs[2022],Costs[[Sector_infrastructure]:[Sector_infrastructure]],"CO2_pipe_available_capacity", Costs[[Cost_type]:[Cost_type]],$B104)+SUMIFS(Costs[2022],Costs[[Sector_infrastructure]:[Sector_infrastructure]],"CO2_truck_used_capacity", Costs[[Cost_type]:[Cost_type]],$B104))/1000,"")</f>
        <v>0</v>
      </c>
      <c r="E104" s="74">
        <f ca="1">IFERROR(SUM(SUMIFS(Costs[2023],Costs[[Sector_infrastructure]:[Sector_infrastructure]],"CO2_pipe_available_capacity", Costs[[Cost_type]:[Cost_type]],$B104)+SUMIFS(Costs[2023],Costs[[Sector_infrastructure]:[Sector_infrastructure]],"CO2_truck_used_capacity", Costs[[Cost_type]:[Cost_type]],$B104))/1000,"")</f>
        <v>0</v>
      </c>
      <c r="F104" s="74">
        <f ca="1">IFERROR(SUM(SUMIFS(Costs[2024],Costs[[Sector_infrastructure]:[Sector_infrastructure]],"CO2_pipe_available_capacity", Costs[[Cost_type]:[Cost_type]],$B104)+SUMIFS(Costs[2024],Costs[[Sector_infrastructure]:[Sector_infrastructure]],"CO2_truck_used_capacity", Costs[[Cost_type]:[Cost_type]],$B104))/1000,"")</f>
        <v>0</v>
      </c>
      <c r="G104" s="74">
        <f ca="1">IFERROR(SUM(SUMIFS(Costs[2025],Costs[[Sector_infrastructure]:[Sector_infrastructure]],"CO2_pipe_available_capacity", Costs[[Cost_type]:[Cost_type]],$B104)+SUMIFS(Costs[2025],Costs[[Sector_infrastructure]:[Sector_infrastructure]],"CO2_truck_used_capacity", Costs[[Cost_type]:[Cost_type]],$B104))/1000,"")</f>
        <v>0</v>
      </c>
      <c r="H104" s="74">
        <f ca="1">IFERROR(SUM(SUMIFS(Costs[2026],Costs[[Sector_infrastructure]:[Sector_infrastructure]],"CO2_pipe_available_capacity", Costs[[Cost_type]:[Cost_type]],$B104)+SUMIFS(Costs[2026],Costs[[Sector_infrastructure]:[Sector_infrastructure]],"CO2_truck_used_capacity", Costs[[Cost_type]:[Cost_type]],$B104))/1000,"")</f>
        <v>0</v>
      </c>
      <c r="I104" s="74">
        <f ca="1">IFERROR(SUM(SUMIFS(Costs[2027],Costs[[Sector_infrastructure]:[Sector_infrastructure]],"CO2_pipe_available_capacity", Costs[[Cost_type]:[Cost_type]],$B104)+SUMIFS(Costs[2027],Costs[[Sector_infrastructure]:[Sector_infrastructure]],"CO2_truck_used_capacity", Costs[[Cost_type]:[Cost_type]],$B104))/1000,"")</f>
        <v>0</v>
      </c>
      <c r="J104" s="74">
        <f ca="1">IFERROR(SUM(SUMIFS(Costs[2028],Costs[[Sector_infrastructure]:[Sector_infrastructure]],"CO2_pipe_available_capacity", Costs[[Cost_type]:[Cost_type]],$B104)+SUMIFS(Costs[2028],Costs[[Sector_infrastructure]:[Sector_infrastructure]],"CO2_truck_used_capacity", Costs[[Cost_type]:[Cost_type]],$B104))/1000,"")</f>
        <v>0</v>
      </c>
      <c r="K104" s="74">
        <f ca="1">IFERROR(SUM(SUMIFS(Costs[2029],Costs[[Sector_infrastructure]:[Sector_infrastructure]],"CO2_pipe_available_capacity", Costs[[Cost_type]:[Cost_type]],$B104)+SUMIFS(Costs[2029],Costs[[Sector_infrastructure]:[Sector_infrastructure]],"CO2_truck_used_capacity", Costs[[Cost_type]:[Cost_type]],$B104))/1000,"")</f>
        <v>0</v>
      </c>
      <c r="L104" s="74">
        <f ca="1">IFERROR(SUM(SUMIFS(Costs[2030],Costs[[Sector_infrastructure]:[Sector_infrastructure]],"CO2_pipe_available_capacity", Costs[[Cost_type]:[Cost_type]],$B104)+SUMIFS(Costs[2030],Costs[[Sector_infrastructure]:[Sector_infrastructure]],"CO2_truck_used_capacity", Costs[[Cost_type]:[Cost_type]],$B104))/1000,"")</f>
        <v>0</v>
      </c>
      <c r="M104" s="74">
        <f ca="1">IFERROR(SUM(SUMIFS(Costs[2031],Costs[[Sector_infrastructure]:[Sector_infrastructure]],"CO2_pipe_available_capacity", Costs[[Cost_type]:[Cost_type]],$B104)+SUMIFS(Costs[2031],Costs[[Sector_infrastructure]:[Sector_infrastructure]],"CO2_truck_used_capacity", Costs[[Cost_type]:[Cost_type]],$B104))/1000,"")</f>
        <v>0</v>
      </c>
      <c r="N104" s="74">
        <f ca="1">IFERROR(SUM(SUMIFS(Costs[2032],Costs[[Sector_infrastructure]:[Sector_infrastructure]],"CO2_pipe_available_capacity", Costs[[Cost_type]:[Cost_type]],$B104)+SUMIFS(Costs[2032],Costs[[Sector_infrastructure]:[Sector_infrastructure]],"CO2_truck_used_capacity", Costs[[Cost_type]:[Cost_type]],$B104))/1000,"")</f>
        <v>0</v>
      </c>
      <c r="O104" s="74">
        <f ca="1">IFERROR(SUM(SUMIFS(Costs[2033],Costs[[Sector_infrastructure]:[Sector_infrastructure]],"CO2_pipe_available_capacity", Costs[[Cost_type]:[Cost_type]],$B104)+SUMIFS(Costs[2033],Costs[[Sector_infrastructure]:[Sector_infrastructure]],"CO2_truck_used_capacity", Costs[[Cost_type]:[Cost_type]],$B104))/1000,"")</f>
        <v>0</v>
      </c>
      <c r="P104" s="74">
        <f ca="1">IFERROR(SUM(SUMIFS(Costs[2034],Costs[[Sector_infrastructure]:[Sector_infrastructure]],"CO2_pipe_available_capacity", Costs[[Cost_type]:[Cost_type]],$B104)+SUMIFS(Costs[2034],Costs[[Sector_infrastructure]:[Sector_infrastructure]],"CO2_truck_used_capacity", Costs[[Cost_type]:[Cost_type]],$B104))/1000,"")</f>
        <v>0</v>
      </c>
      <c r="Q104" s="74">
        <f ca="1">IFERROR(SUM(SUMIFS(Costs[2035],Costs[[Sector_infrastructure]:[Sector_infrastructure]],"CO2_pipe_available_capacity", Costs[[Cost_type]:[Cost_type]],$B104)+SUMIFS(Costs[2035],Costs[[Sector_infrastructure]:[Sector_infrastructure]],"CO2_truck_used_capacity", Costs[[Cost_type]:[Cost_type]],$B104))/1000,"")</f>
        <v>0</v>
      </c>
      <c r="R104" s="74">
        <f ca="1">IFERROR(SUM(SUMIFS(Costs[2036],Costs[[Sector_infrastructure]:[Sector_infrastructure]],"CO2_pipe_available_capacity", Costs[[Cost_type]:[Cost_type]],$B104)+SUMIFS(Costs[2036],Costs[[Sector_infrastructure]:[Sector_infrastructure]],"CO2_truck_used_capacity", Costs[[Cost_type]:[Cost_type]],$B104))/1000,"")</f>
        <v>0</v>
      </c>
      <c r="S104" s="74">
        <f ca="1">IFERROR(SUM(SUMIFS(Costs[2037],Costs[[Sector_infrastructure]:[Sector_infrastructure]],"CO2_pipe_available_capacity", Costs[[Cost_type]:[Cost_type]],$B104)+SUMIFS(Costs[2037],Costs[[Sector_infrastructure]:[Sector_infrastructure]],"CO2_truck_used_capacity", Costs[[Cost_type]:[Cost_type]],$B104))/1000,"")</f>
        <v>0</v>
      </c>
      <c r="T104" s="74">
        <f ca="1">IFERROR(SUM(SUMIFS(Costs[2038],Costs[[Sector_infrastructure]:[Sector_infrastructure]],"CO2_pipe_available_capacity", Costs[[Cost_type]:[Cost_type]],$B104)+SUMIFS(Costs[2038],Costs[[Sector_infrastructure]:[Sector_infrastructure]],"CO2_truck_used_capacity", Costs[[Cost_type]:[Cost_type]],$B104))/1000,"")</f>
        <v>0</v>
      </c>
      <c r="U104" s="74">
        <f ca="1">IFERROR(SUM(SUMIFS(Costs[2039],Costs[[Sector_infrastructure]:[Sector_infrastructure]],"CO2_pipe_available_capacity", Costs[[Cost_type]:[Cost_type]],$B104)+SUMIFS(Costs[2039],Costs[[Sector_infrastructure]:[Sector_infrastructure]],"CO2_truck_used_capacity", Costs[[Cost_type]:[Cost_type]],$B104))/1000,"")</f>
        <v>0</v>
      </c>
      <c r="V104" s="74">
        <f ca="1">IFERROR(SUM(SUMIFS(Costs[2040],Costs[[Sector_infrastructure]:[Sector_infrastructure]],"CO2_pipe_available_capacity", Costs[[Cost_type]:[Cost_type]],$B104)+SUMIFS(Costs[2040],Costs[[Sector_infrastructure]:[Sector_infrastructure]],"CO2_truck_used_capacity", Costs[[Cost_type]:[Cost_type]],$B104))/1000,"")</f>
        <v>0</v>
      </c>
      <c r="W104" s="74">
        <f ca="1">IFERROR(SUM(SUMIFS(Costs[2041],Costs[[Sector_infrastructure]:[Sector_infrastructure]],"CO2_pipe_available_capacity", Costs[[Cost_type]:[Cost_type]],$B104)+SUMIFS(Costs[2041],Costs[[Sector_infrastructure]:[Sector_infrastructure]],"CO2_truck_used_capacity", Costs[[Cost_type]:[Cost_type]],$B104))/1000,"")</f>
        <v>0</v>
      </c>
      <c r="X104" s="74">
        <f ca="1">IFERROR(SUM(SUMIFS(Costs[2042],Costs[[Sector_infrastructure]:[Sector_infrastructure]],"CO2_pipe_available_capacity", Costs[[Cost_type]:[Cost_type]],$B104)+SUMIFS(Costs[2042],Costs[[Sector_infrastructure]:[Sector_infrastructure]],"CO2_truck_used_capacity", Costs[[Cost_type]:[Cost_type]],$B104))/1000,"")</f>
        <v>0</v>
      </c>
      <c r="Y104" s="74">
        <f ca="1">IFERROR(SUM(SUMIFS(Costs[2043],Costs[[Sector_infrastructure]:[Sector_infrastructure]],"CO2_pipe_available_capacity", Costs[[Cost_type]:[Cost_type]],$B104)+SUMIFS(Costs[2043],Costs[[Sector_infrastructure]:[Sector_infrastructure]],"CO2_truck_used_capacity", Costs[[Cost_type]:[Cost_type]],$B104))/1000,"")</f>
        <v>0</v>
      </c>
      <c r="Z104" s="74">
        <f ca="1">IFERROR(SUM(SUMIFS(Costs[2044],Costs[[Sector_infrastructure]:[Sector_infrastructure]],"CO2_pipe_available_capacity", Costs[[Cost_type]:[Cost_type]],$B104)+SUMIFS(Costs[2044],Costs[[Sector_infrastructure]:[Sector_infrastructure]],"CO2_truck_used_capacity", Costs[[Cost_type]:[Cost_type]],$B104))/1000,"")</f>
        <v>0</v>
      </c>
      <c r="AA104" s="74">
        <f ca="1">IFERROR(SUM(SUMIFS(Costs[2045],Costs[[Sector_infrastructure]:[Sector_infrastructure]],"CO2_pipe_available_capacity", Costs[[Cost_type]:[Cost_type]],$B104)+SUMIFS(Costs[2045],Costs[[Sector_infrastructure]:[Sector_infrastructure]],"CO2_truck_used_capacity", Costs[[Cost_type]:[Cost_type]],$B104))/1000,"")</f>
        <v>0</v>
      </c>
      <c r="AB104" s="74">
        <f ca="1">IFERROR(SUM(SUMIFS(Costs[2046],Costs[[Sector_infrastructure]:[Sector_infrastructure]],"CO2_pipe_available_capacity", Costs[[Cost_type]:[Cost_type]],$B104)+SUMIFS(Costs[2046],Costs[[Sector_infrastructure]:[Sector_infrastructure]],"CO2_truck_used_capacity", Costs[[Cost_type]:[Cost_type]],$B104))/1000,"")</f>
        <v>0</v>
      </c>
      <c r="AC104" s="74">
        <f ca="1">IFERROR(SUM(SUMIFS(Costs[2047],Costs[[Sector_infrastructure]:[Sector_infrastructure]],"CO2_pipe_available_capacity", Costs[[Cost_type]:[Cost_type]],$B104)+SUMIFS(Costs[2047],Costs[[Sector_infrastructure]:[Sector_infrastructure]],"CO2_truck_used_capacity", Costs[[Cost_type]:[Cost_type]],$B104))/1000,"")</f>
        <v>0</v>
      </c>
      <c r="AD104" s="74">
        <f ca="1">IFERROR(SUM(SUMIFS(Costs[2048],Costs[[Sector_infrastructure]:[Sector_infrastructure]],"CO2_pipe_available_capacity", Costs[[Cost_type]:[Cost_type]],$B104)+SUMIFS(Costs[2048],Costs[[Sector_infrastructure]:[Sector_infrastructure]],"CO2_truck_used_capacity", Costs[[Cost_type]:[Cost_type]],$B104))/1000,"")</f>
        <v>0</v>
      </c>
      <c r="AE104" s="74">
        <f ca="1">IFERROR(SUM(SUMIFS(Costs[2049],Costs[[Sector_infrastructure]:[Sector_infrastructure]],"CO2_pipe_available_capacity", Costs[[Cost_type]:[Cost_type]],$B104)+SUMIFS(Costs[2049],Costs[[Sector_infrastructure]:[Sector_infrastructure]],"CO2_truck_used_capacity", Costs[[Cost_type]:[Cost_type]],$B104))/1000,"")</f>
        <v>0</v>
      </c>
      <c r="AF104" s="74">
        <f ca="1">IFERROR(SUM(SUMIFS(Costs[2050],Costs[[Sector_infrastructure]:[Sector_infrastructure]],"CO2_pipe_available_capacity", Costs[[Cost_type]:[Cost_type]],$B104)+SUMIFS(Costs[2050],Costs[[Sector_infrastructure]:[Sector_infrastructure]],"CO2_truck_used_capacity", Costs[[Cost_type]:[Cost_type]],$B104))/1000,"")</f>
        <v>0</v>
      </c>
      <c r="AG104" s="74">
        <f ca="1">IFERROR(SUM(SUMIFS(Costs[2051],Costs[[Sector_infrastructure]:[Sector_infrastructure]],"CO2_pipe_available_capacity", Costs[[Cost_type]:[Cost_type]],$B104)+SUMIFS(Costs[2051],Costs[[Sector_infrastructure]:[Sector_infrastructure]],"CO2_truck_used_capacity", Costs[[Cost_type]:[Cost_type]],$B104))/1000,"")</f>
        <v>0</v>
      </c>
    </row>
    <row r="105" spans="1:33" x14ac:dyDescent="0.45">
      <c r="B105" s="38" t="s">
        <v>278</v>
      </c>
      <c r="C105" s="73">
        <f ca="1">IFERROR(C106+C107,"")</f>
        <v>0</v>
      </c>
      <c r="D105" s="73">
        <f t="shared" ref="D105:AG105" ca="1" si="16">IFERROR(D106+D107,"")</f>
        <v>0</v>
      </c>
      <c r="E105" s="73">
        <f t="shared" ca="1" si="16"/>
        <v>0</v>
      </c>
      <c r="F105" s="73">
        <f t="shared" ca="1" si="16"/>
        <v>0</v>
      </c>
      <c r="G105" s="73">
        <f t="shared" ca="1" si="16"/>
        <v>0</v>
      </c>
      <c r="H105" s="73">
        <f t="shared" ca="1" si="16"/>
        <v>0</v>
      </c>
      <c r="I105" s="73">
        <f t="shared" ca="1" si="16"/>
        <v>0</v>
      </c>
      <c r="J105" s="73">
        <f t="shared" ca="1" si="16"/>
        <v>0</v>
      </c>
      <c r="K105" s="73">
        <f t="shared" ca="1" si="16"/>
        <v>0</v>
      </c>
      <c r="L105" s="73">
        <f t="shared" ca="1" si="16"/>
        <v>0</v>
      </c>
      <c r="M105" s="73">
        <f t="shared" ca="1" si="16"/>
        <v>0</v>
      </c>
      <c r="N105" s="73">
        <f t="shared" ca="1" si="16"/>
        <v>0</v>
      </c>
      <c r="O105" s="73">
        <f t="shared" ca="1" si="16"/>
        <v>0</v>
      </c>
      <c r="P105" s="73">
        <f t="shared" ca="1" si="16"/>
        <v>0</v>
      </c>
      <c r="Q105" s="73">
        <f t="shared" ca="1" si="16"/>
        <v>0</v>
      </c>
      <c r="R105" s="73">
        <f t="shared" ca="1" si="16"/>
        <v>0</v>
      </c>
      <c r="S105" s="73">
        <f t="shared" ca="1" si="16"/>
        <v>0</v>
      </c>
      <c r="T105" s="73">
        <f t="shared" ca="1" si="16"/>
        <v>0</v>
      </c>
      <c r="U105" s="73">
        <f t="shared" ca="1" si="16"/>
        <v>0</v>
      </c>
      <c r="V105" s="73">
        <f t="shared" ca="1" si="16"/>
        <v>0</v>
      </c>
      <c r="W105" s="73">
        <f t="shared" ca="1" si="16"/>
        <v>0</v>
      </c>
      <c r="X105" s="73">
        <f t="shared" ca="1" si="16"/>
        <v>0</v>
      </c>
      <c r="Y105" s="73">
        <f t="shared" ca="1" si="16"/>
        <v>0</v>
      </c>
      <c r="Z105" s="73">
        <f t="shared" ca="1" si="16"/>
        <v>0</v>
      </c>
      <c r="AA105" s="73">
        <f t="shared" ca="1" si="16"/>
        <v>0</v>
      </c>
      <c r="AB105" s="73">
        <f t="shared" ca="1" si="16"/>
        <v>0</v>
      </c>
      <c r="AC105" s="73">
        <f t="shared" ca="1" si="16"/>
        <v>0</v>
      </c>
      <c r="AD105" s="73">
        <f t="shared" ca="1" si="16"/>
        <v>0</v>
      </c>
      <c r="AE105" s="73">
        <f t="shared" ca="1" si="16"/>
        <v>0</v>
      </c>
      <c r="AF105" s="73">
        <f t="shared" ca="1" si="16"/>
        <v>0</v>
      </c>
      <c r="AG105" s="73">
        <f t="shared" ca="1" si="16"/>
        <v>0</v>
      </c>
    </row>
    <row r="106" spans="1:33" x14ac:dyDescent="0.45">
      <c r="B106" s="36" t="s">
        <v>30</v>
      </c>
      <c r="C106" s="74">
        <f ca="1">IFERROR(SUMIFS(Costs[2021],Costs[[Sector_infrastructure]:[Sector_infrastructure]],"H2_C2C", Costs[[Cost_type]:[Cost_type]],$B106)/1000,"")</f>
        <v>0</v>
      </c>
      <c r="D106" s="74">
        <f ca="1">IFERROR(SUMIFS(Costs[2022],Costs[[Sector_infrastructure]:[Sector_infrastructure]],"H2_C2C", Costs[[Cost_type]:[Cost_type]],$B106)/1000,"")</f>
        <v>0</v>
      </c>
      <c r="E106" s="74">
        <f ca="1">IFERROR(SUMIFS(Costs[2023],Costs[[Sector_infrastructure]:[Sector_infrastructure]],"H2_C2C", Costs[[Cost_type]:[Cost_type]],$B106)/1000,"")</f>
        <v>0</v>
      </c>
      <c r="F106" s="74">
        <f ca="1">IFERROR(SUMIFS(Costs[2024],Costs[[Sector_infrastructure]:[Sector_infrastructure]],"H2_C2C", Costs[[Cost_type]:[Cost_type]],$B106)/1000,"")</f>
        <v>0</v>
      </c>
      <c r="G106" s="74">
        <f ca="1">IFERROR(SUMIFS(Costs[2025],Costs[[Sector_infrastructure]:[Sector_infrastructure]],"H2_C2C", Costs[[Cost_type]:[Cost_type]],$B106)/1000,"")</f>
        <v>0</v>
      </c>
      <c r="H106" s="74">
        <f ca="1">IFERROR(SUMIFS(Costs[2026],Costs[[Sector_infrastructure]:[Sector_infrastructure]],"H2_C2C", Costs[[Cost_type]:[Cost_type]],$B106)/1000,"")</f>
        <v>0</v>
      </c>
      <c r="I106" s="74">
        <f ca="1">IFERROR(SUMIFS(Costs[2027],Costs[[Sector_infrastructure]:[Sector_infrastructure]],"H2_C2C", Costs[[Cost_type]:[Cost_type]],$B106)/1000,"")</f>
        <v>0</v>
      </c>
      <c r="J106" s="74">
        <f ca="1">IFERROR(SUMIFS(Costs[2028],Costs[[Sector_infrastructure]:[Sector_infrastructure]],"H2_C2C", Costs[[Cost_type]:[Cost_type]],$B106)/1000,"")</f>
        <v>0</v>
      </c>
      <c r="K106" s="74">
        <f ca="1">IFERROR(SUMIFS(Costs[2029],Costs[[Sector_infrastructure]:[Sector_infrastructure]],"H2_C2C", Costs[[Cost_type]:[Cost_type]],$B106)/1000,"")</f>
        <v>0</v>
      </c>
      <c r="L106" s="74">
        <f ca="1">IFERROR(SUMIFS(Costs[2030],Costs[[Sector_infrastructure]:[Sector_infrastructure]],"H2_C2C", Costs[[Cost_type]:[Cost_type]],$B106)/1000,"")</f>
        <v>0</v>
      </c>
      <c r="M106" s="74">
        <f ca="1">IFERROR(SUMIFS(Costs[2031],Costs[[Sector_infrastructure]:[Sector_infrastructure]],"H2_C2C", Costs[[Cost_type]:[Cost_type]],$B106)/1000,"")</f>
        <v>0</v>
      </c>
      <c r="N106" s="74">
        <f ca="1">IFERROR(SUMIFS(Costs[2032],Costs[[Sector_infrastructure]:[Sector_infrastructure]],"H2_C2C", Costs[[Cost_type]:[Cost_type]],$B106)/1000,"")</f>
        <v>0</v>
      </c>
      <c r="O106" s="74">
        <f ca="1">IFERROR(SUMIFS(Costs[2033],Costs[[Sector_infrastructure]:[Sector_infrastructure]],"H2_C2C", Costs[[Cost_type]:[Cost_type]],$B106)/1000,"")</f>
        <v>0</v>
      </c>
      <c r="P106" s="74">
        <f ca="1">IFERROR(SUMIFS(Costs[2034],Costs[[Sector_infrastructure]:[Sector_infrastructure]],"H2_C2C", Costs[[Cost_type]:[Cost_type]],$B106)/1000,"")</f>
        <v>0</v>
      </c>
      <c r="Q106" s="74">
        <f ca="1">IFERROR(SUMIFS(Costs[2035],Costs[[Sector_infrastructure]:[Sector_infrastructure]],"H2_C2C", Costs[[Cost_type]:[Cost_type]],$B106)/1000,"")</f>
        <v>0</v>
      </c>
      <c r="R106" s="74">
        <f ca="1">IFERROR(SUMIFS(Costs[2036],Costs[[Sector_infrastructure]:[Sector_infrastructure]],"H2_C2C", Costs[[Cost_type]:[Cost_type]],$B106)/1000,"")</f>
        <v>0</v>
      </c>
      <c r="S106" s="74">
        <f ca="1">IFERROR(SUMIFS(Costs[2037],Costs[[Sector_infrastructure]:[Sector_infrastructure]],"H2_C2C", Costs[[Cost_type]:[Cost_type]],$B106)/1000,"")</f>
        <v>0</v>
      </c>
      <c r="T106" s="74">
        <f ca="1">IFERROR(SUMIFS(Costs[2038],Costs[[Sector_infrastructure]:[Sector_infrastructure]],"H2_C2C", Costs[[Cost_type]:[Cost_type]],$B106)/1000,"")</f>
        <v>0</v>
      </c>
      <c r="U106" s="74">
        <f ca="1">IFERROR(SUMIFS(Costs[2039],Costs[[Sector_infrastructure]:[Sector_infrastructure]],"H2_C2C", Costs[[Cost_type]:[Cost_type]],$B106)/1000,"")</f>
        <v>0</v>
      </c>
      <c r="V106" s="74">
        <f ca="1">IFERROR(SUMIFS(Costs[2040],Costs[[Sector_infrastructure]:[Sector_infrastructure]],"H2_C2C", Costs[[Cost_type]:[Cost_type]],$B106)/1000,"")</f>
        <v>0</v>
      </c>
      <c r="W106" s="74">
        <f ca="1">IFERROR(SUMIFS(Costs[2041],Costs[[Sector_infrastructure]:[Sector_infrastructure]],"H2_C2C", Costs[[Cost_type]:[Cost_type]],$B106)/1000,"")</f>
        <v>0</v>
      </c>
      <c r="X106" s="74">
        <f ca="1">IFERROR(SUMIFS(Costs[2042],Costs[[Sector_infrastructure]:[Sector_infrastructure]],"H2_C2C", Costs[[Cost_type]:[Cost_type]],$B106)/1000,"")</f>
        <v>0</v>
      </c>
      <c r="Y106" s="74">
        <f ca="1">IFERROR(SUMIFS(Costs[2043],Costs[[Sector_infrastructure]:[Sector_infrastructure]],"H2_C2C", Costs[[Cost_type]:[Cost_type]],$B106)/1000,"")</f>
        <v>0</v>
      </c>
      <c r="Z106" s="74">
        <f ca="1">IFERROR(SUMIFS(Costs[2044],Costs[[Sector_infrastructure]:[Sector_infrastructure]],"H2_C2C", Costs[[Cost_type]:[Cost_type]],$B106)/1000,"")</f>
        <v>0</v>
      </c>
      <c r="AA106" s="74">
        <f ca="1">IFERROR(SUMIFS(Costs[2045],Costs[[Sector_infrastructure]:[Sector_infrastructure]],"H2_C2C", Costs[[Cost_type]:[Cost_type]],$B106)/1000,"")</f>
        <v>0</v>
      </c>
      <c r="AB106" s="74">
        <f ca="1">IFERROR(SUMIFS(Costs[2046],Costs[[Sector_infrastructure]:[Sector_infrastructure]],"H2_C2C", Costs[[Cost_type]:[Cost_type]],$B106)/1000,"")</f>
        <v>0</v>
      </c>
      <c r="AC106" s="74">
        <f ca="1">IFERROR(SUMIFS(Costs[2047],Costs[[Sector_infrastructure]:[Sector_infrastructure]],"H2_C2C", Costs[[Cost_type]:[Cost_type]],$B106)/1000,"")</f>
        <v>0</v>
      </c>
      <c r="AD106" s="74">
        <f ca="1">IFERROR(SUMIFS(Costs[2048],Costs[[Sector_infrastructure]:[Sector_infrastructure]],"H2_C2C", Costs[[Cost_type]:[Cost_type]],$B106)/1000,"")</f>
        <v>0</v>
      </c>
      <c r="AE106" s="74">
        <f ca="1">IFERROR(SUMIFS(Costs[2049],Costs[[Sector_infrastructure]:[Sector_infrastructure]],"H2_C2C", Costs[[Cost_type]:[Cost_type]],$B106)/1000,"")</f>
        <v>0</v>
      </c>
      <c r="AF106" s="74">
        <f ca="1">IFERROR(SUMIFS(Costs[2050],Costs[[Sector_infrastructure]:[Sector_infrastructure]],"H2_C2C", Costs[[Cost_type]:[Cost_type]],$B106)/1000,"")</f>
        <v>0</v>
      </c>
      <c r="AG106" s="74">
        <f ca="1">IFERROR(SUMIFS(Costs[2051],Costs[[Sector_infrastructure]:[Sector_infrastructure]],"H2_C2C", Costs[[Cost_type]:[Cost_type]],$B106)/1000,"")</f>
        <v>0</v>
      </c>
    </row>
    <row r="107" spans="1:33" x14ac:dyDescent="0.45">
      <c r="B107" s="36" t="s">
        <v>31</v>
      </c>
      <c r="C107" s="74">
        <f ca="1">IFERROR(SUMIFS(Costs[2021],Costs[[Sector_infrastructure]:[Sector_infrastructure]],"H2_C2C", Costs[[Cost_type]:[Cost_type]],$B107)/1000,"")</f>
        <v>0</v>
      </c>
      <c r="D107" s="74">
        <f ca="1">IFERROR(SUMIFS(Costs[2022],Costs[[Sector_infrastructure]:[Sector_infrastructure]],"H2_C2C", Costs[[Cost_type]:[Cost_type]],$B107)/1000,"")</f>
        <v>0</v>
      </c>
      <c r="E107" s="74">
        <f ca="1">IFERROR(SUMIFS(Costs[2023],Costs[[Sector_infrastructure]:[Sector_infrastructure]],"H2_C2C", Costs[[Cost_type]:[Cost_type]],$B107)/1000,"")</f>
        <v>0</v>
      </c>
      <c r="F107" s="74">
        <f ca="1">IFERROR(SUMIFS(Costs[2024],Costs[[Sector_infrastructure]:[Sector_infrastructure]],"H2_C2C", Costs[[Cost_type]:[Cost_type]],$B107)/1000,"")</f>
        <v>0</v>
      </c>
      <c r="G107" s="74">
        <f ca="1">IFERROR(SUMIFS(Costs[2025],Costs[[Sector_infrastructure]:[Sector_infrastructure]],"H2_C2C", Costs[[Cost_type]:[Cost_type]],$B107)/1000,"")</f>
        <v>0</v>
      </c>
      <c r="H107" s="74">
        <f ca="1">IFERROR(SUMIFS(Costs[2026],Costs[[Sector_infrastructure]:[Sector_infrastructure]],"H2_C2C", Costs[[Cost_type]:[Cost_type]],$B107)/1000,"")</f>
        <v>0</v>
      </c>
      <c r="I107" s="74">
        <f ca="1">IFERROR(SUMIFS(Costs[2027],Costs[[Sector_infrastructure]:[Sector_infrastructure]],"H2_C2C", Costs[[Cost_type]:[Cost_type]],$B107)/1000,"")</f>
        <v>0</v>
      </c>
      <c r="J107" s="74">
        <f ca="1">IFERROR(SUMIFS(Costs[2028],Costs[[Sector_infrastructure]:[Sector_infrastructure]],"H2_C2C", Costs[[Cost_type]:[Cost_type]],$B107)/1000,"")</f>
        <v>0</v>
      </c>
      <c r="K107" s="74">
        <f ca="1">IFERROR(SUMIFS(Costs[2029],Costs[[Sector_infrastructure]:[Sector_infrastructure]],"H2_C2C", Costs[[Cost_type]:[Cost_type]],$B107)/1000,"")</f>
        <v>0</v>
      </c>
      <c r="L107" s="74">
        <f ca="1">IFERROR(SUMIFS(Costs[2030],Costs[[Sector_infrastructure]:[Sector_infrastructure]],"H2_C2C", Costs[[Cost_type]:[Cost_type]],$B107)/1000,"")</f>
        <v>0</v>
      </c>
      <c r="M107" s="74">
        <f ca="1">IFERROR(SUMIFS(Costs[2031],Costs[[Sector_infrastructure]:[Sector_infrastructure]],"H2_C2C", Costs[[Cost_type]:[Cost_type]],$B107)/1000,"")</f>
        <v>0</v>
      </c>
      <c r="N107" s="74">
        <f ca="1">IFERROR(SUMIFS(Costs[2032],Costs[[Sector_infrastructure]:[Sector_infrastructure]],"H2_C2C", Costs[[Cost_type]:[Cost_type]],$B107)/1000,"")</f>
        <v>0</v>
      </c>
      <c r="O107" s="74">
        <f ca="1">IFERROR(SUMIFS(Costs[2033],Costs[[Sector_infrastructure]:[Sector_infrastructure]],"H2_C2C", Costs[[Cost_type]:[Cost_type]],$B107)/1000,"")</f>
        <v>0</v>
      </c>
      <c r="P107" s="74">
        <f ca="1">IFERROR(SUMIFS(Costs[2034],Costs[[Sector_infrastructure]:[Sector_infrastructure]],"H2_C2C", Costs[[Cost_type]:[Cost_type]],$B107)/1000,"")</f>
        <v>0</v>
      </c>
      <c r="Q107" s="74">
        <f ca="1">IFERROR(SUMIFS(Costs[2035],Costs[[Sector_infrastructure]:[Sector_infrastructure]],"H2_C2C", Costs[[Cost_type]:[Cost_type]],$B107)/1000,"")</f>
        <v>0</v>
      </c>
      <c r="R107" s="74">
        <f ca="1">IFERROR(SUMIFS(Costs[2036],Costs[[Sector_infrastructure]:[Sector_infrastructure]],"H2_C2C", Costs[[Cost_type]:[Cost_type]],$B107)/1000,"")</f>
        <v>0</v>
      </c>
      <c r="S107" s="74">
        <f ca="1">IFERROR(SUMIFS(Costs[2037],Costs[[Sector_infrastructure]:[Sector_infrastructure]],"H2_C2C", Costs[[Cost_type]:[Cost_type]],$B107)/1000,"")</f>
        <v>0</v>
      </c>
      <c r="T107" s="74">
        <f ca="1">IFERROR(SUMIFS(Costs[2038],Costs[[Sector_infrastructure]:[Sector_infrastructure]],"H2_C2C", Costs[[Cost_type]:[Cost_type]],$B107)/1000,"")</f>
        <v>0</v>
      </c>
      <c r="U107" s="74">
        <f ca="1">IFERROR(SUMIFS(Costs[2039],Costs[[Sector_infrastructure]:[Sector_infrastructure]],"H2_C2C", Costs[[Cost_type]:[Cost_type]],$B107)/1000,"")</f>
        <v>0</v>
      </c>
      <c r="V107" s="74">
        <f ca="1">IFERROR(SUMIFS(Costs[2040],Costs[[Sector_infrastructure]:[Sector_infrastructure]],"H2_C2C", Costs[[Cost_type]:[Cost_type]],$B107)/1000,"")</f>
        <v>0</v>
      </c>
      <c r="W107" s="74">
        <f ca="1">IFERROR(SUMIFS(Costs[2041],Costs[[Sector_infrastructure]:[Sector_infrastructure]],"H2_C2C", Costs[[Cost_type]:[Cost_type]],$B107)/1000,"")</f>
        <v>0</v>
      </c>
      <c r="X107" s="74">
        <f ca="1">IFERROR(SUMIFS(Costs[2042],Costs[[Sector_infrastructure]:[Sector_infrastructure]],"H2_C2C", Costs[[Cost_type]:[Cost_type]],$B107)/1000,"")</f>
        <v>0</v>
      </c>
      <c r="Y107" s="74">
        <f ca="1">IFERROR(SUMIFS(Costs[2043],Costs[[Sector_infrastructure]:[Sector_infrastructure]],"H2_C2C", Costs[[Cost_type]:[Cost_type]],$B107)/1000,"")</f>
        <v>0</v>
      </c>
      <c r="Z107" s="74">
        <f ca="1">IFERROR(SUMIFS(Costs[2044],Costs[[Sector_infrastructure]:[Sector_infrastructure]],"H2_C2C", Costs[[Cost_type]:[Cost_type]],$B107)/1000,"")</f>
        <v>0</v>
      </c>
      <c r="AA107" s="74">
        <f ca="1">IFERROR(SUMIFS(Costs[2045],Costs[[Sector_infrastructure]:[Sector_infrastructure]],"H2_C2C", Costs[[Cost_type]:[Cost_type]],$B107)/1000,"")</f>
        <v>0</v>
      </c>
      <c r="AB107" s="74">
        <f ca="1">IFERROR(SUMIFS(Costs[2046],Costs[[Sector_infrastructure]:[Sector_infrastructure]],"H2_C2C", Costs[[Cost_type]:[Cost_type]],$B107)/1000,"")</f>
        <v>0</v>
      </c>
      <c r="AC107" s="74">
        <f ca="1">IFERROR(SUMIFS(Costs[2047],Costs[[Sector_infrastructure]:[Sector_infrastructure]],"H2_C2C", Costs[[Cost_type]:[Cost_type]],$B107)/1000,"")</f>
        <v>0</v>
      </c>
      <c r="AD107" s="74">
        <f ca="1">IFERROR(SUMIFS(Costs[2048],Costs[[Sector_infrastructure]:[Sector_infrastructure]],"H2_C2C", Costs[[Cost_type]:[Cost_type]],$B107)/1000,"")</f>
        <v>0</v>
      </c>
      <c r="AE107" s="74">
        <f ca="1">IFERROR(SUMIFS(Costs[2049],Costs[[Sector_infrastructure]:[Sector_infrastructure]],"H2_C2C", Costs[[Cost_type]:[Cost_type]],$B107)/1000,"")</f>
        <v>0</v>
      </c>
      <c r="AF107" s="74">
        <f ca="1">IFERROR(SUMIFS(Costs[2050],Costs[[Sector_infrastructure]:[Sector_infrastructure]],"H2_C2C", Costs[[Cost_type]:[Cost_type]],$B107)/1000,"")</f>
        <v>0</v>
      </c>
      <c r="AG107" s="74">
        <f ca="1">IFERROR(SUMIFS(Costs[2051],Costs[[Sector_infrastructure]:[Sector_infrastructure]],"H2_C2C", Costs[[Cost_type]:[Cost_type]],$B107)/1000,"")</f>
        <v>0</v>
      </c>
    </row>
    <row r="108" spans="1:33" ht="14.65" thickBot="1" x14ac:dyDescent="0.5">
      <c r="B108" s="39" t="s">
        <v>124</v>
      </c>
      <c r="C108" s="75">
        <f ca="1">IF(C105&lt;&gt;"",SUM(C99,C102,C105),"")</f>
        <v>0</v>
      </c>
      <c r="D108" s="75">
        <f t="shared" ref="D108:AG108" ca="1" si="17">IF(D105&lt;&gt;"",SUM(D99,D102,D105),"")</f>
        <v>0</v>
      </c>
      <c r="E108" s="75">
        <f t="shared" ca="1" si="17"/>
        <v>0</v>
      </c>
      <c r="F108" s="75">
        <f t="shared" ca="1" si="17"/>
        <v>0</v>
      </c>
      <c r="G108" s="75">
        <f t="shared" ca="1" si="17"/>
        <v>0</v>
      </c>
      <c r="H108" s="75">
        <f t="shared" ca="1" si="17"/>
        <v>0</v>
      </c>
      <c r="I108" s="75">
        <f t="shared" ca="1" si="17"/>
        <v>0</v>
      </c>
      <c r="J108" s="75">
        <f t="shared" ca="1" si="17"/>
        <v>0</v>
      </c>
      <c r="K108" s="75">
        <f t="shared" ca="1" si="17"/>
        <v>0</v>
      </c>
      <c r="L108" s="75">
        <f t="shared" ca="1" si="17"/>
        <v>0</v>
      </c>
      <c r="M108" s="75">
        <f t="shared" ca="1" si="17"/>
        <v>0</v>
      </c>
      <c r="N108" s="75">
        <f t="shared" ca="1" si="17"/>
        <v>0</v>
      </c>
      <c r="O108" s="75">
        <f t="shared" ca="1" si="17"/>
        <v>0</v>
      </c>
      <c r="P108" s="75">
        <f t="shared" ca="1" si="17"/>
        <v>0</v>
      </c>
      <c r="Q108" s="75">
        <f t="shared" ca="1" si="17"/>
        <v>0</v>
      </c>
      <c r="R108" s="75">
        <f t="shared" ca="1" si="17"/>
        <v>0</v>
      </c>
      <c r="S108" s="75">
        <f t="shared" ca="1" si="17"/>
        <v>0</v>
      </c>
      <c r="T108" s="75">
        <f t="shared" ca="1" si="17"/>
        <v>0</v>
      </c>
      <c r="U108" s="75">
        <f t="shared" ca="1" si="17"/>
        <v>0</v>
      </c>
      <c r="V108" s="75">
        <f t="shared" ca="1" si="17"/>
        <v>0</v>
      </c>
      <c r="W108" s="75">
        <f t="shared" ca="1" si="17"/>
        <v>0</v>
      </c>
      <c r="X108" s="75">
        <f t="shared" ca="1" si="17"/>
        <v>0</v>
      </c>
      <c r="Y108" s="75">
        <f t="shared" ca="1" si="17"/>
        <v>0</v>
      </c>
      <c r="Z108" s="75">
        <f t="shared" ca="1" si="17"/>
        <v>0</v>
      </c>
      <c r="AA108" s="75">
        <f t="shared" ca="1" si="17"/>
        <v>0</v>
      </c>
      <c r="AB108" s="75">
        <f t="shared" ca="1" si="17"/>
        <v>0</v>
      </c>
      <c r="AC108" s="75">
        <f t="shared" ca="1" si="17"/>
        <v>0</v>
      </c>
      <c r="AD108" s="75">
        <f t="shared" ca="1" si="17"/>
        <v>0</v>
      </c>
      <c r="AE108" s="75">
        <f t="shared" ca="1" si="17"/>
        <v>0</v>
      </c>
      <c r="AF108" s="75">
        <f t="shared" ca="1" si="17"/>
        <v>0</v>
      </c>
      <c r="AG108" s="75">
        <f t="shared" ca="1" si="17"/>
        <v>0</v>
      </c>
    </row>
    <row r="109" spans="1:33" ht="14.65" thickTop="1" x14ac:dyDescent="0.45">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row>
    <row r="110" spans="1:33" x14ac:dyDescent="0.45">
      <c r="A110" t="s">
        <v>109</v>
      </c>
      <c r="B110" s="7" t="s">
        <v>108</v>
      </c>
      <c r="C110" s="28">
        <f>IFERROR(SUMIFS(Costs[2021],Costs[[Sector_infrastructure]:[Sector_infrastructure]],"CO2_C2S")/1000,"")</f>
        <v>0</v>
      </c>
      <c r="D110" s="28">
        <f>IFERROR(SUMIFS(Costs[2022],Costs[[Sector_infrastructure]:[Sector_infrastructure]],"CO2_C2S")/1000,"")</f>
        <v>0</v>
      </c>
      <c r="E110" s="28">
        <f>IFERROR(SUMIFS(Costs[2023],Costs[[Sector_infrastructure]:[Sector_infrastructure]],"CO2_C2S")/1000,"")</f>
        <v>0</v>
      </c>
      <c r="F110" s="28">
        <f>IFERROR(SUMIFS(Costs[2024],Costs[[Sector_infrastructure]:[Sector_infrastructure]],"CO2_C2S")/1000,"")</f>
        <v>0</v>
      </c>
      <c r="G110" s="28">
        <f>IFERROR(SUMIFS(Costs[2025],Costs[[Sector_infrastructure]:[Sector_infrastructure]],"CO2_C2S")/1000,"")</f>
        <v>0</v>
      </c>
      <c r="H110" s="28">
        <f>IFERROR(SUMIFS(Costs[2026],Costs[[Sector_infrastructure]:[Sector_infrastructure]],"CO2_C2S")/1000,"")</f>
        <v>0</v>
      </c>
      <c r="I110" s="28">
        <f>IFERROR(SUMIFS(Costs[2027],Costs[[Sector_infrastructure]:[Sector_infrastructure]],"CO2_C2S")/1000,"")</f>
        <v>0</v>
      </c>
      <c r="J110" s="28">
        <f>IFERROR(SUMIFS(Costs[2028],Costs[[Sector_infrastructure]:[Sector_infrastructure]],"CO2_C2S")/1000,"")</f>
        <v>0</v>
      </c>
      <c r="K110" s="28">
        <f>IFERROR(SUMIFS(Costs[2029],Costs[[Sector_infrastructure]:[Sector_infrastructure]],"CO2_C2S")/1000,"")</f>
        <v>0</v>
      </c>
      <c r="L110" s="28">
        <f>IFERROR(SUMIFS(Costs[2030],Costs[[Sector_infrastructure]:[Sector_infrastructure]],"CO2_C2S")/1000,"")</f>
        <v>0</v>
      </c>
      <c r="M110" s="28">
        <f>IFERROR(SUMIFS(Costs[2031],Costs[[Sector_infrastructure]:[Sector_infrastructure]],"CO2_C2S")/1000,"")</f>
        <v>0</v>
      </c>
      <c r="N110" s="28">
        <f>IFERROR(SUMIFS(Costs[2032],Costs[[Sector_infrastructure]:[Sector_infrastructure]],"CO2_C2S")/1000,"")</f>
        <v>0</v>
      </c>
      <c r="O110" s="28">
        <f>IFERROR(SUMIFS(Costs[2033],Costs[[Sector_infrastructure]:[Sector_infrastructure]],"CO2_C2S")/1000,"")</f>
        <v>0</v>
      </c>
      <c r="P110" s="28">
        <f>IFERROR(SUMIFS(Costs[2034],Costs[[Sector_infrastructure]:[Sector_infrastructure]],"CO2_C2S")/1000,"")</f>
        <v>0</v>
      </c>
      <c r="Q110" s="28">
        <f>IFERROR(SUMIFS(Costs[2035],Costs[[Sector_infrastructure]:[Sector_infrastructure]],"CO2_C2S")/1000,"")</f>
        <v>0</v>
      </c>
      <c r="R110" s="28">
        <f>IFERROR(SUMIFS(Costs[2036],Costs[[Sector_infrastructure]:[Sector_infrastructure]],"CO2_C2S")/1000,"")</f>
        <v>0</v>
      </c>
      <c r="S110" s="28">
        <f>IFERROR(SUMIFS(Costs[2037],Costs[[Sector_infrastructure]:[Sector_infrastructure]],"CO2_C2S")/1000,"")</f>
        <v>0</v>
      </c>
      <c r="T110" s="28">
        <f>IFERROR(SUMIFS(Costs[2038],Costs[[Sector_infrastructure]:[Sector_infrastructure]],"CO2_C2S")/1000,"")</f>
        <v>0</v>
      </c>
      <c r="U110" s="28">
        <f>IFERROR(SUMIFS(Costs[2039],Costs[[Sector_infrastructure]:[Sector_infrastructure]],"CO2_C2S")/1000,"")</f>
        <v>0</v>
      </c>
      <c r="V110" s="28">
        <f>IFERROR(SUMIFS(Costs[2040],Costs[[Sector_infrastructure]:[Sector_infrastructure]],"CO2_C2S")/1000,"")</f>
        <v>0</v>
      </c>
      <c r="W110" s="28">
        <f>IFERROR(SUMIFS(Costs[2041],Costs[[Sector_infrastructure]:[Sector_infrastructure]],"CO2_C2S")/1000,"")</f>
        <v>0</v>
      </c>
      <c r="X110" s="28">
        <f>IFERROR(SUMIFS(Costs[2042],Costs[[Sector_infrastructure]:[Sector_infrastructure]],"CO2_C2S")/1000,"")</f>
        <v>0</v>
      </c>
      <c r="Y110" s="28">
        <f>IFERROR(SUMIFS(Costs[2043],Costs[[Sector_infrastructure]:[Sector_infrastructure]],"CO2_C2S")/1000,"")</f>
        <v>0</v>
      </c>
      <c r="Z110" s="28">
        <f>IFERROR(SUMIFS(Costs[2044],Costs[[Sector_infrastructure]:[Sector_infrastructure]],"CO2_C2S")/1000,"")</f>
        <v>0</v>
      </c>
      <c r="AA110" s="28">
        <f>IFERROR(SUMIFS(Costs[2045],Costs[[Sector_infrastructure]:[Sector_infrastructure]],"CO2_C2S")/1000,"")</f>
        <v>0</v>
      </c>
      <c r="AB110" s="28">
        <f>IFERROR(SUMIFS(Costs[2046],Costs[[Sector_infrastructure]:[Sector_infrastructure]],"CO2_C2S")/1000,"")</f>
        <v>0</v>
      </c>
      <c r="AC110" s="28">
        <f>IFERROR(SUMIFS(Costs[2047],Costs[[Sector_infrastructure]:[Sector_infrastructure]],"CO2_C2S")/1000,"")</f>
        <v>0</v>
      </c>
      <c r="AD110" s="28">
        <f>IFERROR(SUMIFS(Costs[2048],Costs[[Sector_infrastructure]:[Sector_infrastructure]],"CO2_C2S")/1000,"")</f>
        <v>0</v>
      </c>
      <c r="AE110" s="28">
        <f>IFERROR(SUMIFS(Costs[2049],Costs[[Sector_infrastructure]:[Sector_infrastructure]],"CO2_C2S")/1000,"")</f>
        <v>0</v>
      </c>
      <c r="AF110" s="28">
        <f>IFERROR(SUMIFS(Costs[2050],Costs[[Sector_infrastructure]:[Sector_infrastructure]],"CO2_C2S")/1000,"")</f>
        <v>0</v>
      </c>
      <c r="AG110" s="28">
        <f>IFERROR(SUMIFS(Costs[2051],Costs[[Sector_infrastructure]:[Sector_infrastructure]],"CO2_C2S")/1000,"")</f>
        <v>0</v>
      </c>
    </row>
    <row r="112" spans="1:33" ht="21" x14ac:dyDescent="0.65">
      <c r="A112" s="3" t="s">
        <v>28</v>
      </c>
      <c r="B112" s="8" t="s">
        <v>198</v>
      </c>
    </row>
    <row r="113" spans="1:33" x14ac:dyDescent="0.45">
      <c r="C113" s="6">
        <v>2021</v>
      </c>
      <c r="D113" s="6">
        <v>2022</v>
      </c>
      <c r="E113" s="6">
        <v>2023</v>
      </c>
      <c r="F113" s="6">
        <v>2024</v>
      </c>
      <c r="G113" s="6">
        <v>2025</v>
      </c>
      <c r="H113" s="6">
        <v>2026</v>
      </c>
      <c r="I113" s="6">
        <v>2027</v>
      </c>
      <c r="J113" s="6">
        <v>2028</v>
      </c>
      <c r="K113" s="6">
        <v>2029</v>
      </c>
      <c r="L113" s="6">
        <v>2030</v>
      </c>
      <c r="M113" s="6">
        <v>2031</v>
      </c>
      <c r="N113" s="6">
        <v>2032</v>
      </c>
      <c r="O113" s="6">
        <v>2033</v>
      </c>
      <c r="P113" s="6">
        <v>2034</v>
      </c>
      <c r="Q113" s="6">
        <v>2035</v>
      </c>
      <c r="R113" s="6">
        <v>2036</v>
      </c>
      <c r="S113" s="6">
        <v>2037</v>
      </c>
      <c r="T113" s="6">
        <v>2038</v>
      </c>
      <c r="U113" s="6">
        <v>2039</v>
      </c>
      <c r="V113" s="6">
        <v>2040</v>
      </c>
      <c r="W113" s="6">
        <v>2041</v>
      </c>
      <c r="X113" s="6">
        <v>2042</v>
      </c>
      <c r="Y113" s="6">
        <v>2043</v>
      </c>
      <c r="Z113" s="6">
        <v>2044</v>
      </c>
      <c r="AA113" s="6">
        <v>2045</v>
      </c>
      <c r="AB113" s="6">
        <v>2046</v>
      </c>
      <c r="AC113" s="6">
        <v>2047</v>
      </c>
      <c r="AD113" s="6">
        <v>2048</v>
      </c>
      <c r="AE113" s="6">
        <v>2049</v>
      </c>
      <c r="AF113" s="6">
        <v>2050</v>
      </c>
      <c r="AG113" s="6">
        <v>2051</v>
      </c>
    </row>
    <row r="114" spans="1:33" x14ac:dyDescent="0.45">
      <c r="B114" s="6"/>
      <c r="C114" s="28">
        <f>IFERROR(SUM(Costs[2021])/1000 - SUMIFS(Costs[2021], Costs[[Cost_type]:[Cost_type]],"="&amp;"Capex_lump")/1000,"")</f>
        <v>0</v>
      </c>
      <c r="D114" s="28">
        <f>IFERROR(SUM(Costs[2022])/1000 - SUMIFS(Costs[2022], Costs[[Cost_type]:[Cost_type]],"="&amp;"Capex_lump")/1000,"")</f>
        <v>0</v>
      </c>
      <c r="E114" s="28">
        <f>IFERROR(SUM(Costs[2023])/1000 - SUMIFS(Costs[2023], Costs[[Cost_type]:[Cost_type]],"="&amp;"Capex_lump")/1000,"")</f>
        <v>0</v>
      </c>
      <c r="F114" s="28">
        <f>IFERROR(SUM(Costs[2024])/1000 - SUMIFS(Costs[2024], Costs[[Cost_type]:[Cost_type]],"="&amp;"Capex_lump")/1000,"")</f>
        <v>0</v>
      </c>
      <c r="G114" s="28">
        <f>IFERROR(SUM(Costs[2025])/1000 - SUMIFS(Costs[2025], Costs[[Cost_type]:[Cost_type]],"="&amp;"Capex_lump")/1000,"")</f>
        <v>0</v>
      </c>
      <c r="H114" s="28">
        <f>IFERROR(SUM(Costs[2026])/1000 - SUMIFS(Costs[2026], Costs[[Cost_type]:[Cost_type]],"="&amp;"Capex_lump")/1000,"")</f>
        <v>0</v>
      </c>
      <c r="I114" s="28">
        <f>IFERROR(SUM(Costs[2027])/1000 - SUMIFS(Costs[2027], Costs[[Cost_type]:[Cost_type]],"="&amp;"Capex_lump")/1000,"")</f>
        <v>0</v>
      </c>
      <c r="J114" s="28">
        <f>IFERROR(SUM(Costs[2028])/1000 - SUMIFS(Costs[2028], Costs[[Cost_type]:[Cost_type]],"="&amp;"Capex_lump")/1000,"")</f>
        <v>0</v>
      </c>
      <c r="K114" s="28">
        <f>IFERROR(SUM(Costs[2029])/1000 - SUMIFS(Costs[2029], Costs[[Cost_type]:[Cost_type]],"="&amp;"Capex_lump")/1000,"")</f>
        <v>0</v>
      </c>
      <c r="L114" s="28">
        <f>IFERROR(SUM(Costs[2030])/1000 - SUMIFS(Costs[2030], Costs[[Cost_type]:[Cost_type]],"="&amp;"Capex_lump")/1000,"")</f>
        <v>0</v>
      </c>
      <c r="M114" s="28">
        <f>IFERROR(SUM(Costs[2031])/1000 - SUMIFS(Costs[2031], Costs[[Cost_type]:[Cost_type]],"="&amp;"Capex_lump")/1000,"")</f>
        <v>0</v>
      </c>
      <c r="N114" s="28">
        <f>IFERROR(SUM(Costs[2032])/1000 - SUMIFS(Costs[2032], Costs[[Cost_type]:[Cost_type]],"="&amp;"Capex_lump")/1000,"")</f>
        <v>0</v>
      </c>
      <c r="O114" s="28">
        <f>IFERROR(SUM(Costs[2033])/1000 - SUMIFS(Costs[2033], Costs[[Cost_type]:[Cost_type]],"="&amp;"Capex_lump")/1000,"")</f>
        <v>0</v>
      </c>
      <c r="P114" s="28">
        <f>IFERROR(SUM(Costs[2034])/1000 - SUMIFS(Costs[2034], Costs[[Cost_type]:[Cost_type]],"="&amp;"Capex_lump")/1000,"")</f>
        <v>0</v>
      </c>
      <c r="Q114" s="28">
        <f>IFERROR(SUM(Costs[2035])/1000 - SUMIFS(Costs[2035], Costs[[Cost_type]:[Cost_type]],"="&amp;"Capex_lump")/1000,"")</f>
        <v>0</v>
      </c>
      <c r="R114" s="28">
        <f>IFERROR(SUM(Costs[2036])/1000 - SUMIFS(Costs[2036], Costs[[Cost_type]:[Cost_type]],"="&amp;"Capex_lump")/1000,"")</f>
        <v>0</v>
      </c>
      <c r="S114" s="28">
        <f>IFERROR(SUM(Costs[2037])/1000 - SUMIFS(Costs[2037], Costs[[Cost_type]:[Cost_type]],"="&amp;"Capex_lump")/1000,"")</f>
        <v>0</v>
      </c>
      <c r="T114" s="28">
        <f>IFERROR(SUM(Costs[2038])/1000 - SUMIFS(Costs[2038], Costs[[Cost_type]:[Cost_type]],"="&amp;"Capex_lump")/1000,"")</f>
        <v>0</v>
      </c>
      <c r="U114" s="28">
        <f>IFERROR(SUM(Costs[2039])/1000 - SUMIFS(Costs[2039], Costs[[Cost_type]:[Cost_type]],"="&amp;"Capex_lump")/1000,"")</f>
        <v>0</v>
      </c>
      <c r="V114" s="28">
        <f>IFERROR(SUM(Costs[2040])/1000 - SUMIFS(Costs[2040], Costs[[Cost_type]:[Cost_type]],"="&amp;"Capex_lump")/1000,"")</f>
        <v>0</v>
      </c>
      <c r="W114" s="28">
        <f>IFERROR(SUM(Costs[2041])/1000 - SUMIFS(Costs[2041], Costs[[Cost_type]:[Cost_type]],"="&amp;"Capex_lump")/1000,"")</f>
        <v>0</v>
      </c>
      <c r="X114" s="28">
        <f>IFERROR(SUM(Costs[2042])/1000 - SUMIFS(Costs[2042], Costs[[Cost_type]:[Cost_type]],"="&amp;"Capex_lump")/1000,"")</f>
        <v>0</v>
      </c>
      <c r="Y114" s="28">
        <f>IFERROR(SUM(Costs[2043])/1000 - SUMIFS(Costs[2043], Costs[[Cost_type]:[Cost_type]],"="&amp;"Capex_lump")/1000,"")</f>
        <v>0</v>
      </c>
      <c r="Z114" s="28">
        <f>IFERROR(SUM(Costs[2044])/1000 - SUMIFS(Costs[2044], Costs[[Cost_type]:[Cost_type]],"="&amp;"Capex_lump")/1000,"")</f>
        <v>0</v>
      </c>
      <c r="AA114" s="28">
        <f>IFERROR(SUM(Costs[2045])/1000 - SUMIFS(Costs[2045], Costs[[Cost_type]:[Cost_type]],"="&amp;"Capex_lump")/1000,"")</f>
        <v>0</v>
      </c>
      <c r="AB114" s="28">
        <f>IFERROR(SUM(Costs[2046])/1000 - SUMIFS(Costs[2046], Costs[[Cost_type]:[Cost_type]],"="&amp;"Capex_lump")/1000,"")</f>
        <v>0</v>
      </c>
      <c r="AC114" s="28">
        <f>IFERROR(SUM(Costs[2047])/1000 - SUMIFS(Costs[2047], Costs[[Cost_type]:[Cost_type]],"="&amp;"Capex_lump")/1000,"")</f>
        <v>0</v>
      </c>
      <c r="AD114" s="28">
        <f>IFERROR(SUM(Costs[2048])/1000 - SUMIFS(Costs[2048], Costs[[Cost_type]:[Cost_type]],"="&amp;"Capex_lump")/1000,"")</f>
        <v>0</v>
      </c>
      <c r="AE114" s="28">
        <f>IFERROR(SUM(Costs[2049])/1000 - SUMIFS(Costs[2049], Costs[[Cost_type]:[Cost_type]],"="&amp;"Capex_lump")/1000,"")</f>
        <v>0</v>
      </c>
      <c r="AF114" s="28">
        <f>IFERROR(SUM(Costs[2050])/1000 - SUMIFS(Costs[2050], Costs[[Cost_type]:[Cost_type]],"="&amp;"Capex_lump")/1000,"")</f>
        <v>0</v>
      </c>
      <c r="AG114" s="28">
        <f>IFERROR(SUM(Costs[2051])/1000 - SUMIFS(Costs[2051], Costs[[Cost_type]:[Cost_type]],"="&amp;"Capex_lump")/1000,"")</f>
        <v>0</v>
      </c>
    </row>
    <row r="116" spans="1:33" ht="25.5" x14ac:dyDescent="0.75">
      <c r="A116" s="26" t="s">
        <v>4</v>
      </c>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row>
    <row r="118" spans="1:33" x14ac:dyDescent="0.45">
      <c r="A118" t="s">
        <v>114</v>
      </c>
      <c r="B118" s="21" t="s">
        <v>82</v>
      </c>
      <c r="C118" s="7" t="s">
        <v>36</v>
      </c>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spans="1:33" x14ac:dyDescent="0.45">
      <c r="B119" s="21" t="s">
        <v>83</v>
      </c>
      <c r="C119" s="7" t="s">
        <v>37</v>
      </c>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spans="1:33" x14ac:dyDescent="0.45">
      <c r="B120" s="21" t="s">
        <v>67</v>
      </c>
      <c r="C120" t="s">
        <v>38</v>
      </c>
    </row>
    <row r="121" spans="1:33" x14ac:dyDescent="0.45">
      <c r="B121" s="21" t="s">
        <v>35</v>
      </c>
      <c r="C121" t="s">
        <v>39</v>
      </c>
    </row>
    <row r="122" spans="1:33" x14ac:dyDescent="0.45">
      <c r="B122" s="21" t="s">
        <v>26</v>
      </c>
      <c r="C122" t="s">
        <v>40</v>
      </c>
    </row>
    <row r="123" spans="1:33" x14ac:dyDescent="0.45">
      <c r="B123" s="21" t="s">
        <v>113</v>
      </c>
      <c r="C123" t="s">
        <v>115</v>
      </c>
    </row>
    <row r="124" spans="1:33" x14ac:dyDescent="0.45">
      <c r="B124" s="21" t="s">
        <v>111</v>
      </c>
      <c r="C124" t="s">
        <v>111</v>
      </c>
    </row>
    <row r="126" spans="1:33" ht="23.25" customHeight="1" x14ac:dyDescent="0.7">
      <c r="A126" s="10" t="s">
        <v>133</v>
      </c>
      <c r="B126" s="8" t="s">
        <v>11</v>
      </c>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row>
    <row r="127" spans="1:33" ht="15.75" customHeight="1" x14ac:dyDescent="0.45">
      <c r="B127" s="6"/>
      <c r="C127" s="6">
        <v>2021</v>
      </c>
      <c r="D127" s="6">
        <v>2022</v>
      </c>
      <c r="E127" s="6">
        <v>2023</v>
      </c>
      <c r="F127" s="6">
        <v>2024</v>
      </c>
      <c r="G127" s="6">
        <v>2025</v>
      </c>
      <c r="H127" s="6">
        <v>2026</v>
      </c>
      <c r="I127" s="6">
        <v>2027</v>
      </c>
      <c r="J127" s="6">
        <v>2028</v>
      </c>
      <c r="K127" s="6">
        <v>2029</v>
      </c>
      <c r="L127" s="6">
        <v>2030</v>
      </c>
      <c r="M127" s="6">
        <v>2031</v>
      </c>
      <c r="N127" s="6">
        <v>2032</v>
      </c>
      <c r="O127" s="6">
        <v>2033</v>
      </c>
      <c r="P127" s="6">
        <v>2034</v>
      </c>
      <c r="Q127" s="6">
        <v>2035</v>
      </c>
      <c r="R127" s="6">
        <v>2036</v>
      </c>
      <c r="S127" s="6">
        <v>2037</v>
      </c>
      <c r="T127" s="6">
        <v>2038</v>
      </c>
      <c r="U127" s="6">
        <v>2039</v>
      </c>
      <c r="V127" s="6">
        <v>2040</v>
      </c>
      <c r="W127" s="6">
        <v>2041</v>
      </c>
      <c r="X127" s="6">
        <v>2042</v>
      </c>
      <c r="Y127" s="6">
        <v>2043</v>
      </c>
      <c r="Z127" s="6">
        <v>2044</v>
      </c>
      <c r="AA127" s="6">
        <v>2045</v>
      </c>
      <c r="AB127" s="6">
        <v>2046</v>
      </c>
      <c r="AC127" s="6">
        <v>2047</v>
      </c>
      <c r="AD127" s="6">
        <v>2048</v>
      </c>
      <c r="AE127" s="6">
        <v>2049</v>
      </c>
      <c r="AF127" s="6">
        <v>2050</v>
      </c>
      <c r="AG127" s="6">
        <v>2051</v>
      </c>
    </row>
    <row r="128" spans="1:33" x14ac:dyDescent="0.45">
      <c r="A128" t="s">
        <v>128</v>
      </c>
      <c r="B128" s="21" t="s">
        <v>82</v>
      </c>
      <c r="C128" s="28">
        <f t="shared" ref="C128:R128" ca="1" si="18">IFERROR(C138+C148+C158+C168+C178+C188++C198+C208+C218+C228+C238+C248+C258+C268+C278,"")</f>
        <v>0</v>
      </c>
      <c r="D128" s="28">
        <f t="shared" ca="1" si="18"/>
        <v>0</v>
      </c>
      <c r="E128" s="28">
        <f t="shared" ca="1" si="18"/>
        <v>0</v>
      </c>
      <c r="F128" s="28">
        <f t="shared" ca="1" si="18"/>
        <v>0</v>
      </c>
      <c r="G128" s="28">
        <f t="shared" ca="1" si="18"/>
        <v>0</v>
      </c>
      <c r="H128" s="28">
        <f t="shared" ca="1" si="18"/>
        <v>0</v>
      </c>
      <c r="I128" s="28">
        <f t="shared" ca="1" si="18"/>
        <v>0</v>
      </c>
      <c r="J128" s="28">
        <f t="shared" ca="1" si="18"/>
        <v>0</v>
      </c>
      <c r="K128" s="28">
        <f t="shared" ca="1" si="18"/>
        <v>0</v>
      </c>
      <c r="L128" s="28">
        <f t="shared" ca="1" si="18"/>
        <v>0</v>
      </c>
      <c r="M128" s="28">
        <f t="shared" ca="1" si="18"/>
        <v>0</v>
      </c>
      <c r="N128" s="28">
        <f t="shared" ca="1" si="18"/>
        <v>0</v>
      </c>
      <c r="O128" s="28">
        <f t="shared" ca="1" si="18"/>
        <v>0</v>
      </c>
      <c r="P128" s="28">
        <f t="shared" ca="1" si="18"/>
        <v>0</v>
      </c>
      <c r="Q128" s="28">
        <f t="shared" ca="1" si="18"/>
        <v>0</v>
      </c>
      <c r="R128" s="28">
        <f t="shared" ca="1" si="18"/>
        <v>0</v>
      </c>
      <c r="S128" s="28">
        <f t="shared" ref="C128:AF134" ca="1" si="19">IFERROR(S138+S148+S158+S168+S178+S188++S198+S208+S218+S228+S238+S248+S258+S268+S278,"")</f>
        <v>0</v>
      </c>
      <c r="T128" s="28">
        <f t="shared" ca="1" si="19"/>
        <v>0</v>
      </c>
      <c r="U128" s="28">
        <f t="shared" ca="1" si="19"/>
        <v>0</v>
      </c>
      <c r="V128" s="28">
        <f t="shared" ca="1" si="19"/>
        <v>0</v>
      </c>
      <c r="W128" s="28">
        <f t="shared" ca="1" si="19"/>
        <v>0</v>
      </c>
      <c r="X128" s="28">
        <f t="shared" ca="1" si="19"/>
        <v>0</v>
      </c>
      <c r="Y128" s="28">
        <f t="shared" ca="1" si="19"/>
        <v>0</v>
      </c>
      <c r="Z128" s="28">
        <f t="shared" ca="1" si="19"/>
        <v>0</v>
      </c>
      <c r="AA128" s="28">
        <f t="shared" ca="1" si="19"/>
        <v>0</v>
      </c>
      <c r="AB128" s="28">
        <f t="shared" ca="1" si="19"/>
        <v>0</v>
      </c>
      <c r="AC128" s="28">
        <f t="shared" ca="1" si="19"/>
        <v>0</v>
      </c>
      <c r="AD128" s="28">
        <f t="shared" ca="1" si="19"/>
        <v>0</v>
      </c>
      <c r="AE128" s="28">
        <f t="shared" ca="1" si="19"/>
        <v>0</v>
      </c>
      <c r="AF128" s="28">
        <f t="shared" ca="1" si="19"/>
        <v>0</v>
      </c>
      <c r="AG128" s="28">
        <f t="shared" ref="AG128" ca="1" si="20">IFERROR(AG138+AG148+AG158+AG168+AG178+AG188++AG198+AG208+AG218+AG228+AG238+AG248+AG258+AG268+AG278,"")</f>
        <v>0</v>
      </c>
    </row>
    <row r="129" spans="1:38" x14ac:dyDescent="0.45">
      <c r="B129" s="21" t="s">
        <v>83</v>
      </c>
      <c r="C129" s="28">
        <f t="shared" ref="C129:C134" ca="1" si="21">IFERROR(C139+C149+C159+C169+C179+C189++C199+C209+C219+C229+C239+C249+C259+C269+C279,"")</f>
        <v>0</v>
      </c>
      <c r="D129" s="28">
        <f t="shared" ca="1" si="19"/>
        <v>0</v>
      </c>
      <c r="E129" s="28">
        <f t="shared" ca="1" si="19"/>
        <v>0</v>
      </c>
      <c r="F129" s="28">
        <f t="shared" ca="1" si="19"/>
        <v>0</v>
      </c>
      <c r="G129" s="28">
        <f t="shared" ca="1" si="19"/>
        <v>0</v>
      </c>
      <c r="H129" s="28">
        <f t="shared" ca="1" si="19"/>
        <v>0</v>
      </c>
      <c r="I129" s="28">
        <f t="shared" ca="1" si="19"/>
        <v>0</v>
      </c>
      <c r="J129" s="28">
        <f t="shared" ca="1" si="19"/>
        <v>0</v>
      </c>
      <c r="K129" s="28">
        <f t="shared" ca="1" si="19"/>
        <v>0</v>
      </c>
      <c r="L129" s="28">
        <f t="shared" ca="1" si="19"/>
        <v>0</v>
      </c>
      <c r="M129" s="28">
        <f t="shared" ca="1" si="19"/>
        <v>0</v>
      </c>
      <c r="N129" s="28">
        <f t="shared" ca="1" si="19"/>
        <v>0</v>
      </c>
      <c r="O129" s="28">
        <f t="shared" ca="1" si="19"/>
        <v>0</v>
      </c>
      <c r="P129" s="28">
        <f t="shared" ca="1" si="19"/>
        <v>0</v>
      </c>
      <c r="Q129" s="28">
        <f t="shared" ca="1" si="19"/>
        <v>0</v>
      </c>
      <c r="R129" s="28">
        <f t="shared" ca="1" si="19"/>
        <v>0</v>
      </c>
      <c r="S129" s="28">
        <f t="shared" ca="1" si="19"/>
        <v>0</v>
      </c>
      <c r="T129" s="28">
        <f t="shared" ca="1" si="19"/>
        <v>0</v>
      </c>
      <c r="U129" s="28">
        <f t="shared" ca="1" si="19"/>
        <v>0</v>
      </c>
      <c r="V129" s="28">
        <f t="shared" ca="1" si="19"/>
        <v>0</v>
      </c>
      <c r="W129" s="28">
        <f t="shared" ca="1" si="19"/>
        <v>0</v>
      </c>
      <c r="X129" s="28">
        <f t="shared" ca="1" si="19"/>
        <v>0</v>
      </c>
      <c r="Y129" s="28">
        <f t="shared" ca="1" si="19"/>
        <v>0</v>
      </c>
      <c r="Z129" s="28">
        <f t="shared" ca="1" si="19"/>
        <v>0</v>
      </c>
      <c r="AA129" s="28">
        <f t="shared" ca="1" si="19"/>
        <v>0</v>
      </c>
      <c r="AB129" s="28">
        <f t="shared" ca="1" si="19"/>
        <v>0</v>
      </c>
      <c r="AC129" s="28">
        <f t="shared" ca="1" si="19"/>
        <v>0</v>
      </c>
      <c r="AD129" s="28">
        <f t="shared" ca="1" si="19"/>
        <v>0</v>
      </c>
      <c r="AE129" s="28">
        <f t="shared" ca="1" si="19"/>
        <v>0</v>
      </c>
      <c r="AF129" s="28">
        <f t="shared" ca="1" si="19"/>
        <v>0</v>
      </c>
      <c r="AG129" s="28">
        <f t="shared" ref="AG129" ca="1" si="22">IFERROR(AG139+AG149+AG159+AG169+AG179+AG189++AG199+AG209+AG219+AG229+AG239+AG249+AG259+AG269+AG279,"")</f>
        <v>0</v>
      </c>
    </row>
    <row r="130" spans="1:38" x14ac:dyDescent="0.45">
      <c r="B130" s="21" t="s">
        <v>67</v>
      </c>
      <c r="C130" s="28">
        <f t="shared" ca="1" si="19"/>
        <v>0</v>
      </c>
      <c r="D130" s="28">
        <f t="shared" ca="1" si="19"/>
        <v>0</v>
      </c>
      <c r="E130" s="28">
        <f t="shared" ca="1" si="19"/>
        <v>0</v>
      </c>
      <c r="F130" s="28">
        <f t="shared" ca="1" si="19"/>
        <v>0</v>
      </c>
      <c r="G130" s="28">
        <f t="shared" ca="1" si="19"/>
        <v>0</v>
      </c>
      <c r="H130" s="28">
        <f t="shared" ca="1" si="19"/>
        <v>0</v>
      </c>
      <c r="I130" s="28">
        <f t="shared" ca="1" si="19"/>
        <v>0</v>
      </c>
      <c r="J130" s="28">
        <f t="shared" ca="1" si="19"/>
        <v>0</v>
      </c>
      <c r="K130" s="28">
        <f t="shared" ca="1" si="19"/>
        <v>0</v>
      </c>
      <c r="L130" s="28">
        <f t="shared" ca="1" si="19"/>
        <v>0</v>
      </c>
      <c r="M130" s="28">
        <f t="shared" ca="1" si="19"/>
        <v>0</v>
      </c>
      <c r="N130" s="28">
        <f t="shared" ca="1" si="19"/>
        <v>0</v>
      </c>
      <c r="O130" s="28">
        <f t="shared" ca="1" si="19"/>
        <v>0</v>
      </c>
      <c r="P130" s="28">
        <f t="shared" ca="1" si="19"/>
        <v>0</v>
      </c>
      <c r="Q130" s="28">
        <f t="shared" ca="1" si="19"/>
        <v>0</v>
      </c>
      <c r="R130" s="28">
        <f t="shared" ca="1" si="19"/>
        <v>0</v>
      </c>
      <c r="S130" s="28">
        <f t="shared" ca="1" si="19"/>
        <v>0</v>
      </c>
      <c r="T130" s="28">
        <f t="shared" ca="1" si="19"/>
        <v>0</v>
      </c>
      <c r="U130" s="28">
        <f t="shared" ca="1" si="19"/>
        <v>0</v>
      </c>
      <c r="V130" s="28">
        <f t="shared" ca="1" si="19"/>
        <v>0</v>
      </c>
      <c r="W130" s="28">
        <f t="shared" ca="1" si="19"/>
        <v>0</v>
      </c>
      <c r="X130" s="28">
        <f t="shared" ca="1" si="19"/>
        <v>0</v>
      </c>
      <c r="Y130" s="28">
        <f t="shared" ca="1" si="19"/>
        <v>0</v>
      </c>
      <c r="Z130" s="28">
        <f t="shared" ca="1" si="19"/>
        <v>0</v>
      </c>
      <c r="AA130" s="28">
        <f t="shared" ca="1" si="19"/>
        <v>0</v>
      </c>
      <c r="AB130" s="28">
        <f t="shared" ca="1" si="19"/>
        <v>0</v>
      </c>
      <c r="AC130" s="28">
        <f t="shared" ca="1" si="19"/>
        <v>0</v>
      </c>
      <c r="AD130" s="28">
        <f t="shared" ca="1" si="19"/>
        <v>0</v>
      </c>
      <c r="AE130" s="28">
        <f t="shared" ca="1" si="19"/>
        <v>0</v>
      </c>
      <c r="AF130" s="28">
        <f t="shared" ca="1" si="19"/>
        <v>0</v>
      </c>
      <c r="AG130" s="28">
        <f t="shared" ref="AG130" ca="1" si="23">IFERROR(AG140+AG150+AG160+AG170+AG180+AG190++AG200+AG210+AG220+AG230+AG240+AG250+AG260+AG270+AG280,"")</f>
        <v>0</v>
      </c>
    </row>
    <row r="131" spans="1:38" x14ac:dyDescent="0.45">
      <c r="B131" s="21" t="s">
        <v>35</v>
      </c>
      <c r="C131" s="28">
        <f t="shared" ca="1" si="21"/>
        <v>0</v>
      </c>
      <c r="D131" s="28">
        <f t="shared" ca="1" si="19"/>
        <v>0</v>
      </c>
      <c r="E131" s="28">
        <f t="shared" ca="1" si="19"/>
        <v>0</v>
      </c>
      <c r="F131" s="28">
        <f t="shared" ca="1" si="19"/>
        <v>0</v>
      </c>
      <c r="G131" s="28">
        <f t="shared" ca="1" si="19"/>
        <v>0</v>
      </c>
      <c r="H131" s="28">
        <f t="shared" ca="1" si="19"/>
        <v>0</v>
      </c>
      <c r="I131" s="28">
        <f t="shared" ca="1" si="19"/>
        <v>0</v>
      </c>
      <c r="J131" s="28">
        <f t="shared" ca="1" si="19"/>
        <v>0</v>
      </c>
      <c r="K131" s="28">
        <f t="shared" ca="1" si="19"/>
        <v>0</v>
      </c>
      <c r="L131" s="28">
        <f t="shared" ca="1" si="19"/>
        <v>0</v>
      </c>
      <c r="M131" s="28">
        <f t="shared" ca="1" si="19"/>
        <v>0</v>
      </c>
      <c r="N131" s="28">
        <f t="shared" ca="1" si="19"/>
        <v>0</v>
      </c>
      <c r="O131" s="28">
        <f t="shared" ca="1" si="19"/>
        <v>0</v>
      </c>
      <c r="P131" s="28">
        <f t="shared" ca="1" si="19"/>
        <v>0</v>
      </c>
      <c r="Q131" s="28">
        <f t="shared" ca="1" si="19"/>
        <v>0</v>
      </c>
      <c r="R131" s="28">
        <f t="shared" ca="1" si="19"/>
        <v>0</v>
      </c>
      <c r="S131" s="28">
        <f t="shared" ca="1" si="19"/>
        <v>0</v>
      </c>
      <c r="T131" s="28">
        <f t="shared" ca="1" si="19"/>
        <v>0</v>
      </c>
      <c r="U131" s="28">
        <f t="shared" ca="1" si="19"/>
        <v>0</v>
      </c>
      <c r="V131" s="28">
        <f t="shared" ca="1" si="19"/>
        <v>0</v>
      </c>
      <c r="W131" s="28">
        <f t="shared" ca="1" si="19"/>
        <v>0</v>
      </c>
      <c r="X131" s="28">
        <f t="shared" ca="1" si="19"/>
        <v>0</v>
      </c>
      <c r="Y131" s="28">
        <f t="shared" ca="1" si="19"/>
        <v>0</v>
      </c>
      <c r="Z131" s="28">
        <f t="shared" ca="1" si="19"/>
        <v>0</v>
      </c>
      <c r="AA131" s="28">
        <f t="shared" ca="1" si="19"/>
        <v>0</v>
      </c>
      <c r="AB131" s="28">
        <f t="shared" ca="1" si="19"/>
        <v>0</v>
      </c>
      <c r="AC131" s="28">
        <f t="shared" ca="1" si="19"/>
        <v>0</v>
      </c>
      <c r="AD131" s="28">
        <f t="shared" ca="1" si="19"/>
        <v>0</v>
      </c>
      <c r="AE131" s="28">
        <f t="shared" ca="1" si="19"/>
        <v>0</v>
      </c>
      <c r="AF131" s="28">
        <f t="shared" ca="1" si="19"/>
        <v>0</v>
      </c>
      <c r="AG131" s="28">
        <f t="shared" ref="AG131" ca="1" si="24">IFERROR(AG141+AG151+AG161+AG171+AG181+AG191++AG201+AG211+AG221+AG231+AG241+AG251+AG261+AG271+AG281,"")</f>
        <v>0</v>
      </c>
    </row>
    <row r="132" spans="1:38" x14ac:dyDescent="0.45">
      <c r="B132" s="21" t="s">
        <v>26</v>
      </c>
      <c r="C132" s="28">
        <f t="shared" ca="1" si="21"/>
        <v>0</v>
      </c>
      <c r="D132" s="28">
        <f t="shared" ca="1" si="19"/>
        <v>0</v>
      </c>
      <c r="E132" s="28">
        <f t="shared" ca="1" si="19"/>
        <v>0</v>
      </c>
      <c r="F132" s="28">
        <f t="shared" ca="1" si="19"/>
        <v>0</v>
      </c>
      <c r="G132" s="28">
        <f t="shared" ca="1" si="19"/>
        <v>0</v>
      </c>
      <c r="H132" s="28">
        <f t="shared" ca="1" si="19"/>
        <v>0</v>
      </c>
      <c r="I132" s="28">
        <f t="shared" ca="1" si="19"/>
        <v>0</v>
      </c>
      <c r="J132" s="28">
        <f t="shared" ca="1" si="19"/>
        <v>0</v>
      </c>
      <c r="K132" s="28">
        <f t="shared" ca="1" si="19"/>
        <v>0</v>
      </c>
      <c r="L132" s="28">
        <f t="shared" ca="1" si="19"/>
        <v>0</v>
      </c>
      <c r="M132" s="28">
        <f t="shared" ca="1" si="19"/>
        <v>0</v>
      </c>
      <c r="N132" s="28">
        <f t="shared" ca="1" si="19"/>
        <v>0</v>
      </c>
      <c r="O132" s="28">
        <f t="shared" ca="1" si="19"/>
        <v>0</v>
      </c>
      <c r="P132" s="28">
        <f t="shared" ca="1" si="19"/>
        <v>0</v>
      </c>
      <c r="Q132" s="28">
        <f t="shared" ca="1" si="19"/>
        <v>0</v>
      </c>
      <c r="R132" s="28">
        <f t="shared" ca="1" si="19"/>
        <v>0</v>
      </c>
      <c r="S132" s="28">
        <f t="shared" ca="1" si="19"/>
        <v>0</v>
      </c>
      <c r="T132" s="28">
        <f t="shared" ca="1" si="19"/>
        <v>0</v>
      </c>
      <c r="U132" s="28">
        <f t="shared" ca="1" si="19"/>
        <v>0</v>
      </c>
      <c r="V132" s="28">
        <f t="shared" ca="1" si="19"/>
        <v>0</v>
      </c>
      <c r="W132" s="28">
        <f t="shared" ca="1" si="19"/>
        <v>0</v>
      </c>
      <c r="X132" s="28">
        <f t="shared" ca="1" si="19"/>
        <v>0</v>
      </c>
      <c r="Y132" s="28">
        <f t="shared" ca="1" si="19"/>
        <v>0</v>
      </c>
      <c r="Z132" s="28">
        <f t="shared" ca="1" si="19"/>
        <v>0</v>
      </c>
      <c r="AA132" s="28">
        <f t="shared" ca="1" si="19"/>
        <v>0</v>
      </c>
      <c r="AB132" s="28">
        <f t="shared" ca="1" si="19"/>
        <v>0</v>
      </c>
      <c r="AC132" s="28">
        <f t="shared" ca="1" si="19"/>
        <v>0</v>
      </c>
      <c r="AD132" s="28">
        <f t="shared" ca="1" si="19"/>
        <v>0</v>
      </c>
      <c r="AE132" s="28">
        <f t="shared" ca="1" si="19"/>
        <v>0</v>
      </c>
      <c r="AF132" s="28">
        <f t="shared" ca="1" si="19"/>
        <v>0</v>
      </c>
      <c r="AG132" s="28">
        <f t="shared" ref="AG132" ca="1" si="25">IFERROR(AG142+AG152+AG162+AG172+AG182+AG192++AG202+AG212+AG222+AG232+AG242+AG252+AG262+AG272+AG282,"")</f>
        <v>0</v>
      </c>
    </row>
    <row r="133" spans="1:38" x14ac:dyDescent="0.45">
      <c r="B133" s="21" t="s">
        <v>113</v>
      </c>
      <c r="C133" s="28">
        <f t="shared" ca="1" si="21"/>
        <v>0</v>
      </c>
      <c r="D133" s="28">
        <f t="shared" ca="1" si="19"/>
        <v>0</v>
      </c>
      <c r="E133" s="28">
        <f t="shared" ca="1" si="19"/>
        <v>0</v>
      </c>
      <c r="F133" s="28">
        <f t="shared" ca="1" si="19"/>
        <v>0</v>
      </c>
      <c r="G133" s="28">
        <f t="shared" ca="1" si="19"/>
        <v>0</v>
      </c>
      <c r="H133" s="28">
        <f t="shared" ca="1" si="19"/>
        <v>0</v>
      </c>
      <c r="I133" s="28">
        <f t="shared" ca="1" si="19"/>
        <v>0</v>
      </c>
      <c r="J133" s="28">
        <f t="shared" ca="1" si="19"/>
        <v>0</v>
      </c>
      <c r="K133" s="28">
        <f t="shared" ca="1" si="19"/>
        <v>0</v>
      </c>
      <c r="L133" s="28">
        <f t="shared" ca="1" si="19"/>
        <v>0</v>
      </c>
      <c r="M133" s="28">
        <f t="shared" ca="1" si="19"/>
        <v>0</v>
      </c>
      <c r="N133" s="28">
        <f t="shared" ca="1" si="19"/>
        <v>0</v>
      </c>
      <c r="O133" s="28">
        <f t="shared" ca="1" si="19"/>
        <v>0</v>
      </c>
      <c r="P133" s="28">
        <f t="shared" ca="1" si="19"/>
        <v>0</v>
      </c>
      <c r="Q133" s="28">
        <f t="shared" ca="1" si="19"/>
        <v>0</v>
      </c>
      <c r="R133" s="28">
        <f t="shared" ca="1" si="19"/>
        <v>0</v>
      </c>
      <c r="S133" s="28">
        <f t="shared" ca="1" si="19"/>
        <v>0</v>
      </c>
      <c r="T133" s="28">
        <f t="shared" ca="1" si="19"/>
        <v>0</v>
      </c>
      <c r="U133" s="28">
        <f t="shared" ca="1" si="19"/>
        <v>0</v>
      </c>
      <c r="V133" s="28">
        <f t="shared" ca="1" si="19"/>
        <v>0</v>
      </c>
      <c r="W133" s="28">
        <f t="shared" ca="1" si="19"/>
        <v>0</v>
      </c>
      <c r="X133" s="28">
        <f t="shared" ca="1" si="19"/>
        <v>0</v>
      </c>
      <c r="Y133" s="28">
        <f t="shared" ca="1" si="19"/>
        <v>0</v>
      </c>
      <c r="Z133" s="28">
        <f t="shared" ca="1" si="19"/>
        <v>0</v>
      </c>
      <c r="AA133" s="28">
        <f t="shared" ca="1" si="19"/>
        <v>0</v>
      </c>
      <c r="AB133" s="28">
        <f t="shared" ca="1" si="19"/>
        <v>0</v>
      </c>
      <c r="AC133" s="28">
        <f t="shared" ca="1" si="19"/>
        <v>0</v>
      </c>
      <c r="AD133" s="28">
        <f t="shared" ca="1" si="19"/>
        <v>0</v>
      </c>
      <c r="AE133" s="28">
        <f t="shared" ca="1" si="19"/>
        <v>0</v>
      </c>
      <c r="AF133" s="28">
        <f t="shared" ca="1" si="19"/>
        <v>0</v>
      </c>
      <c r="AG133" s="28">
        <f t="shared" ref="AG133" ca="1" si="26">IFERROR(AG143+AG153+AG163+AG173+AG183+AG193++AG203+AG213+AG223+AG233+AG243+AG253+AG263+AG273+AG283,"")</f>
        <v>0</v>
      </c>
      <c r="AH133" s="22"/>
      <c r="AI133" s="22"/>
      <c r="AJ133" s="22"/>
      <c r="AK133" s="50"/>
      <c r="AL133" s="22"/>
    </row>
    <row r="134" spans="1:38" x14ac:dyDescent="0.45">
      <c r="B134" s="21" t="s">
        <v>111</v>
      </c>
      <c r="C134" s="28">
        <f t="shared" ca="1" si="21"/>
        <v>0</v>
      </c>
      <c r="D134" s="28">
        <f t="shared" ca="1" si="19"/>
        <v>0</v>
      </c>
      <c r="E134" s="28">
        <f t="shared" ca="1" si="19"/>
        <v>0</v>
      </c>
      <c r="F134" s="28">
        <f t="shared" ca="1" si="19"/>
        <v>0</v>
      </c>
      <c r="G134" s="28">
        <f t="shared" ca="1" si="19"/>
        <v>0</v>
      </c>
      <c r="H134" s="28">
        <f t="shared" ca="1" si="19"/>
        <v>0</v>
      </c>
      <c r="I134" s="28">
        <f t="shared" ca="1" si="19"/>
        <v>0</v>
      </c>
      <c r="J134" s="28">
        <f t="shared" ca="1" si="19"/>
        <v>0</v>
      </c>
      <c r="K134" s="28">
        <f t="shared" ca="1" si="19"/>
        <v>0</v>
      </c>
      <c r="L134" s="28">
        <f t="shared" ca="1" si="19"/>
        <v>0</v>
      </c>
      <c r="M134" s="28">
        <f t="shared" ca="1" si="19"/>
        <v>0</v>
      </c>
      <c r="N134" s="28">
        <f t="shared" ca="1" si="19"/>
        <v>0</v>
      </c>
      <c r="O134" s="28">
        <f t="shared" ca="1" si="19"/>
        <v>0</v>
      </c>
      <c r="P134" s="28">
        <f t="shared" ca="1" si="19"/>
        <v>0</v>
      </c>
      <c r="Q134" s="28">
        <f t="shared" ca="1" si="19"/>
        <v>0</v>
      </c>
      <c r="R134" s="28">
        <f t="shared" ca="1" si="19"/>
        <v>0</v>
      </c>
      <c r="S134" s="28">
        <f t="shared" ca="1" si="19"/>
        <v>0</v>
      </c>
      <c r="T134" s="28">
        <f t="shared" ca="1" si="19"/>
        <v>0</v>
      </c>
      <c r="U134" s="28">
        <f t="shared" ca="1" si="19"/>
        <v>0</v>
      </c>
      <c r="V134" s="28">
        <f t="shared" ca="1" si="19"/>
        <v>0</v>
      </c>
      <c r="W134" s="28">
        <f t="shared" ca="1" si="19"/>
        <v>0</v>
      </c>
      <c r="X134" s="28">
        <f t="shared" ca="1" si="19"/>
        <v>0</v>
      </c>
      <c r="Y134" s="28">
        <f t="shared" ca="1" si="19"/>
        <v>0</v>
      </c>
      <c r="Z134" s="28">
        <f t="shared" ca="1" si="19"/>
        <v>0</v>
      </c>
      <c r="AA134" s="28">
        <f t="shared" ca="1" si="19"/>
        <v>0</v>
      </c>
      <c r="AB134" s="28">
        <f t="shared" ca="1" si="19"/>
        <v>0</v>
      </c>
      <c r="AC134" s="28">
        <f t="shared" ca="1" si="19"/>
        <v>0</v>
      </c>
      <c r="AD134" s="28">
        <f t="shared" ca="1" si="19"/>
        <v>0</v>
      </c>
      <c r="AE134" s="28">
        <f t="shared" ca="1" si="19"/>
        <v>0</v>
      </c>
      <c r="AF134" s="28">
        <f t="shared" ca="1" si="19"/>
        <v>0</v>
      </c>
      <c r="AG134" s="28">
        <f t="shared" ref="AG134" ca="1" si="27">IFERROR(AG144+AG154+AG164+AG174+AG184+AG194++AG204+AG214+AG224+AG234+AG244+AG254+AG264+AG274+AG284,"")</f>
        <v>0</v>
      </c>
      <c r="AH134" s="22"/>
      <c r="AI134" s="22"/>
      <c r="AJ134" s="22"/>
      <c r="AK134" s="49"/>
      <c r="AL134" s="22"/>
    </row>
    <row r="135" spans="1:38" ht="14.65" thickBot="1" x14ac:dyDescent="0.5">
      <c r="B135" s="29" t="s">
        <v>124</v>
      </c>
      <c r="C135" s="31">
        <f ca="1">IF(C105&lt;&gt;"",SUM(C128:C133),"")</f>
        <v>0</v>
      </c>
      <c r="D135" s="31">
        <f t="shared" ref="D135:AF135" ca="1" si="28">IF(D105&lt;&gt;"",SUM(D128:D133),"")</f>
        <v>0</v>
      </c>
      <c r="E135" s="31">
        <f t="shared" ca="1" si="28"/>
        <v>0</v>
      </c>
      <c r="F135" s="31">
        <f t="shared" ca="1" si="28"/>
        <v>0</v>
      </c>
      <c r="G135" s="31">
        <f t="shared" ca="1" si="28"/>
        <v>0</v>
      </c>
      <c r="H135" s="31">
        <f t="shared" ca="1" si="28"/>
        <v>0</v>
      </c>
      <c r="I135" s="31">
        <f t="shared" ca="1" si="28"/>
        <v>0</v>
      </c>
      <c r="J135" s="31">
        <f t="shared" ca="1" si="28"/>
        <v>0</v>
      </c>
      <c r="K135" s="31">
        <f t="shared" ca="1" si="28"/>
        <v>0</v>
      </c>
      <c r="L135" s="31">
        <f t="shared" ca="1" si="28"/>
        <v>0</v>
      </c>
      <c r="M135" s="31">
        <f t="shared" ca="1" si="28"/>
        <v>0</v>
      </c>
      <c r="N135" s="31">
        <f t="shared" ca="1" si="28"/>
        <v>0</v>
      </c>
      <c r="O135" s="31">
        <f t="shared" ca="1" si="28"/>
        <v>0</v>
      </c>
      <c r="P135" s="31">
        <f t="shared" ca="1" si="28"/>
        <v>0</v>
      </c>
      <c r="Q135" s="31">
        <f t="shared" ca="1" si="28"/>
        <v>0</v>
      </c>
      <c r="R135" s="31">
        <f t="shared" ca="1" si="28"/>
        <v>0</v>
      </c>
      <c r="S135" s="31">
        <f t="shared" ca="1" si="28"/>
        <v>0</v>
      </c>
      <c r="T135" s="31">
        <f t="shared" ca="1" si="28"/>
        <v>0</v>
      </c>
      <c r="U135" s="31">
        <f t="shared" ca="1" si="28"/>
        <v>0</v>
      </c>
      <c r="V135" s="31">
        <f t="shared" ca="1" si="28"/>
        <v>0</v>
      </c>
      <c r="W135" s="31">
        <f t="shared" ca="1" si="28"/>
        <v>0</v>
      </c>
      <c r="X135" s="31">
        <f t="shared" ca="1" si="28"/>
        <v>0</v>
      </c>
      <c r="Y135" s="31">
        <f t="shared" ca="1" si="28"/>
        <v>0</v>
      </c>
      <c r="Z135" s="31">
        <f t="shared" ca="1" si="28"/>
        <v>0</v>
      </c>
      <c r="AA135" s="31">
        <f t="shared" ca="1" si="28"/>
        <v>0</v>
      </c>
      <c r="AB135" s="31">
        <f t="shared" ca="1" si="28"/>
        <v>0</v>
      </c>
      <c r="AC135" s="31">
        <f t="shared" ca="1" si="28"/>
        <v>0</v>
      </c>
      <c r="AD135" s="31">
        <f t="shared" ca="1" si="28"/>
        <v>0</v>
      </c>
      <c r="AE135" s="31">
        <f t="shared" ca="1" si="28"/>
        <v>0</v>
      </c>
      <c r="AF135" s="31">
        <f t="shared" ca="1" si="28"/>
        <v>0</v>
      </c>
      <c r="AG135" s="31">
        <f t="shared" ref="AG135" ca="1" si="29">IF(AG105&lt;&gt;"",SUM(AG128:AG133),"")</f>
        <v>0</v>
      </c>
      <c r="AH135" s="22"/>
      <c r="AI135" s="22"/>
      <c r="AJ135" s="22"/>
      <c r="AK135" s="22"/>
      <c r="AL135" s="22"/>
    </row>
    <row r="136" spans="1:38" ht="14.65" thickTop="1" x14ac:dyDescent="0.45">
      <c r="B136" s="6"/>
      <c r="AH136" s="22"/>
      <c r="AI136" s="22"/>
      <c r="AJ136" s="22"/>
      <c r="AK136" s="22"/>
      <c r="AL136" s="22"/>
    </row>
    <row r="137" spans="1:38" x14ac:dyDescent="0.45">
      <c r="C137" s="6">
        <v>2021</v>
      </c>
      <c r="D137" s="6">
        <v>2022</v>
      </c>
      <c r="E137" s="6">
        <v>2023</v>
      </c>
      <c r="F137" s="6">
        <v>2024</v>
      </c>
      <c r="G137" s="6">
        <v>2025</v>
      </c>
      <c r="H137" s="6">
        <v>2026</v>
      </c>
      <c r="I137" s="6">
        <v>2027</v>
      </c>
      <c r="J137" s="6">
        <v>2028</v>
      </c>
      <c r="K137" s="6">
        <v>2029</v>
      </c>
      <c r="L137" s="6">
        <v>2030</v>
      </c>
      <c r="M137" s="6">
        <v>2031</v>
      </c>
      <c r="N137" s="6">
        <v>2032</v>
      </c>
      <c r="O137" s="6">
        <v>2033</v>
      </c>
      <c r="P137" s="6">
        <v>2034</v>
      </c>
      <c r="Q137" s="6">
        <v>2035</v>
      </c>
      <c r="R137" s="6">
        <v>2036</v>
      </c>
      <c r="S137" s="6">
        <v>2037</v>
      </c>
      <c r="T137" s="6">
        <v>2038</v>
      </c>
      <c r="U137" s="6">
        <v>2039</v>
      </c>
      <c r="V137" s="6">
        <v>2040</v>
      </c>
      <c r="W137" s="6">
        <v>2041</v>
      </c>
      <c r="X137" s="6">
        <v>2042</v>
      </c>
      <c r="Y137" s="6">
        <v>2043</v>
      </c>
      <c r="Z137" s="6">
        <v>2044</v>
      </c>
      <c r="AA137" s="6">
        <v>2045</v>
      </c>
      <c r="AB137" s="6">
        <v>2046</v>
      </c>
      <c r="AC137" s="6">
        <v>2047</v>
      </c>
      <c r="AD137" s="6">
        <v>2048</v>
      </c>
      <c r="AE137" s="6">
        <v>2049</v>
      </c>
      <c r="AF137" s="6">
        <v>2050</v>
      </c>
      <c r="AG137" s="6">
        <v>2051</v>
      </c>
    </row>
    <row r="138" spans="1:38" x14ac:dyDescent="0.45">
      <c r="A138" t="s">
        <v>17</v>
      </c>
      <c r="B138" s="21" t="s">
        <v>82</v>
      </c>
      <c r="C138" s="28">
        <f ca="1">IFERROR(SUMIFS(Energy[2021_TWh],Energy[[Sector]:[Sector]],$A$138, Energy[[Fuel_category]:[Fuel_category]],$B138),"")</f>
        <v>0</v>
      </c>
      <c r="D138" s="28">
        <f ca="1">IFERROR(SUMIFS(Energy[2022_TWh],Energy[[Sector]:[Sector]],$A$138, Energy[[Fuel_category]:[Fuel_category]],$B138),"")</f>
        <v>0</v>
      </c>
      <c r="E138" s="28">
        <f ca="1">IFERROR(SUMIFS(Energy[2023_TWh],Energy[[Sector]:[Sector]],$A$138, Energy[[Fuel_category]:[Fuel_category]],$B138),"")</f>
        <v>0</v>
      </c>
      <c r="F138" s="28">
        <f ca="1">IFERROR(SUMIFS(Energy[2024_TWh],Energy[[Sector]:[Sector]],$A$138, Energy[[Fuel_category]:[Fuel_category]],$B138),"")</f>
        <v>0</v>
      </c>
      <c r="G138" s="28">
        <f ca="1">IFERROR(SUMIFS(Energy[2025_TWh],Energy[[Sector]:[Sector]],$A$138, Energy[[Fuel_category]:[Fuel_category]],$B138),"")</f>
        <v>0</v>
      </c>
      <c r="H138" s="28">
        <f ca="1">IFERROR(SUMIFS(Energy[2026_TWh],Energy[[Sector]:[Sector]],$A$138, Energy[[Fuel_category]:[Fuel_category]],$B138),"")</f>
        <v>0</v>
      </c>
      <c r="I138" s="28">
        <f ca="1">IFERROR(SUMIFS(Energy[2027_TWh],Energy[[Sector]:[Sector]],$A$138, Energy[[Fuel_category]:[Fuel_category]],$B138),"")</f>
        <v>0</v>
      </c>
      <c r="J138" s="28">
        <f ca="1">IFERROR(SUMIFS(Energy[2028_TWh],Energy[[Sector]:[Sector]],$A$138, Energy[[Fuel_category]:[Fuel_category]],$B138),"")</f>
        <v>0</v>
      </c>
      <c r="K138" s="28">
        <f ca="1">IFERROR(SUMIFS(Energy[2029_TWh],Energy[[Sector]:[Sector]],$A$138, Energy[[Fuel_category]:[Fuel_category]],$B138),"")</f>
        <v>0</v>
      </c>
      <c r="L138" s="28">
        <f ca="1">IFERROR(SUMIFS(Energy[2030_TWh],Energy[[Sector]:[Sector]],$A$138, Energy[[Fuel_category]:[Fuel_category]],$B138),"")</f>
        <v>0</v>
      </c>
      <c r="M138" s="28">
        <f ca="1">IFERROR(SUMIFS(Energy[2031_TWh],Energy[[Sector]:[Sector]],$A$138, Energy[[Fuel_category]:[Fuel_category]],$B138),"")</f>
        <v>0</v>
      </c>
      <c r="N138" s="28">
        <f ca="1">IFERROR(SUMIFS(Energy[2032_TWh],Energy[[Sector]:[Sector]],$A$138, Energy[[Fuel_category]:[Fuel_category]],$B138),"")</f>
        <v>0</v>
      </c>
      <c r="O138" s="28">
        <f ca="1">IFERROR(SUMIFS(Energy[2033_TWh],Energy[[Sector]:[Sector]],$A$138, Energy[[Fuel_category]:[Fuel_category]],$B138),"")</f>
        <v>0</v>
      </c>
      <c r="P138" s="28">
        <f ca="1">IFERROR(SUMIFS(Energy[2034_TWh],Energy[[Sector]:[Sector]],$A$138, Energy[[Fuel_category]:[Fuel_category]],$B138),"")</f>
        <v>0</v>
      </c>
      <c r="Q138" s="28">
        <f ca="1">IFERROR(SUMIFS(Energy[2035_TWh],Energy[[Sector]:[Sector]],$A$138, Energy[[Fuel_category]:[Fuel_category]],$B138),"")</f>
        <v>0</v>
      </c>
      <c r="R138" s="28">
        <f ca="1">IFERROR(SUMIFS(Energy[2036_TWh],Energy[[Sector]:[Sector]],$A$138, Energy[[Fuel_category]:[Fuel_category]],$B138),"")</f>
        <v>0</v>
      </c>
      <c r="S138" s="28">
        <f ca="1">IFERROR(SUMIFS(Energy[2037_TWh],Energy[[Sector]:[Sector]],$A$138, Energy[[Fuel_category]:[Fuel_category]],$B138),"")</f>
        <v>0</v>
      </c>
      <c r="T138" s="28">
        <f ca="1">IFERROR(SUMIFS(Energy[2038_TWh],Energy[[Sector]:[Sector]],$A$138, Energy[[Fuel_category]:[Fuel_category]],$B138),"")</f>
        <v>0</v>
      </c>
      <c r="U138" s="28">
        <f ca="1">IFERROR(SUMIFS(Energy[2039_TWh],Energy[[Sector]:[Sector]],$A$138, Energy[[Fuel_category]:[Fuel_category]],$B138),"")</f>
        <v>0</v>
      </c>
      <c r="V138" s="28">
        <f ca="1">IFERROR(SUMIFS(Energy[2040_TWh],Energy[[Sector]:[Sector]],$A$138, Energy[[Fuel_category]:[Fuel_category]],$B138),"")</f>
        <v>0</v>
      </c>
      <c r="W138" s="28">
        <f ca="1">IFERROR(SUMIFS(Energy[2041_TWh],Energy[[Sector]:[Sector]],$A$138, Energy[[Fuel_category]:[Fuel_category]],$B138),"")</f>
        <v>0</v>
      </c>
      <c r="X138" s="28">
        <f ca="1">IFERROR(SUMIFS(Energy[2042_TWh],Energy[[Sector]:[Sector]],$A$138, Energy[[Fuel_category]:[Fuel_category]],$B138),"")</f>
        <v>0</v>
      </c>
      <c r="Y138" s="28">
        <f ca="1">IFERROR(SUMIFS(Energy[2043_TWh],Energy[[Sector]:[Sector]],$A$138, Energy[[Fuel_category]:[Fuel_category]],$B138),"")</f>
        <v>0</v>
      </c>
      <c r="Z138" s="28">
        <f ca="1">IFERROR(SUMIFS(Energy[2044_TWh],Energy[[Sector]:[Sector]],$A$138, Energy[[Fuel_category]:[Fuel_category]],$B138),"")</f>
        <v>0</v>
      </c>
      <c r="AA138" s="28">
        <f ca="1">IFERROR(SUMIFS(Energy[2045_TWh],Energy[[Sector]:[Sector]],$A$138, Energy[[Fuel_category]:[Fuel_category]],$B138),"")</f>
        <v>0</v>
      </c>
      <c r="AB138" s="28">
        <f ca="1">IFERROR(SUMIFS(Energy[2046_TWh],Energy[[Sector]:[Sector]],$A$138, Energy[[Fuel_category]:[Fuel_category]],$B138),"")</f>
        <v>0</v>
      </c>
      <c r="AC138" s="28">
        <f ca="1">IFERROR(SUMIFS(Energy[2047_TWh],Energy[[Sector]:[Sector]],$A$138, Energy[[Fuel_category]:[Fuel_category]],$B138),"")</f>
        <v>0</v>
      </c>
      <c r="AD138" s="28">
        <f ca="1">IFERROR(SUMIFS(Energy[2048_TWh],Energy[[Sector]:[Sector]],$A$138, Energy[[Fuel_category]:[Fuel_category]],$B138),"")</f>
        <v>0</v>
      </c>
      <c r="AE138" s="28">
        <f ca="1">IFERROR(SUMIFS(Energy[2049_TWh],Energy[[Sector]:[Sector]],$A$138, Energy[[Fuel_category]:[Fuel_category]],$B138),"")</f>
        <v>0</v>
      </c>
      <c r="AF138" s="28">
        <f ca="1">IFERROR(SUMIFS(Energy[2050_TWh],Energy[[Sector]:[Sector]],$A$138, Energy[[Fuel_category]:[Fuel_category]],$B138),"")</f>
        <v>0</v>
      </c>
      <c r="AG138" s="28">
        <f ca="1">IFERROR(SUMIFS(Energy[2051_TWh],Energy[[Sector]:[Sector]],$A$138, Energy[[Fuel_category]:[Fuel_category]],$B138),"")</f>
        <v>0</v>
      </c>
    </row>
    <row r="139" spans="1:38" x14ac:dyDescent="0.45">
      <c r="B139" s="21" t="s">
        <v>83</v>
      </c>
      <c r="C139" s="28">
        <f ca="1">IFERROR(SUMIFS(Energy[2021_TWh],Energy[[Sector]:[Sector]],$A$138, Energy[[Fuel_category]:[Fuel_category]],$B139),"")</f>
        <v>0</v>
      </c>
      <c r="D139" s="28">
        <f ca="1">IFERROR(SUMIFS(Energy[2022_TWh],Energy[[Sector]:[Sector]],$A$138, Energy[[Fuel_category]:[Fuel_category]],$B139),"")</f>
        <v>0</v>
      </c>
      <c r="E139" s="28">
        <f ca="1">IFERROR(SUMIFS(Energy[2023_TWh],Energy[[Sector]:[Sector]],$A$138, Energy[[Fuel_category]:[Fuel_category]],$B139),"")</f>
        <v>0</v>
      </c>
      <c r="F139" s="28">
        <f ca="1">IFERROR(SUMIFS(Energy[2024_TWh],Energy[[Sector]:[Sector]],$A$138, Energy[[Fuel_category]:[Fuel_category]],$B139),"")</f>
        <v>0</v>
      </c>
      <c r="G139" s="28">
        <f ca="1">IFERROR(SUMIFS(Energy[2025_TWh],Energy[[Sector]:[Sector]],$A$138, Energy[[Fuel_category]:[Fuel_category]],$B139),"")</f>
        <v>0</v>
      </c>
      <c r="H139" s="28">
        <f ca="1">IFERROR(SUMIFS(Energy[2026_TWh],Energy[[Sector]:[Sector]],$A$138, Energy[[Fuel_category]:[Fuel_category]],$B139),"")</f>
        <v>0</v>
      </c>
      <c r="I139" s="28">
        <f ca="1">IFERROR(SUMIFS(Energy[2027_TWh],Energy[[Sector]:[Sector]],$A$138, Energy[[Fuel_category]:[Fuel_category]],$B139),"")</f>
        <v>0</v>
      </c>
      <c r="J139" s="28">
        <f ca="1">IFERROR(SUMIFS(Energy[2028_TWh],Energy[[Sector]:[Sector]],$A$138, Energy[[Fuel_category]:[Fuel_category]],$B139),"")</f>
        <v>0</v>
      </c>
      <c r="K139" s="28">
        <f ca="1">IFERROR(SUMIFS(Energy[2029_TWh],Energy[[Sector]:[Sector]],$A$138, Energy[[Fuel_category]:[Fuel_category]],$B139),"")</f>
        <v>0</v>
      </c>
      <c r="L139" s="28">
        <f ca="1">IFERROR(SUMIFS(Energy[2030_TWh],Energy[[Sector]:[Sector]],$A$138, Energy[[Fuel_category]:[Fuel_category]],$B139),"")</f>
        <v>0</v>
      </c>
      <c r="M139" s="28">
        <f ca="1">IFERROR(SUMIFS(Energy[2031_TWh],Energy[[Sector]:[Sector]],$A$138, Energy[[Fuel_category]:[Fuel_category]],$B139),"")</f>
        <v>0</v>
      </c>
      <c r="N139" s="28">
        <f ca="1">IFERROR(SUMIFS(Energy[2032_TWh],Energy[[Sector]:[Sector]],$A$138, Energy[[Fuel_category]:[Fuel_category]],$B139),"")</f>
        <v>0</v>
      </c>
      <c r="O139" s="28">
        <f ca="1">IFERROR(SUMIFS(Energy[2033_TWh],Energy[[Sector]:[Sector]],$A$138, Energy[[Fuel_category]:[Fuel_category]],$B139),"")</f>
        <v>0</v>
      </c>
      <c r="P139" s="28">
        <f ca="1">IFERROR(SUMIFS(Energy[2034_TWh],Energy[[Sector]:[Sector]],$A$138, Energy[[Fuel_category]:[Fuel_category]],$B139),"")</f>
        <v>0</v>
      </c>
      <c r="Q139" s="28">
        <f ca="1">IFERROR(SUMIFS(Energy[2035_TWh],Energy[[Sector]:[Sector]],$A$138, Energy[[Fuel_category]:[Fuel_category]],$B139),"")</f>
        <v>0</v>
      </c>
      <c r="R139" s="28">
        <f ca="1">IFERROR(SUMIFS(Energy[2036_TWh],Energy[[Sector]:[Sector]],$A$138, Energy[[Fuel_category]:[Fuel_category]],$B139),"")</f>
        <v>0</v>
      </c>
      <c r="S139" s="28">
        <f ca="1">IFERROR(SUMIFS(Energy[2037_TWh],Energy[[Sector]:[Sector]],$A$138, Energy[[Fuel_category]:[Fuel_category]],$B139),"")</f>
        <v>0</v>
      </c>
      <c r="T139" s="28">
        <f ca="1">IFERROR(SUMIFS(Energy[2038_TWh],Energy[[Sector]:[Sector]],$A$138, Energy[[Fuel_category]:[Fuel_category]],$B139),"")</f>
        <v>0</v>
      </c>
      <c r="U139" s="28">
        <f ca="1">IFERROR(SUMIFS(Energy[2039_TWh],Energy[[Sector]:[Sector]],$A$138, Energy[[Fuel_category]:[Fuel_category]],$B139),"")</f>
        <v>0</v>
      </c>
      <c r="V139" s="28">
        <f ca="1">IFERROR(SUMIFS(Energy[2040_TWh],Energy[[Sector]:[Sector]],$A$138, Energy[[Fuel_category]:[Fuel_category]],$B139),"")</f>
        <v>0</v>
      </c>
      <c r="W139" s="28">
        <f ca="1">IFERROR(SUMIFS(Energy[2041_TWh],Energy[[Sector]:[Sector]],$A$138, Energy[[Fuel_category]:[Fuel_category]],$B139),"")</f>
        <v>0</v>
      </c>
      <c r="X139" s="28">
        <f ca="1">IFERROR(SUMIFS(Energy[2042_TWh],Energy[[Sector]:[Sector]],$A$138, Energy[[Fuel_category]:[Fuel_category]],$B139),"")</f>
        <v>0</v>
      </c>
      <c r="Y139" s="28">
        <f ca="1">IFERROR(SUMIFS(Energy[2043_TWh],Energy[[Sector]:[Sector]],$A$138, Energy[[Fuel_category]:[Fuel_category]],$B139),"")</f>
        <v>0</v>
      </c>
      <c r="Z139" s="28">
        <f ca="1">IFERROR(SUMIFS(Energy[2044_TWh],Energy[[Sector]:[Sector]],$A$138, Energy[[Fuel_category]:[Fuel_category]],$B139),"")</f>
        <v>0</v>
      </c>
      <c r="AA139" s="28">
        <f ca="1">IFERROR(SUMIFS(Energy[2045_TWh],Energy[[Sector]:[Sector]],$A$138, Energy[[Fuel_category]:[Fuel_category]],$B139),"")</f>
        <v>0</v>
      </c>
      <c r="AB139" s="28">
        <f ca="1">IFERROR(SUMIFS(Energy[2046_TWh],Energy[[Sector]:[Sector]],$A$138, Energy[[Fuel_category]:[Fuel_category]],$B139),"")</f>
        <v>0</v>
      </c>
      <c r="AC139" s="28">
        <f ca="1">IFERROR(SUMIFS(Energy[2047_TWh],Energy[[Sector]:[Sector]],$A$138, Energy[[Fuel_category]:[Fuel_category]],$B139),"")</f>
        <v>0</v>
      </c>
      <c r="AD139" s="28">
        <f ca="1">IFERROR(SUMIFS(Energy[2048_TWh],Energy[[Sector]:[Sector]],$A$138, Energy[[Fuel_category]:[Fuel_category]],$B139),"")</f>
        <v>0</v>
      </c>
      <c r="AE139" s="28">
        <f ca="1">IFERROR(SUMIFS(Energy[2049_TWh],Energy[[Sector]:[Sector]],$A$138, Energy[[Fuel_category]:[Fuel_category]],$B139),"")</f>
        <v>0</v>
      </c>
      <c r="AF139" s="28">
        <f ca="1">IFERROR(SUMIFS(Energy[2050_TWh],Energy[[Sector]:[Sector]],$A$138, Energy[[Fuel_category]:[Fuel_category]],$B139),"")</f>
        <v>0</v>
      </c>
      <c r="AG139" s="28">
        <f ca="1">IFERROR(SUMIFS(Energy[2051_TWh],Energy[[Sector]:[Sector]],$A$138, Energy[[Fuel_category]:[Fuel_category]],$B139),"")</f>
        <v>0</v>
      </c>
    </row>
    <row r="140" spans="1:38" x14ac:dyDescent="0.45">
      <c r="B140" s="21" t="s">
        <v>67</v>
      </c>
      <c r="C140" s="28">
        <f ca="1">IFERROR(SUMIFS(Energy[2021_TWh],Energy[[Sector]:[Sector]],$A$138, Energy[[Fuel_category]:[Fuel_category]],$B140),"")</f>
        <v>0</v>
      </c>
      <c r="D140" s="28">
        <f ca="1">IFERROR(SUMIFS(Energy[2022_TWh],Energy[[Sector]:[Sector]],$A$138, Energy[[Fuel_category]:[Fuel_category]],$B140),"")</f>
        <v>0</v>
      </c>
      <c r="E140" s="28">
        <f ca="1">IFERROR(SUMIFS(Energy[2023_TWh],Energy[[Sector]:[Sector]],$A$138, Energy[[Fuel_category]:[Fuel_category]],$B140),"")</f>
        <v>0</v>
      </c>
      <c r="F140" s="28">
        <f ca="1">IFERROR(SUMIFS(Energy[2024_TWh],Energy[[Sector]:[Sector]],$A$138, Energy[[Fuel_category]:[Fuel_category]],$B140),"")</f>
        <v>0</v>
      </c>
      <c r="G140" s="28">
        <f ca="1">IFERROR(SUMIFS(Energy[2025_TWh],Energy[[Sector]:[Sector]],$A$138, Energy[[Fuel_category]:[Fuel_category]],$B140),"")</f>
        <v>0</v>
      </c>
      <c r="H140" s="28">
        <f ca="1">IFERROR(SUMIFS(Energy[2026_TWh],Energy[[Sector]:[Sector]],$A$138, Energy[[Fuel_category]:[Fuel_category]],$B140),"")</f>
        <v>0</v>
      </c>
      <c r="I140" s="28">
        <f ca="1">IFERROR(SUMIFS(Energy[2027_TWh],Energy[[Sector]:[Sector]],$A$138, Energy[[Fuel_category]:[Fuel_category]],$B140),"")</f>
        <v>0</v>
      </c>
      <c r="J140" s="28">
        <f ca="1">IFERROR(SUMIFS(Energy[2028_TWh],Energy[[Sector]:[Sector]],$A$138, Energy[[Fuel_category]:[Fuel_category]],$B140),"")</f>
        <v>0</v>
      </c>
      <c r="K140" s="28">
        <f ca="1">IFERROR(SUMIFS(Energy[2029_TWh],Energy[[Sector]:[Sector]],$A$138, Energy[[Fuel_category]:[Fuel_category]],$B140),"")</f>
        <v>0</v>
      </c>
      <c r="L140" s="28">
        <f ca="1">IFERROR(SUMIFS(Energy[2030_TWh],Energy[[Sector]:[Sector]],$A$138, Energy[[Fuel_category]:[Fuel_category]],$B140),"")</f>
        <v>0</v>
      </c>
      <c r="M140" s="28">
        <f ca="1">IFERROR(SUMIFS(Energy[2031_TWh],Energy[[Sector]:[Sector]],$A$138, Energy[[Fuel_category]:[Fuel_category]],$B140),"")</f>
        <v>0</v>
      </c>
      <c r="N140" s="28">
        <f ca="1">IFERROR(SUMIFS(Energy[2032_TWh],Energy[[Sector]:[Sector]],$A$138, Energy[[Fuel_category]:[Fuel_category]],$B140),"")</f>
        <v>0</v>
      </c>
      <c r="O140" s="28">
        <f ca="1">IFERROR(SUMIFS(Energy[2033_TWh],Energy[[Sector]:[Sector]],$A$138, Energy[[Fuel_category]:[Fuel_category]],$B140),"")</f>
        <v>0</v>
      </c>
      <c r="P140" s="28">
        <f ca="1">IFERROR(SUMIFS(Energy[2034_TWh],Energy[[Sector]:[Sector]],$A$138, Energy[[Fuel_category]:[Fuel_category]],$B140),"")</f>
        <v>0</v>
      </c>
      <c r="Q140" s="28">
        <f ca="1">IFERROR(SUMIFS(Energy[2035_TWh],Energy[[Sector]:[Sector]],$A$138, Energy[[Fuel_category]:[Fuel_category]],$B140),"")</f>
        <v>0</v>
      </c>
      <c r="R140" s="28">
        <f ca="1">IFERROR(SUMIFS(Energy[2036_TWh],Energy[[Sector]:[Sector]],$A$138, Energy[[Fuel_category]:[Fuel_category]],$B140),"")</f>
        <v>0</v>
      </c>
      <c r="S140" s="28">
        <f ca="1">IFERROR(SUMIFS(Energy[2037_TWh],Energy[[Sector]:[Sector]],$A$138, Energy[[Fuel_category]:[Fuel_category]],$B140),"")</f>
        <v>0</v>
      </c>
      <c r="T140" s="28">
        <f ca="1">IFERROR(SUMIFS(Energy[2038_TWh],Energy[[Sector]:[Sector]],$A$138, Energy[[Fuel_category]:[Fuel_category]],$B140),"")</f>
        <v>0</v>
      </c>
      <c r="U140" s="28">
        <f ca="1">IFERROR(SUMIFS(Energy[2039_TWh],Energy[[Sector]:[Sector]],$A$138, Energy[[Fuel_category]:[Fuel_category]],$B140),"")</f>
        <v>0</v>
      </c>
      <c r="V140" s="28">
        <f ca="1">IFERROR(SUMIFS(Energy[2040_TWh],Energy[[Sector]:[Sector]],$A$138, Energy[[Fuel_category]:[Fuel_category]],$B140),"")</f>
        <v>0</v>
      </c>
      <c r="W140" s="28">
        <f ca="1">IFERROR(SUMIFS(Energy[2041_TWh],Energy[[Sector]:[Sector]],$A$138, Energy[[Fuel_category]:[Fuel_category]],$B140),"")</f>
        <v>0</v>
      </c>
      <c r="X140" s="28">
        <f ca="1">IFERROR(SUMIFS(Energy[2042_TWh],Energy[[Sector]:[Sector]],$A$138, Energy[[Fuel_category]:[Fuel_category]],$B140),"")</f>
        <v>0</v>
      </c>
      <c r="Y140" s="28">
        <f ca="1">IFERROR(SUMIFS(Energy[2043_TWh],Energy[[Sector]:[Sector]],$A$138, Energy[[Fuel_category]:[Fuel_category]],$B140),"")</f>
        <v>0</v>
      </c>
      <c r="Z140" s="28">
        <f ca="1">IFERROR(SUMIFS(Energy[2044_TWh],Energy[[Sector]:[Sector]],$A$138, Energy[[Fuel_category]:[Fuel_category]],$B140),"")</f>
        <v>0</v>
      </c>
      <c r="AA140" s="28">
        <f ca="1">IFERROR(SUMIFS(Energy[2045_TWh],Energy[[Sector]:[Sector]],$A$138, Energy[[Fuel_category]:[Fuel_category]],$B140),"")</f>
        <v>0</v>
      </c>
      <c r="AB140" s="28">
        <f ca="1">IFERROR(SUMIFS(Energy[2046_TWh],Energy[[Sector]:[Sector]],$A$138, Energy[[Fuel_category]:[Fuel_category]],$B140),"")</f>
        <v>0</v>
      </c>
      <c r="AC140" s="28">
        <f ca="1">IFERROR(SUMIFS(Energy[2047_TWh],Energy[[Sector]:[Sector]],$A$138, Energy[[Fuel_category]:[Fuel_category]],$B140),"")</f>
        <v>0</v>
      </c>
      <c r="AD140" s="28">
        <f ca="1">IFERROR(SUMIFS(Energy[2048_TWh],Energy[[Sector]:[Sector]],$A$138, Energy[[Fuel_category]:[Fuel_category]],$B140),"")</f>
        <v>0</v>
      </c>
      <c r="AE140" s="28">
        <f ca="1">IFERROR(SUMIFS(Energy[2049_TWh],Energy[[Sector]:[Sector]],$A$138, Energy[[Fuel_category]:[Fuel_category]],$B140),"")</f>
        <v>0</v>
      </c>
      <c r="AF140" s="28">
        <f ca="1">IFERROR(SUMIFS(Energy[2050_TWh],Energy[[Sector]:[Sector]],$A$138, Energy[[Fuel_category]:[Fuel_category]],$B140),"")</f>
        <v>0</v>
      </c>
      <c r="AG140" s="28">
        <f ca="1">IFERROR(SUMIFS(Energy[2051_TWh],Energy[[Sector]:[Sector]],$A$138, Energy[[Fuel_category]:[Fuel_category]],$B140),"")</f>
        <v>0</v>
      </c>
    </row>
    <row r="141" spans="1:38" x14ac:dyDescent="0.45">
      <c r="B141" s="21" t="s">
        <v>35</v>
      </c>
      <c r="C141" s="28">
        <f ca="1">IFERROR(SUMIFS(Energy[2021_TWh],Energy[[Sector]:[Sector]],$A$138, Energy[[Fuel_category]:[Fuel_category]],$B141),"")</f>
        <v>0</v>
      </c>
      <c r="D141" s="28">
        <f ca="1">IFERROR(SUMIFS(Energy[2022_TWh],Energy[[Sector]:[Sector]],$A$138, Energy[[Fuel_category]:[Fuel_category]],$B141),"")</f>
        <v>0</v>
      </c>
      <c r="E141" s="28">
        <f ca="1">IFERROR(SUMIFS(Energy[2023_TWh],Energy[[Sector]:[Sector]],$A$138, Energy[[Fuel_category]:[Fuel_category]],$B141),"")</f>
        <v>0</v>
      </c>
      <c r="F141" s="28">
        <f ca="1">IFERROR(SUMIFS(Energy[2024_TWh],Energy[[Sector]:[Sector]],$A$138, Energy[[Fuel_category]:[Fuel_category]],$B141),"")</f>
        <v>0</v>
      </c>
      <c r="G141" s="28">
        <f ca="1">IFERROR(SUMIFS(Energy[2025_TWh],Energy[[Sector]:[Sector]],$A$138, Energy[[Fuel_category]:[Fuel_category]],$B141),"")</f>
        <v>0</v>
      </c>
      <c r="H141" s="28">
        <f ca="1">IFERROR(SUMIFS(Energy[2026_TWh],Energy[[Sector]:[Sector]],$A$138, Energy[[Fuel_category]:[Fuel_category]],$B141),"")</f>
        <v>0</v>
      </c>
      <c r="I141" s="28">
        <f ca="1">IFERROR(SUMIFS(Energy[2027_TWh],Energy[[Sector]:[Sector]],$A$138, Energy[[Fuel_category]:[Fuel_category]],$B141),"")</f>
        <v>0</v>
      </c>
      <c r="J141" s="28">
        <f ca="1">IFERROR(SUMIFS(Energy[2028_TWh],Energy[[Sector]:[Sector]],$A$138, Energy[[Fuel_category]:[Fuel_category]],$B141),"")</f>
        <v>0</v>
      </c>
      <c r="K141" s="28">
        <f ca="1">IFERROR(SUMIFS(Energy[2029_TWh],Energy[[Sector]:[Sector]],$A$138, Energy[[Fuel_category]:[Fuel_category]],$B141),"")</f>
        <v>0</v>
      </c>
      <c r="L141" s="28">
        <f ca="1">IFERROR(SUMIFS(Energy[2030_TWh],Energy[[Sector]:[Sector]],$A$138, Energy[[Fuel_category]:[Fuel_category]],$B141),"")</f>
        <v>0</v>
      </c>
      <c r="M141" s="28">
        <f ca="1">IFERROR(SUMIFS(Energy[2031_TWh],Energy[[Sector]:[Sector]],$A$138, Energy[[Fuel_category]:[Fuel_category]],$B141),"")</f>
        <v>0</v>
      </c>
      <c r="N141" s="28">
        <f ca="1">IFERROR(SUMIFS(Energy[2032_TWh],Energy[[Sector]:[Sector]],$A$138, Energy[[Fuel_category]:[Fuel_category]],$B141),"")</f>
        <v>0</v>
      </c>
      <c r="O141" s="28">
        <f ca="1">IFERROR(SUMIFS(Energy[2033_TWh],Energy[[Sector]:[Sector]],$A$138, Energy[[Fuel_category]:[Fuel_category]],$B141),"")</f>
        <v>0</v>
      </c>
      <c r="P141" s="28">
        <f ca="1">IFERROR(SUMIFS(Energy[2034_TWh],Energy[[Sector]:[Sector]],$A$138, Energy[[Fuel_category]:[Fuel_category]],$B141),"")</f>
        <v>0</v>
      </c>
      <c r="Q141" s="28">
        <f ca="1">IFERROR(SUMIFS(Energy[2035_TWh],Energy[[Sector]:[Sector]],$A$138, Energy[[Fuel_category]:[Fuel_category]],$B141),"")</f>
        <v>0</v>
      </c>
      <c r="R141" s="28">
        <f ca="1">IFERROR(SUMIFS(Energy[2036_TWh],Energy[[Sector]:[Sector]],$A$138, Energy[[Fuel_category]:[Fuel_category]],$B141),"")</f>
        <v>0</v>
      </c>
      <c r="S141" s="28">
        <f ca="1">IFERROR(SUMIFS(Energy[2037_TWh],Energy[[Sector]:[Sector]],$A$138, Energy[[Fuel_category]:[Fuel_category]],$B141),"")</f>
        <v>0</v>
      </c>
      <c r="T141" s="28">
        <f ca="1">IFERROR(SUMIFS(Energy[2038_TWh],Energy[[Sector]:[Sector]],$A$138, Energy[[Fuel_category]:[Fuel_category]],$B141),"")</f>
        <v>0</v>
      </c>
      <c r="U141" s="28">
        <f ca="1">IFERROR(SUMIFS(Energy[2039_TWh],Energy[[Sector]:[Sector]],$A$138, Energy[[Fuel_category]:[Fuel_category]],$B141),"")</f>
        <v>0</v>
      </c>
      <c r="V141" s="28">
        <f ca="1">IFERROR(SUMIFS(Energy[2040_TWh],Energy[[Sector]:[Sector]],$A$138, Energy[[Fuel_category]:[Fuel_category]],$B141),"")</f>
        <v>0</v>
      </c>
      <c r="W141" s="28">
        <f ca="1">IFERROR(SUMIFS(Energy[2041_TWh],Energy[[Sector]:[Sector]],$A$138, Energy[[Fuel_category]:[Fuel_category]],$B141),"")</f>
        <v>0</v>
      </c>
      <c r="X141" s="28">
        <f ca="1">IFERROR(SUMIFS(Energy[2042_TWh],Energy[[Sector]:[Sector]],$A$138, Energy[[Fuel_category]:[Fuel_category]],$B141),"")</f>
        <v>0</v>
      </c>
      <c r="Y141" s="28">
        <f ca="1">IFERROR(SUMIFS(Energy[2043_TWh],Energy[[Sector]:[Sector]],$A$138, Energy[[Fuel_category]:[Fuel_category]],$B141),"")</f>
        <v>0</v>
      </c>
      <c r="Z141" s="28">
        <f ca="1">IFERROR(SUMIFS(Energy[2044_TWh],Energy[[Sector]:[Sector]],$A$138, Energy[[Fuel_category]:[Fuel_category]],$B141),"")</f>
        <v>0</v>
      </c>
      <c r="AA141" s="28">
        <f ca="1">IFERROR(SUMIFS(Energy[2045_TWh],Energy[[Sector]:[Sector]],$A$138, Energy[[Fuel_category]:[Fuel_category]],$B141),"")</f>
        <v>0</v>
      </c>
      <c r="AB141" s="28">
        <f ca="1">IFERROR(SUMIFS(Energy[2046_TWh],Energy[[Sector]:[Sector]],$A$138, Energy[[Fuel_category]:[Fuel_category]],$B141),"")</f>
        <v>0</v>
      </c>
      <c r="AC141" s="28">
        <f ca="1">IFERROR(SUMIFS(Energy[2047_TWh],Energy[[Sector]:[Sector]],$A$138, Energy[[Fuel_category]:[Fuel_category]],$B141),"")</f>
        <v>0</v>
      </c>
      <c r="AD141" s="28">
        <f ca="1">IFERROR(SUMIFS(Energy[2048_TWh],Energy[[Sector]:[Sector]],$A$138, Energy[[Fuel_category]:[Fuel_category]],$B141),"")</f>
        <v>0</v>
      </c>
      <c r="AE141" s="28">
        <f ca="1">IFERROR(SUMIFS(Energy[2049_TWh],Energy[[Sector]:[Sector]],$A$138, Energy[[Fuel_category]:[Fuel_category]],$B141),"")</f>
        <v>0</v>
      </c>
      <c r="AF141" s="28">
        <f ca="1">IFERROR(SUMIFS(Energy[2050_TWh],Energy[[Sector]:[Sector]],$A$138, Energy[[Fuel_category]:[Fuel_category]],$B141),"")</f>
        <v>0</v>
      </c>
      <c r="AG141" s="28">
        <f ca="1">IFERROR(SUMIFS(Energy[2051_TWh],Energy[[Sector]:[Sector]],$A$138, Energy[[Fuel_category]:[Fuel_category]],$B141),"")</f>
        <v>0</v>
      </c>
    </row>
    <row r="142" spans="1:38" x14ac:dyDescent="0.45">
      <c r="B142" s="21" t="s">
        <v>26</v>
      </c>
      <c r="C142" s="28">
        <f ca="1">IFERROR(SUMIFS(Energy[2021_TWh],Energy[[Sector]:[Sector]],$A$138, Energy[[Fuel_category]:[Fuel_category]],$B142),"")</f>
        <v>0</v>
      </c>
      <c r="D142" s="28">
        <f ca="1">IFERROR(SUMIFS(Energy[2022_TWh],Energy[[Sector]:[Sector]],$A$138, Energy[[Fuel_category]:[Fuel_category]],$B142),"")</f>
        <v>0</v>
      </c>
      <c r="E142" s="28">
        <f ca="1">IFERROR(SUMIFS(Energy[2023_TWh],Energy[[Sector]:[Sector]],$A$138, Energy[[Fuel_category]:[Fuel_category]],$B142),"")</f>
        <v>0</v>
      </c>
      <c r="F142" s="28">
        <f ca="1">IFERROR(SUMIFS(Energy[2024_TWh],Energy[[Sector]:[Sector]],$A$138, Energy[[Fuel_category]:[Fuel_category]],$B142),"")</f>
        <v>0</v>
      </c>
      <c r="G142" s="28">
        <f ca="1">IFERROR(SUMIFS(Energy[2025_TWh],Energy[[Sector]:[Sector]],$A$138, Energy[[Fuel_category]:[Fuel_category]],$B142),"")</f>
        <v>0</v>
      </c>
      <c r="H142" s="28">
        <f ca="1">IFERROR(SUMIFS(Energy[2026_TWh],Energy[[Sector]:[Sector]],$A$138, Energy[[Fuel_category]:[Fuel_category]],$B142),"")</f>
        <v>0</v>
      </c>
      <c r="I142" s="28">
        <f ca="1">IFERROR(SUMIFS(Energy[2027_TWh],Energy[[Sector]:[Sector]],$A$138, Energy[[Fuel_category]:[Fuel_category]],$B142),"")</f>
        <v>0</v>
      </c>
      <c r="J142" s="28">
        <f ca="1">IFERROR(SUMIFS(Energy[2028_TWh],Energy[[Sector]:[Sector]],$A$138, Energy[[Fuel_category]:[Fuel_category]],$B142),"")</f>
        <v>0</v>
      </c>
      <c r="K142" s="28">
        <f ca="1">IFERROR(SUMIFS(Energy[2029_TWh],Energy[[Sector]:[Sector]],$A$138, Energy[[Fuel_category]:[Fuel_category]],$B142),"")</f>
        <v>0</v>
      </c>
      <c r="L142" s="28">
        <f ca="1">IFERROR(SUMIFS(Energy[2030_TWh],Energy[[Sector]:[Sector]],$A$138, Energy[[Fuel_category]:[Fuel_category]],$B142),"")</f>
        <v>0</v>
      </c>
      <c r="M142" s="28">
        <f ca="1">IFERROR(SUMIFS(Energy[2031_TWh],Energy[[Sector]:[Sector]],$A$138, Energy[[Fuel_category]:[Fuel_category]],$B142),"")</f>
        <v>0</v>
      </c>
      <c r="N142" s="28">
        <f ca="1">IFERROR(SUMIFS(Energy[2032_TWh],Energy[[Sector]:[Sector]],$A$138, Energy[[Fuel_category]:[Fuel_category]],$B142),"")</f>
        <v>0</v>
      </c>
      <c r="O142" s="28">
        <f ca="1">IFERROR(SUMIFS(Energy[2033_TWh],Energy[[Sector]:[Sector]],$A$138, Energy[[Fuel_category]:[Fuel_category]],$B142),"")</f>
        <v>0</v>
      </c>
      <c r="P142" s="28">
        <f ca="1">IFERROR(SUMIFS(Energy[2034_TWh],Energy[[Sector]:[Sector]],$A$138, Energy[[Fuel_category]:[Fuel_category]],$B142),"")</f>
        <v>0</v>
      </c>
      <c r="Q142" s="28">
        <f ca="1">IFERROR(SUMIFS(Energy[2035_TWh],Energy[[Sector]:[Sector]],$A$138, Energy[[Fuel_category]:[Fuel_category]],$B142),"")</f>
        <v>0</v>
      </c>
      <c r="R142" s="28">
        <f ca="1">IFERROR(SUMIFS(Energy[2036_TWh],Energy[[Sector]:[Sector]],$A$138, Energy[[Fuel_category]:[Fuel_category]],$B142),"")</f>
        <v>0</v>
      </c>
      <c r="S142" s="28">
        <f ca="1">IFERROR(SUMIFS(Energy[2037_TWh],Energy[[Sector]:[Sector]],$A$138, Energy[[Fuel_category]:[Fuel_category]],$B142),"")</f>
        <v>0</v>
      </c>
      <c r="T142" s="28">
        <f ca="1">IFERROR(SUMIFS(Energy[2038_TWh],Energy[[Sector]:[Sector]],$A$138, Energy[[Fuel_category]:[Fuel_category]],$B142),"")</f>
        <v>0</v>
      </c>
      <c r="U142" s="28">
        <f ca="1">IFERROR(SUMIFS(Energy[2039_TWh],Energy[[Sector]:[Sector]],$A$138, Energy[[Fuel_category]:[Fuel_category]],$B142),"")</f>
        <v>0</v>
      </c>
      <c r="V142" s="28">
        <f ca="1">IFERROR(SUMIFS(Energy[2040_TWh],Energy[[Sector]:[Sector]],$A$138, Energy[[Fuel_category]:[Fuel_category]],$B142),"")</f>
        <v>0</v>
      </c>
      <c r="W142" s="28">
        <f ca="1">IFERROR(SUMIFS(Energy[2041_TWh],Energy[[Sector]:[Sector]],$A$138, Energy[[Fuel_category]:[Fuel_category]],$B142),"")</f>
        <v>0</v>
      </c>
      <c r="X142" s="28">
        <f ca="1">IFERROR(SUMIFS(Energy[2042_TWh],Energy[[Sector]:[Sector]],$A$138, Energy[[Fuel_category]:[Fuel_category]],$B142),"")</f>
        <v>0</v>
      </c>
      <c r="Y142" s="28">
        <f ca="1">IFERROR(SUMIFS(Energy[2043_TWh],Energy[[Sector]:[Sector]],$A$138, Energy[[Fuel_category]:[Fuel_category]],$B142),"")</f>
        <v>0</v>
      </c>
      <c r="Z142" s="28">
        <f ca="1">IFERROR(SUMIFS(Energy[2044_TWh],Energy[[Sector]:[Sector]],$A$138, Energy[[Fuel_category]:[Fuel_category]],$B142),"")</f>
        <v>0</v>
      </c>
      <c r="AA142" s="28">
        <f ca="1">IFERROR(SUMIFS(Energy[2045_TWh],Energy[[Sector]:[Sector]],$A$138, Energy[[Fuel_category]:[Fuel_category]],$B142),"")</f>
        <v>0</v>
      </c>
      <c r="AB142" s="28">
        <f ca="1">IFERROR(SUMIFS(Energy[2046_TWh],Energy[[Sector]:[Sector]],$A$138, Energy[[Fuel_category]:[Fuel_category]],$B142),"")</f>
        <v>0</v>
      </c>
      <c r="AC142" s="28">
        <f ca="1">IFERROR(SUMIFS(Energy[2047_TWh],Energy[[Sector]:[Sector]],$A$138, Energy[[Fuel_category]:[Fuel_category]],$B142),"")</f>
        <v>0</v>
      </c>
      <c r="AD142" s="28">
        <f ca="1">IFERROR(SUMIFS(Energy[2048_TWh],Energy[[Sector]:[Sector]],$A$138, Energy[[Fuel_category]:[Fuel_category]],$B142),"")</f>
        <v>0</v>
      </c>
      <c r="AE142" s="28">
        <f ca="1">IFERROR(SUMIFS(Energy[2049_TWh],Energy[[Sector]:[Sector]],$A$138, Energy[[Fuel_category]:[Fuel_category]],$B142),"")</f>
        <v>0</v>
      </c>
      <c r="AF142" s="28">
        <f ca="1">IFERROR(SUMIFS(Energy[2050_TWh],Energy[[Sector]:[Sector]],$A$138, Energy[[Fuel_category]:[Fuel_category]],$B142),"")</f>
        <v>0</v>
      </c>
      <c r="AG142" s="28">
        <f ca="1">IFERROR(SUMIFS(Energy[2051_TWh],Energy[[Sector]:[Sector]],$A$138, Energy[[Fuel_category]:[Fuel_category]],$B142),"")</f>
        <v>0</v>
      </c>
    </row>
    <row r="143" spans="1:38" x14ac:dyDescent="0.45">
      <c r="B143" s="21" t="s">
        <v>112</v>
      </c>
      <c r="C143" s="28">
        <f ca="1">IFERROR(SUMIFS(Energy[2021_TWh],Energy[[Sector]:[Sector]],$A$138, Energy[[Fuel_category]:[Fuel_category]],$B143),"")</f>
        <v>0</v>
      </c>
      <c r="D143" s="28">
        <f ca="1">IFERROR(SUMIFS(Energy[2022_TWh],Energy[[Sector]:[Sector]],$A$138, Energy[[Fuel_category]:[Fuel_category]],$B143),"")</f>
        <v>0</v>
      </c>
      <c r="E143" s="28">
        <f ca="1">IFERROR(SUMIFS(Energy[2023_TWh],Energy[[Sector]:[Sector]],$A$138, Energy[[Fuel_category]:[Fuel_category]],$B143),"")</f>
        <v>0</v>
      </c>
      <c r="F143" s="28">
        <f ca="1">IFERROR(SUMIFS(Energy[2024_TWh],Energy[[Sector]:[Sector]],$A$138, Energy[[Fuel_category]:[Fuel_category]],$B143),"")</f>
        <v>0</v>
      </c>
      <c r="G143" s="28">
        <f ca="1">IFERROR(SUMIFS(Energy[2025_TWh],Energy[[Sector]:[Sector]],$A$138, Energy[[Fuel_category]:[Fuel_category]],$B143),"")</f>
        <v>0</v>
      </c>
      <c r="H143" s="28">
        <f ca="1">IFERROR(SUMIFS(Energy[2026_TWh],Energy[[Sector]:[Sector]],$A$138, Energy[[Fuel_category]:[Fuel_category]],$B143),"")</f>
        <v>0</v>
      </c>
      <c r="I143" s="28">
        <f ca="1">IFERROR(SUMIFS(Energy[2027_TWh],Energy[[Sector]:[Sector]],$A$138, Energy[[Fuel_category]:[Fuel_category]],$B143),"")</f>
        <v>0</v>
      </c>
      <c r="J143" s="28">
        <f ca="1">IFERROR(SUMIFS(Energy[2028_TWh],Energy[[Sector]:[Sector]],$A$138, Energy[[Fuel_category]:[Fuel_category]],$B143),"")</f>
        <v>0</v>
      </c>
      <c r="K143" s="28">
        <f ca="1">IFERROR(SUMIFS(Energy[2029_TWh],Energy[[Sector]:[Sector]],$A$138, Energy[[Fuel_category]:[Fuel_category]],$B143),"")</f>
        <v>0</v>
      </c>
      <c r="L143" s="28">
        <f ca="1">IFERROR(SUMIFS(Energy[2030_TWh],Energy[[Sector]:[Sector]],$A$138, Energy[[Fuel_category]:[Fuel_category]],$B143),"")</f>
        <v>0</v>
      </c>
      <c r="M143" s="28">
        <f ca="1">IFERROR(SUMIFS(Energy[2031_TWh],Energy[[Sector]:[Sector]],$A$138, Energy[[Fuel_category]:[Fuel_category]],$B143),"")</f>
        <v>0</v>
      </c>
      <c r="N143" s="28">
        <f ca="1">IFERROR(SUMIFS(Energy[2032_TWh],Energy[[Sector]:[Sector]],$A$138, Energy[[Fuel_category]:[Fuel_category]],$B143),"")</f>
        <v>0</v>
      </c>
      <c r="O143" s="28">
        <f ca="1">IFERROR(SUMIFS(Energy[2033_TWh],Energy[[Sector]:[Sector]],$A$138, Energy[[Fuel_category]:[Fuel_category]],$B143),"")</f>
        <v>0</v>
      </c>
      <c r="P143" s="28">
        <f ca="1">IFERROR(SUMIFS(Energy[2034_TWh],Energy[[Sector]:[Sector]],$A$138, Energy[[Fuel_category]:[Fuel_category]],$B143),"")</f>
        <v>0</v>
      </c>
      <c r="Q143" s="28">
        <f ca="1">IFERROR(SUMIFS(Energy[2035_TWh],Energy[[Sector]:[Sector]],$A$138, Energy[[Fuel_category]:[Fuel_category]],$B143),"")</f>
        <v>0</v>
      </c>
      <c r="R143" s="28">
        <f ca="1">IFERROR(SUMIFS(Energy[2036_TWh],Energy[[Sector]:[Sector]],$A$138, Energy[[Fuel_category]:[Fuel_category]],$B143),"")</f>
        <v>0</v>
      </c>
      <c r="S143" s="28">
        <f ca="1">IFERROR(SUMIFS(Energy[2037_TWh],Energy[[Sector]:[Sector]],$A$138, Energy[[Fuel_category]:[Fuel_category]],$B143),"")</f>
        <v>0</v>
      </c>
      <c r="T143" s="28">
        <f ca="1">IFERROR(SUMIFS(Energy[2038_TWh],Energy[[Sector]:[Sector]],$A$138, Energy[[Fuel_category]:[Fuel_category]],$B143),"")</f>
        <v>0</v>
      </c>
      <c r="U143" s="28">
        <f ca="1">IFERROR(SUMIFS(Energy[2039_TWh],Energy[[Sector]:[Sector]],$A$138, Energy[[Fuel_category]:[Fuel_category]],$B143),"")</f>
        <v>0</v>
      </c>
      <c r="V143" s="28">
        <f ca="1">IFERROR(SUMIFS(Energy[2040_TWh],Energy[[Sector]:[Sector]],$A$138, Energy[[Fuel_category]:[Fuel_category]],$B143),"")</f>
        <v>0</v>
      </c>
      <c r="W143" s="28">
        <f ca="1">IFERROR(SUMIFS(Energy[2041_TWh],Energy[[Sector]:[Sector]],$A$138, Energy[[Fuel_category]:[Fuel_category]],$B143),"")</f>
        <v>0</v>
      </c>
      <c r="X143" s="28">
        <f ca="1">IFERROR(SUMIFS(Energy[2042_TWh],Energy[[Sector]:[Sector]],$A$138, Energy[[Fuel_category]:[Fuel_category]],$B143),"")</f>
        <v>0</v>
      </c>
      <c r="Y143" s="28">
        <f ca="1">IFERROR(SUMIFS(Energy[2043_TWh],Energy[[Sector]:[Sector]],$A$138, Energy[[Fuel_category]:[Fuel_category]],$B143),"")</f>
        <v>0</v>
      </c>
      <c r="Z143" s="28">
        <f ca="1">IFERROR(SUMIFS(Energy[2044_TWh],Energy[[Sector]:[Sector]],$A$138, Energy[[Fuel_category]:[Fuel_category]],$B143),"")</f>
        <v>0</v>
      </c>
      <c r="AA143" s="28">
        <f ca="1">IFERROR(SUMIFS(Energy[2045_TWh],Energy[[Sector]:[Sector]],$A$138, Energy[[Fuel_category]:[Fuel_category]],$B143),"")</f>
        <v>0</v>
      </c>
      <c r="AB143" s="28">
        <f ca="1">IFERROR(SUMIFS(Energy[2046_TWh],Energy[[Sector]:[Sector]],$A$138, Energy[[Fuel_category]:[Fuel_category]],$B143),"")</f>
        <v>0</v>
      </c>
      <c r="AC143" s="28">
        <f ca="1">IFERROR(SUMIFS(Energy[2047_TWh],Energy[[Sector]:[Sector]],$A$138, Energy[[Fuel_category]:[Fuel_category]],$B143),"")</f>
        <v>0</v>
      </c>
      <c r="AD143" s="28">
        <f ca="1">IFERROR(SUMIFS(Energy[2048_TWh],Energy[[Sector]:[Sector]],$A$138, Energy[[Fuel_category]:[Fuel_category]],$B143),"")</f>
        <v>0</v>
      </c>
      <c r="AE143" s="28">
        <f ca="1">IFERROR(SUMIFS(Energy[2049_TWh],Energy[[Sector]:[Sector]],$A$138, Energy[[Fuel_category]:[Fuel_category]],$B143),"")</f>
        <v>0</v>
      </c>
      <c r="AF143" s="28">
        <f ca="1">IFERROR(SUMIFS(Energy[2050_TWh],Energy[[Sector]:[Sector]],$A$138, Energy[[Fuel_category]:[Fuel_category]],$B143),"")</f>
        <v>0</v>
      </c>
      <c r="AG143" s="28">
        <f ca="1">IFERROR(SUMIFS(Energy[2051_TWh],Energy[[Sector]:[Sector]],$A$138, Energy[[Fuel_category]:[Fuel_category]],$B143),"")</f>
        <v>0</v>
      </c>
    </row>
    <row r="144" spans="1:38" x14ac:dyDescent="0.45">
      <c r="B144" s="21" t="s">
        <v>111</v>
      </c>
      <c r="C144" s="28">
        <f ca="1">IFERROR(SUMIFS(Energy[2021_TWh],Energy[[Sector]:[Sector]],$A$138, Energy[[Fuel_category]:[Fuel_category]],$B144),"")</f>
        <v>0</v>
      </c>
      <c r="D144" s="28">
        <f ca="1">IFERROR(SUMIFS(Energy[2022_TWh],Energy[[Sector]:[Sector]],$A$138, Energy[[Fuel_category]:[Fuel_category]],$B144),"")</f>
        <v>0</v>
      </c>
      <c r="E144" s="28">
        <f ca="1">IFERROR(SUMIFS(Energy[2023_TWh],Energy[[Sector]:[Sector]],$A$138, Energy[[Fuel_category]:[Fuel_category]],$B144),"")</f>
        <v>0</v>
      </c>
      <c r="F144" s="28">
        <f ca="1">IFERROR(SUMIFS(Energy[2024_TWh],Energy[[Sector]:[Sector]],$A$138, Energy[[Fuel_category]:[Fuel_category]],$B144),"")</f>
        <v>0</v>
      </c>
      <c r="G144" s="28">
        <f ca="1">IFERROR(SUMIFS(Energy[2025_TWh],Energy[[Sector]:[Sector]],$A$138, Energy[[Fuel_category]:[Fuel_category]],$B144),"")</f>
        <v>0</v>
      </c>
      <c r="H144" s="28">
        <f ca="1">IFERROR(SUMIFS(Energy[2026_TWh],Energy[[Sector]:[Sector]],$A$138, Energy[[Fuel_category]:[Fuel_category]],$B144),"")</f>
        <v>0</v>
      </c>
      <c r="I144" s="28">
        <f ca="1">IFERROR(SUMIFS(Energy[2027_TWh],Energy[[Sector]:[Sector]],$A$138, Energy[[Fuel_category]:[Fuel_category]],$B144),"")</f>
        <v>0</v>
      </c>
      <c r="J144" s="28">
        <f ca="1">IFERROR(SUMIFS(Energy[2028_TWh],Energy[[Sector]:[Sector]],$A$138, Energy[[Fuel_category]:[Fuel_category]],$B144),"")</f>
        <v>0</v>
      </c>
      <c r="K144" s="28">
        <f ca="1">IFERROR(SUMIFS(Energy[2029_TWh],Energy[[Sector]:[Sector]],$A$138, Energy[[Fuel_category]:[Fuel_category]],$B144),"")</f>
        <v>0</v>
      </c>
      <c r="L144" s="28">
        <f ca="1">IFERROR(SUMIFS(Energy[2030_TWh],Energy[[Sector]:[Sector]],$A$138, Energy[[Fuel_category]:[Fuel_category]],$B144),"")</f>
        <v>0</v>
      </c>
      <c r="M144" s="28">
        <f ca="1">IFERROR(SUMIFS(Energy[2031_TWh],Energy[[Sector]:[Sector]],$A$138, Energy[[Fuel_category]:[Fuel_category]],$B144),"")</f>
        <v>0</v>
      </c>
      <c r="N144" s="28">
        <f ca="1">IFERROR(SUMIFS(Energy[2032_TWh],Energy[[Sector]:[Sector]],$A$138, Energy[[Fuel_category]:[Fuel_category]],$B144),"")</f>
        <v>0</v>
      </c>
      <c r="O144" s="28">
        <f ca="1">IFERROR(SUMIFS(Energy[2033_TWh],Energy[[Sector]:[Sector]],$A$138, Energy[[Fuel_category]:[Fuel_category]],$B144),"")</f>
        <v>0</v>
      </c>
      <c r="P144" s="28">
        <f ca="1">IFERROR(SUMIFS(Energy[2034_TWh],Energy[[Sector]:[Sector]],$A$138, Energy[[Fuel_category]:[Fuel_category]],$B144),"")</f>
        <v>0</v>
      </c>
      <c r="Q144" s="28">
        <f ca="1">IFERROR(SUMIFS(Energy[2035_TWh],Energy[[Sector]:[Sector]],$A$138, Energy[[Fuel_category]:[Fuel_category]],$B144),"")</f>
        <v>0</v>
      </c>
      <c r="R144" s="28">
        <f ca="1">IFERROR(SUMIFS(Energy[2036_TWh],Energy[[Sector]:[Sector]],$A$138, Energy[[Fuel_category]:[Fuel_category]],$B144),"")</f>
        <v>0</v>
      </c>
      <c r="S144" s="28">
        <f ca="1">IFERROR(SUMIFS(Energy[2037_TWh],Energy[[Sector]:[Sector]],$A$138, Energy[[Fuel_category]:[Fuel_category]],$B144),"")</f>
        <v>0</v>
      </c>
      <c r="T144" s="28">
        <f ca="1">IFERROR(SUMIFS(Energy[2038_TWh],Energy[[Sector]:[Sector]],$A$138, Energy[[Fuel_category]:[Fuel_category]],$B144),"")</f>
        <v>0</v>
      </c>
      <c r="U144" s="28">
        <f ca="1">IFERROR(SUMIFS(Energy[2039_TWh],Energy[[Sector]:[Sector]],$A$138, Energy[[Fuel_category]:[Fuel_category]],$B144),"")</f>
        <v>0</v>
      </c>
      <c r="V144" s="28">
        <f ca="1">IFERROR(SUMIFS(Energy[2040_TWh],Energy[[Sector]:[Sector]],$A$138, Energy[[Fuel_category]:[Fuel_category]],$B144),"")</f>
        <v>0</v>
      </c>
      <c r="W144" s="28">
        <f ca="1">IFERROR(SUMIFS(Energy[2041_TWh],Energy[[Sector]:[Sector]],$A$138, Energy[[Fuel_category]:[Fuel_category]],$B144),"")</f>
        <v>0</v>
      </c>
      <c r="X144" s="28">
        <f ca="1">IFERROR(SUMIFS(Energy[2042_TWh],Energy[[Sector]:[Sector]],$A$138, Energy[[Fuel_category]:[Fuel_category]],$B144),"")</f>
        <v>0</v>
      </c>
      <c r="Y144" s="28">
        <f ca="1">IFERROR(SUMIFS(Energy[2043_TWh],Energy[[Sector]:[Sector]],$A$138, Energy[[Fuel_category]:[Fuel_category]],$B144),"")</f>
        <v>0</v>
      </c>
      <c r="Z144" s="28">
        <f ca="1">IFERROR(SUMIFS(Energy[2044_TWh],Energy[[Sector]:[Sector]],$A$138, Energy[[Fuel_category]:[Fuel_category]],$B144),"")</f>
        <v>0</v>
      </c>
      <c r="AA144" s="28">
        <f ca="1">IFERROR(SUMIFS(Energy[2045_TWh],Energy[[Sector]:[Sector]],$A$138, Energy[[Fuel_category]:[Fuel_category]],$B144),"")</f>
        <v>0</v>
      </c>
      <c r="AB144" s="28">
        <f ca="1">IFERROR(SUMIFS(Energy[2046_TWh],Energy[[Sector]:[Sector]],$A$138, Energy[[Fuel_category]:[Fuel_category]],$B144),"")</f>
        <v>0</v>
      </c>
      <c r="AC144" s="28">
        <f ca="1">IFERROR(SUMIFS(Energy[2047_TWh],Energy[[Sector]:[Sector]],$A$138, Energy[[Fuel_category]:[Fuel_category]],$B144),"")</f>
        <v>0</v>
      </c>
      <c r="AD144" s="28">
        <f ca="1">IFERROR(SUMIFS(Energy[2048_TWh],Energy[[Sector]:[Sector]],$A$138, Energy[[Fuel_category]:[Fuel_category]],$B144),"")</f>
        <v>0</v>
      </c>
      <c r="AE144" s="28">
        <f ca="1">IFERROR(SUMIFS(Energy[2049_TWh],Energy[[Sector]:[Sector]],$A$138, Energy[[Fuel_category]:[Fuel_category]],$B144),"")</f>
        <v>0</v>
      </c>
      <c r="AF144" s="28">
        <f ca="1">IFERROR(SUMIFS(Energy[2050_TWh],Energy[[Sector]:[Sector]],$A$138, Energy[[Fuel_category]:[Fuel_category]],$B144),"")</f>
        <v>0</v>
      </c>
      <c r="AG144" s="28">
        <f ca="1">IFERROR(SUMIFS(Energy[2051_TWh],Energy[[Sector]:[Sector]],$A$138, Energy[[Fuel_category]:[Fuel_category]],$B144),"")</f>
        <v>0</v>
      </c>
    </row>
    <row r="145" spans="1:33" ht="14.65" thickBot="1" x14ac:dyDescent="0.5">
      <c r="B145" s="29" t="s">
        <v>124</v>
      </c>
      <c r="C145" s="31">
        <f ca="1">IF(C105&lt;&gt;"",SUM(C138:C143),"")</f>
        <v>0</v>
      </c>
      <c r="D145" s="31">
        <f t="shared" ref="D145:AF145" ca="1" si="30">IF(D105&lt;&gt;"",SUM(D138:D143),"")</f>
        <v>0</v>
      </c>
      <c r="E145" s="31">
        <f t="shared" ca="1" si="30"/>
        <v>0</v>
      </c>
      <c r="F145" s="31">
        <f t="shared" ca="1" si="30"/>
        <v>0</v>
      </c>
      <c r="G145" s="31">
        <f t="shared" ca="1" si="30"/>
        <v>0</v>
      </c>
      <c r="H145" s="31">
        <f t="shared" ca="1" si="30"/>
        <v>0</v>
      </c>
      <c r="I145" s="31">
        <f t="shared" ca="1" si="30"/>
        <v>0</v>
      </c>
      <c r="J145" s="31">
        <f t="shared" ca="1" si="30"/>
        <v>0</v>
      </c>
      <c r="K145" s="31">
        <f t="shared" ca="1" si="30"/>
        <v>0</v>
      </c>
      <c r="L145" s="31">
        <f t="shared" ca="1" si="30"/>
        <v>0</v>
      </c>
      <c r="M145" s="31">
        <f t="shared" ca="1" si="30"/>
        <v>0</v>
      </c>
      <c r="N145" s="31">
        <f t="shared" ca="1" si="30"/>
        <v>0</v>
      </c>
      <c r="O145" s="31">
        <f t="shared" ca="1" si="30"/>
        <v>0</v>
      </c>
      <c r="P145" s="31">
        <f t="shared" ca="1" si="30"/>
        <v>0</v>
      </c>
      <c r="Q145" s="31">
        <f t="shared" ca="1" si="30"/>
        <v>0</v>
      </c>
      <c r="R145" s="31">
        <f t="shared" ca="1" si="30"/>
        <v>0</v>
      </c>
      <c r="S145" s="31">
        <f t="shared" ca="1" si="30"/>
        <v>0</v>
      </c>
      <c r="T145" s="31">
        <f t="shared" ca="1" si="30"/>
        <v>0</v>
      </c>
      <c r="U145" s="31">
        <f t="shared" ca="1" si="30"/>
        <v>0</v>
      </c>
      <c r="V145" s="31">
        <f t="shared" ca="1" si="30"/>
        <v>0</v>
      </c>
      <c r="W145" s="31">
        <f t="shared" ca="1" si="30"/>
        <v>0</v>
      </c>
      <c r="X145" s="31">
        <f t="shared" ca="1" si="30"/>
        <v>0</v>
      </c>
      <c r="Y145" s="31">
        <f t="shared" ca="1" si="30"/>
        <v>0</v>
      </c>
      <c r="Z145" s="31">
        <f t="shared" ca="1" si="30"/>
        <v>0</v>
      </c>
      <c r="AA145" s="31">
        <f t="shared" ca="1" si="30"/>
        <v>0</v>
      </c>
      <c r="AB145" s="31">
        <f t="shared" ca="1" si="30"/>
        <v>0</v>
      </c>
      <c r="AC145" s="31">
        <f t="shared" ca="1" si="30"/>
        <v>0</v>
      </c>
      <c r="AD145" s="31">
        <f t="shared" ca="1" si="30"/>
        <v>0</v>
      </c>
      <c r="AE145" s="31">
        <f t="shared" ca="1" si="30"/>
        <v>0</v>
      </c>
      <c r="AF145" s="31">
        <f t="shared" ca="1" si="30"/>
        <v>0</v>
      </c>
      <c r="AG145" s="31">
        <f t="shared" ref="AG145" ca="1" si="31">IF(AG105&lt;&gt;"",SUM(AG138:AG143),"")</f>
        <v>0</v>
      </c>
    </row>
    <row r="146" spans="1:33" ht="14.65" thickTop="1" x14ac:dyDescent="0.45"/>
    <row r="147" spans="1:33" ht="15.75" customHeight="1" x14ac:dyDescent="0.45">
      <c r="B147" s="6"/>
      <c r="C147" s="6">
        <v>2021</v>
      </c>
      <c r="D147" s="6">
        <v>2022</v>
      </c>
      <c r="E147" s="6">
        <v>2023</v>
      </c>
      <c r="F147" s="6">
        <v>2024</v>
      </c>
      <c r="G147" s="6">
        <v>2025</v>
      </c>
      <c r="H147" s="6">
        <v>2026</v>
      </c>
      <c r="I147" s="6">
        <v>2027</v>
      </c>
      <c r="J147" s="6">
        <v>2028</v>
      </c>
      <c r="K147" s="6">
        <v>2029</v>
      </c>
      <c r="L147" s="6">
        <v>2030</v>
      </c>
      <c r="M147" s="6">
        <v>2031</v>
      </c>
      <c r="N147" s="6">
        <v>2032</v>
      </c>
      <c r="O147" s="6">
        <v>2033</v>
      </c>
      <c r="P147" s="6">
        <v>2034</v>
      </c>
      <c r="Q147" s="6">
        <v>2035</v>
      </c>
      <c r="R147" s="6">
        <v>2036</v>
      </c>
      <c r="S147" s="6">
        <v>2037</v>
      </c>
      <c r="T147" s="6">
        <v>2038</v>
      </c>
      <c r="U147" s="6">
        <v>2039</v>
      </c>
      <c r="V147" s="6">
        <v>2040</v>
      </c>
      <c r="W147" s="6">
        <v>2041</v>
      </c>
      <c r="X147" s="6">
        <v>2042</v>
      </c>
      <c r="Y147" s="6">
        <v>2043</v>
      </c>
      <c r="Z147" s="6">
        <v>2044</v>
      </c>
      <c r="AA147" s="6">
        <v>2045</v>
      </c>
      <c r="AB147" s="6">
        <v>2046</v>
      </c>
      <c r="AC147" s="6">
        <v>2047</v>
      </c>
      <c r="AD147" s="6">
        <v>2048</v>
      </c>
      <c r="AE147" s="6">
        <v>2049</v>
      </c>
      <c r="AF147" s="6">
        <v>2050</v>
      </c>
      <c r="AG147" s="6">
        <v>2051</v>
      </c>
    </row>
    <row r="148" spans="1:33" x14ac:dyDescent="0.45">
      <c r="A148" t="s">
        <v>272</v>
      </c>
      <c r="B148" s="21" t="s">
        <v>82</v>
      </c>
      <c r="C148" s="28">
        <f ca="1">IFERROR(SUMIFS(Energy[2021_TWh],Energy[[Sector]:[Sector]],$A$148, Energy[[Fuel_category]:[Fuel_category]],$B148),"")</f>
        <v>0</v>
      </c>
      <c r="D148" s="28">
        <f ca="1">IFERROR(SUMIFS(Energy[2022_TWh],Energy[[Sector]:[Sector]],$A$148, Energy[[Fuel_category]:[Fuel_category]],$B148),"")</f>
        <v>0</v>
      </c>
      <c r="E148" s="28">
        <f ca="1">IFERROR(SUMIFS(Energy[2023_TWh],Energy[[Sector]:[Sector]],$A$148, Energy[[Fuel_category]:[Fuel_category]],$B148),"")</f>
        <v>0</v>
      </c>
      <c r="F148" s="28">
        <f ca="1">IFERROR(SUMIFS(Energy[2024_TWh],Energy[[Sector]:[Sector]],$A$148, Energy[[Fuel_category]:[Fuel_category]],$B148),"")</f>
        <v>0</v>
      </c>
      <c r="G148" s="28">
        <f ca="1">IFERROR(SUMIFS(Energy[2025_TWh],Energy[[Sector]:[Sector]],$A$148, Energy[[Fuel_category]:[Fuel_category]],$B148),"")</f>
        <v>0</v>
      </c>
      <c r="H148" s="28">
        <f ca="1">IFERROR(SUMIFS(Energy[2026_TWh],Energy[[Sector]:[Sector]],$A$148, Energy[[Fuel_category]:[Fuel_category]],$B148),"")</f>
        <v>0</v>
      </c>
      <c r="I148" s="28">
        <f ca="1">IFERROR(SUMIFS(Energy[2027_TWh],Energy[[Sector]:[Sector]],$A$148, Energy[[Fuel_category]:[Fuel_category]],$B148),"")</f>
        <v>0</v>
      </c>
      <c r="J148" s="28">
        <f ca="1">IFERROR(SUMIFS(Energy[2028_TWh],Energy[[Sector]:[Sector]],$A$148, Energy[[Fuel_category]:[Fuel_category]],$B148),"")</f>
        <v>0</v>
      </c>
      <c r="K148" s="28">
        <f ca="1">IFERROR(SUMIFS(Energy[2029_TWh],Energy[[Sector]:[Sector]],$A$148, Energy[[Fuel_category]:[Fuel_category]],$B148),"")</f>
        <v>0</v>
      </c>
      <c r="L148" s="28">
        <f ca="1">IFERROR(SUMIFS(Energy[2030_TWh],Energy[[Sector]:[Sector]],$A$148, Energy[[Fuel_category]:[Fuel_category]],$B148),"")</f>
        <v>0</v>
      </c>
      <c r="M148" s="28">
        <f ca="1">IFERROR(SUMIFS(Energy[2031_TWh],Energy[[Sector]:[Sector]],$A$148, Energy[[Fuel_category]:[Fuel_category]],$B148),"")</f>
        <v>0</v>
      </c>
      <c r="N148" s="28">
        <f ca="1">IFERROR(SUMIFS(Energy[2032_TWh],Energy[[Sector]:[Sector]],$A$148, Energy[[Fuel_category]:[Fuel_category]],$B148),"")</f>
        <v>0</v>
      </c>
      <c r="O148" s="28">
        <f ca="1">IFERROR(SUMIFS(Energy[2033_TWh],Energy[[Sector]:[Sector]],$A$148, Energy[[Fuel_category]:[Fuel_category]],$B148),"")</f>
        <v>0</v>
      </c>
      <c r="P148" s="28">
        <f ca="1">IFERROR(SUMIFS(Energy[2034_TWh],Energy[[Sector]:[Sector]],$A$148, Energy[[Fuel_category]:[Fuel_category]],$B148),"")</f>
        <v>0</v>
      </c>
      <c r="Q148" s="28">
        <f ca="1">IFERROR(SUMIFS(Energy[2035_TWh],Energy[[Sector]:[Sector]],$A$148, Energy[[Fuel_category]:[Fuel_category]],$B148),"")</f>
        <v>0</v>
      </c>
      <c r="R148" s="28">
        <f ca="1">IFERROR(SUMIFS(Energy[2036_TWh],Energy[[Sector]:[Sector]],$A$148, Energy[[Fuel_category]:[Fuel_category]],$B148),"")</f>
        <v>0</v>
      </c>
      <c r="S148" s="28">
        <f ca="1">IFERROR(SUMIFS(Energy[2037_TWh],Energy[[Sector]:[Sector]],$A$148, Energy[[Fuel_category]:[Fuel_category]],$B148),"")</f>
        <v>0</v>
      </c>
      <c r="T148" s="28">
        <f ca="1">IFERROR(SUMIFS(Energy[2038_TWh],Energy[[Sector]:[Sector]],$A$148, Energy[[Fuel_category]:[Fuel_category]],$B148),"")</f>
        <v>0</v>
      </c>
      <c r="U148" s="28">
        <f ca="1">IFERROR(SUMIFS(Energy[2039_TWh],Energy[[Sector]:[Sector]],$A$148, Energy[[Fuel_category]:[Fuel_category]],$B148),"")</f>
        <v>0</v>
      </c>
      <c r="V148" s="28">
        <f ca="1">IFERROR(SUMIFS(Energy[2040_TWh],Energy[[Sector]:[Sector]],$A$148, Energy[[Fuel_category]:[Fuel_category]],$B148),"")</f>
        <v>0</v>
      </c>
      <c r="W148" s="28">
        <f ca="1">IFERROR(SUMIFS(Energy[2041_TWh],Energy[[Sector]:[Sector]],$A$148, Energy[[Fuel_category]:[Fuel_category]],$B148),"")</f>
        <v>0</v>
      </c>
      <c r="X148" s="28">
        <f ca="1">IFERROR(SUMIFS(Energy[2042_TWh],Energy[[Sector]:[Sector]],$A$148, Energy[[Fuel_category]:[Fuel_category]],$B148),"")</f>
        <v>0</v>
      </c>
      <c r="Y148" s="28">
        <f ca="1">IFERROR(SUMIFS(Energy[2043_TWh],Energy[[Sector]:[Sector]],$A$148, Energy[[Fuel_category]:[Fuel_category]],$B148),"")</f>
        <v>0</v>
      </c>
      <c r="Z148" s="28">
        <f ca="1">IFERROR(SUMIFS(Energy[2044_TWh],Energy[[Sector]:[Sector]],$A$148, Energy[[Fuel_category]:[Fuel_category]],$B148),"")</f>
        <v>0</v>
      </c>
      <c r="AA148" s="28">
        <f ca="1">IFERROR(SUMIFS(Energy[2045_TWh],Energy[[Sector]:[Sector]],$A$148, Energy[[Fuel_category]:[Fuel_category]],$B148),"")</f>
        <v>0</v>
      </c>
      <c r="AB148" s="28">
        <f ca="1">IFERROR(SUMIFS(Energy[2046_TWh],Energy[[Sector]:[Sector]],$A$148, Energy[[Fuel_category]:[Fuel_category]],$B148),"")</f>
        <v>0</v>
      </c>
      <c r="AC148" s="28">
        <f ca="1">IFERROR(SUMIFS(Energy[2047_TWh],Energy[[Sector]:[Sector]],$A$148, Energy[[Fuel_category]:[Fuel_category]],$B148),"")</f>
        <v>0</v>
      </c>
      <c r="AD148" s="28">
        <f ca="1">IFERROR(SUMIFS(Energy[2048_TWh],Energy[[Sector]:[Sector]],$A$148, Energy[[Fuel_category]:[Fuel_category]],$B148),"")</f>
        <v>0</v>
      </c>
      <c r="AE148" s="28">
        <f ca="1">IFERROR(SUMIFS(Energy[2049_TWh],Energy[[Sector]:[Sector]],$A$148, Energy[[Fuel_category]:[Fuel_category]],$B148),"")</f>
        <v>0</v>
      </c>
      <c r="AF148" s="28">
        <f ca="1">IFERROR(SUMIFS(Energy[2050_TWh],Energy[[Sector]:[Sector]],$A$148, Energy[[Fuel_category]:[Fuel_category]],$B148),"")</f>
        <v>0</v>
      </c>
      <c r="AG148" s="28">
        <f ca="1">IFERROR(SUMIFS(Energy[2051_TWh],Energy[[Sector]:[Sector]],$A$148, Energy[[Fuel_category]:[Fuel_category]],$B148),"")</f>
        <v>0</v>
      </c>
    </row>
    <row r="149" spans="1:33" x14ac:dyDescent="0.45">
      <c r="B149" s="21" t="s">
        <v>83</v>
      </c>
      <c r="C149" s="28">
        <f ca="1">IFERROR(SUMIFS(Energy[2021_TWh],Energy[[Sector]:[Sector]],$A$148, Energy[[Fuel_category]:[Fuel_category]],$B149),"")</f>
        <v>0</v>
      </c>
      <c r="D149" s="28">
        <f ca="1">IFERROR(SUMIFS(Energy[2022_TWh],Energy[[Sector]:[Sector]],$A$148, Energy[[Fuel_category]:[Fuel_category]],$B149),"")</f>
        <v>0</v>
      </c>
      <c r="E149" s="28">
        <f ca="1">IFERROR(SUMIFS(Energy[2023_TWh],Energy[[Sector]:[Sector]],$A$148, Energy[[Fuel_category]:[Fuel_category]],$B149),"")</f>
        <v>0</v>
      </c>
      <c r="F149" s="28">
        <f ca="1">IFERROR(SUMIFS(Energy[2024_TWh],Energy[[Sector]:[Sector]],$A$148, Energy[[Fuel_category]:[Fuel_category]],$B149),"")</f>
        <v>0</v>
      </c>
      <c r="G149" s="28">
        <f ca="1">IFERROR(SUMIFS(Energy[2025_TWh],Energy[[Sector]:[Sector]],$A$148, Energy[[Fuel_category]:[Fuel_category]],$B149),"")</f>
        <v>0</v>
      </c>
      <c r="H149" s="28">
        <f ca="1">IFERROR(SUMIFS(Energy[2026_TWh],Energy[[Sector]:[Sector]],$A$148, Energy[[Fuel_category]:[Fuel_category]],$B149),"")</f>
        <v>0</v>
      </c>
      <c r="I149" s="28">
        <f ca="1">IFERROR(SUMIFS(Energy[2027_TWh],Energy[[Sector]:[Sector]],$A$148, Energy[[Fuel_category]:[Fuel_category]],$B149),"")</f>
        <v>0</v>
      </c>
      <c r="J149" s="28">
        <f ca="1">IFERROR(SUMIFS(Energy[2028_TWh],Energy[[Sector]:[Sector]],$A$148, Energy[[Fuel_category]:[Fuel_category]],$B149),"")</f>
        <v>0</v>
      </c>
      <c r="K149" s="28">
        <f ca="1">IFERROR(SUMIFS(Energy[2029_TWh],Energy[[Sector]:[Sector]],$A$148, Energy[[Fuel_category]:[Fuel_category]],$B149),"")</f>
        <v>0</v>
      </c>
      <c r="L149" s="28">
        <f ca="1">IFERROR(SUMIFS(Energy[2030_TWh],Energy[[Sector]:[Sector]],$A$148, Energy[[Fuel_category]:[Fuel_category]],$B149),"")</f>
        <v>0</v>
      </c>
      <c r="M149" s="28">
        <f ca="1">IFERROR(SUMIFS(Energy[2031_TWh],Energy[[Sector]:[Sector]],$A$148, Energy[[Fuel_category]:[Fuel_category]],$B149),"")</f>
        <v>0</v>
      </c>
      <c r="N149" s="28">
        <f ca="1">IFERROR(SUMIFS(Energy[2032_TWh],Energy[[Sector]:[Sector]],$A$148, Energy[[Fuel_category]:[Fuel_category]],$B149),"")</f>
        <v>0</v>
      </c>
      <c r="O149" s="28">
        <f ca="1">IFERROR(SUMIFS(Energy[2033_TWh],Energy[[Sector]:[Sector]],$A$148, Energy[[Fuel_category]:[Fuel_category]],$B149),"")</f>
        <v>0</v>
      </c>
      <c r="P149" s="28">
        <f ca="1">IFERROR(SUMIFS(Energy[2034_TWh],Energy[[Sector]:[Sector]],$A$148, Energy[[Fuel_category]:[Fuel_category]],$B149),"")</f>
        <v>0</v>
      </c>
      <c r="Q149" s="28">
        <f ca="1">IFERROR(SUMIFS(Energy[2035_TWh],Energy[[Sector]:[Sector]],$A$148, Energy[[Fuel_category]:[Fuel_category]],$B149),"")</f>
        <v>0</v>
      </c>
      <c r="R149" s="28">
        <f ca="1">IFERROR(SUMIFS(Energy[2036_TWh],Energy[[Sector]:[Sector]],$A$148, Energy[[Fuel_category]:[Fuel_category]],$B149),"")</f>
        <v>0</v>
      </c>
      <c r="S149" s="28">
        <f ca="1">IFERROR(SUMIFS(Energy[2037_TWh],Energy[[Sector]:[Sector]],$A$148, Energy[[Fuel_category]:[Fuel_category]],$B149),"")</f>
        <v>0</v>
      </c>
      <c r="T149" s="28">
        <f ca="1">IFERROR(SUMIFS(Energy[2038_TWh],Energy[[Sector]:[Sector]],$A$148, Energy[[Fuel_category]:[Fuel_category]],$B149),"")</f>
        <v>0</v>
      </c>
      <c r="U149" s="28">
        <f ca="1">IFERROR(SUMIFS(Energy[2039_TWh],Energy[[Sector]:[Sector]],$A$148, Energy[[Fuel_category]:[Fuel_category]],$B149),"")</f>
        <v>0</v>
      </c>
      <c r="V149" s="28">
        <f ca="1">IFERROR(SUMIFS(Energy[2040_TWh],Energy[[Sector]:[Sector]],$A$148, Energy[[Fuel_category]:[Fuel_category]],$B149),"")</f>
        <v>0</v>
      </c>
      <c r="W149" s="28">
        <f ca="1">IFERROR(SUMIFS(Energy[2041_TWh],Energy[[Sector]:[Sector]],$A$148, Energy[[Fuel_category]:[Fuel_category]],$B149),"")</f>
        <v>0</v>
      </c>
      <c r="X149" s="28">
        <f ca="1">IFERROR(SUMIFS(Energy[2042_TWh],Energy[[Sector]:[Sector]],$A$148, Energy[[Fuel_category]:[Fuel_category]],$B149),"")</f>
        <v>0</v>
      </c>
      <c r="Y149" s="28">
        <f ca="1">IFERROR(SUMIFS(Energy[2043_TWh],Energy[[Sector]:[Sector]],$A$148, Energy[[Fuel_category]:[Fuel_category]],$B149),"")</f>
        <v>0</v>
      </c>
      <c r="Z149" s="28">
        <f ca="1">IFERROR(SUMIFS(Energy[2044_TWh],Energy[[Sector]:[Sector]],$A$148, Energy[[Fuel_category]:[Fuel_category]],$B149),"")</f>
        <v>0</v>
      </c>
      <c r="AA149" s="28">
        <f ca="1">IFERROR(SUMIFS(Energy[2045_TWh],Energy[[Sector]:[Sector]],$A$148, Energy[[Fuel_category]:[Fuel_category]],$B149),"")</f>
        <v>0</v>
      </c>
      <c r="AB149" s="28">
        <f ca="1">IFERROR(SUMIFS(Energy[2046_TWh],Energy[[Sector]:[Sector]],$A$148, Energy[[Fuel_category]:[Fuel_category]],$B149),"")</f>
        <v>0</v>
      </c>
      <c r="AC149" s="28">
        <f ca="1">IFERROR(SUMIFS(Energy[2047_TWh],Energy[[Sector]:[Sector]],$A$148, Energy[[Fuel_category]:[Fuel_category]],$B149),"")</f>
        <v>0</v>
      </c>
      <c r="AD149" s="28">
        <f ca="1">IFERROR(SUMIFS(Energy[2048_TWh],Energy[[Sector]:[Sector]],$A$148, Energy[[Fuel_category]:[Fuel_category]],$B149),"")</f>
        <v>0</v>
      </c>
      <c r="AE149" s="28">
        <f ca="1">IFERROR(SUMIFS(Energy[2049_TWh],Energy[[Sector]:[Sector]],$A$148, Energy[[Fuel_category]:[Fuel_category]],$B149),"")</f>
        <v>0</v>
      </c>
      <c r="AF149" s="28">
        <f ca="1">IFERROR(SUMIFS(Energy[2050_TWh],Energy[[Sector]:[Sector]],$A$148, Energy[[Fuel_category]:[Fuel_category]],$B149),"")</f>
        <v>0</v>
      </c>
      <c r="AG149" s="28">
        <f ca="1">IFERROR(SUMIFS(Energy[2051_TWh],Energy[[Sector]:[Sector]],$A$148, Energy[[Fuel_category]:[Fuel_category]],$B149),"")</f>
        <v>0</v>
      </c>
    </row>
    <row r="150" spans="1:33" x14ac:dyDescent="0.45">
      <c r="B150" s="21" t="s">
        <v>67</v>
      </c>
      <c r="C150" s="28">
        <f ca="1">IFERROR(SUMIFS(Energy[2021_TWh],Energy[[Sector]:[Sector]],$A$148, Energy[[Fuel_category]:[Fuel_category]],$B150),"")</f>
        <v>0</v>
      </c>
      <c r="D150" s="28">
        <f ca="1">IFERROR(SUMIFS(Energy[2022_TWh],Energy[[Sector]:[Sector]],$A$148, Energy[[Fuel_category]:[Fuel_category]],$B150),"")</f>
        <v>0</v>
      </c>
      <c r="E150" s="28">
        <f ca="1">IFERROR(SUMIFS(Energy[2023_TWh],Energy[[Sector]:[Sector]],$A$148, Energy[[Fuel_category]:[Fuel_category]],$B150),"")</f>
        <v>0</v>
      </c>
      <c r="F150" s="28">
        <f ca="1">IFERROR(SUMIFS(Energy[2024_TWh],Energy[[Sector]:[Sector]],$A$148, Energy[[Fuel_category]:[Fuel_category]],$B150),"")</f>
        <v>0</v>
      </c>
      <c r="G150" s="28">
        <f ca="1">IFERROR(SUMIFS(Energy[2025_TWh],Energy[[Sector]:[Sector]],$A$148, Energy[[Fuel_category]:[Fuel_category]],$B150),"")</f>
        <v>0</v>
      </c>
      <c r="H150" s="28">
        <f ca="1">IFERROR(SUMIFS(Energy[2026_TWh],Energy[[Sector]:[Sector]],$A$148, Energy[[Fuel_category]:[Fuel_category]],$B150),"")</f>
        <v>0</v>
      </c>
      <c r="I150" s="28">
        <f ca="1">IFERROR(SUMIFS(Energy[2027_TWh],Energy[[Sector]:[Sector]],$A$148, Energy[[Fuel_category]:[Fuel_category]],$B150),"")</f>
        <v>0</v>
      </c>
      <c r="J150" s="28">
        <f ca="1">IFERROR(SUMIFS(Energy[2028_TWh],Energy[[Sector]:[Sector]],$A$148, Energy[[Fuel_category]:[Fuel_category]],$B150),"")</f>
        <v>0</v>
      </c>
      <c r="K150" s="28">
        <f ca="1">IFERROR(SUMIFS(Energy[2029_TWh],Energy[[Sector]:[Sector]],$A$148, Energy[[Fuel_category]:[Fuel_category]],$B150),"")</f>
        <v>0</v>
      </c>
      <c r="L150" s="28">
        <f ca="1">IFERROR(SUMIFS(Energy[2030_TWh],Energy[[Sector]:[Sector]],$A$148, Energy[[Fuel_category]:[Fuel_category]],$B150),"")</f>
        <v>0</v>
      </c>
      <c r="M150" s="28">
        <f ca="1">IFERROR(SUMIFS(Energy[2031_TWh],Energy[[Sector]:[Sector]],$A$148, Energy[[Fuel_category]:[Fuel_category]],$B150),"")</f>
        <v>0</v>
      </c>
      <c r="N150" s="28">
        <f ca="1">IFERROR(SUMIFS(Energy[2032_TWh],Energy[[Sector]:[Sector]],$A$148, Energy[[Fuel_category]:[Fuel_category]],$B150),"")</f>
        <v>0</v>
      </c>
      <c r="O150" s="28">
        <f ca="1">IFERROR(SUMIFS(Energy[2033_TWh],Energy[[Sector]:[Sector]],$A$148, Energy[[Fuel_category]:[Fuel_category]],$B150),"")</f>
        <v>0</v>
      </c>
      <c r="P150" s="28">
        <f ca="1">IFERROR(SUMIFS(Energy[2034_TWh],Energy[[Sector]:[Sector]],$A$148, Energy[[Fuel_category]:[Fuel_category]],$B150),"")</f>
        <v>0</v>
      </c>
      <c r="Q150" s="28">
        <f ca="1">IFERROR(SUMIFS(Energy[2035_TWh],Energy[[Sector]:[Sector]],$A$148, Energy[[Fuel_category]:[Fuel_category]],$B150),"")</f>
        <v>0</v>
      </c>
      <c r="R150" s="28">
        <f ca="1">IFERROR(SUMIFS(Energy[2036_TWh],Energy[[Sector]:[Sector]],$A$148, Energy[[Fuel_category]:[Fuel_category]],$B150),"")</f>
        <v>0</v>
      </c>
      <c r="S150" s="28">
        <f ca="1">IFERROR(SUMIFS(Energy[2037_TWh],Energy[[Sector]:[Sector]],$A$148, Energy[[Fuel_category]:[Fuel_category]],$B150),"")</f>
        <v>0</v>
      </c>
      <c r="T150" s="28">
        <f ca="1">IFERROR(SUMIFS(Energy[2038_TWh],Energy[[Sector]:[Sector]],$A$148, Energy[[Fuel_category]:[Fuel_category]],$B150),"")</f>
        <v>0</v>
      </c>
      <c r="U150" s="28">
        <f ca="1">IFERROR(SUMIFS(Energy[2039_TWh],Energy[[Sector]:[Sector]],$A$148, Energy[[Fuel_category]:[Fuel_category]],$B150),"")</f>
        <v>0</v>
      </c>
      <c r="V150" s="28">
        <f ca="1">IFERROR(SUMIFS(Energy[2040_TWh],Energy[[Sector]:[Sector]],$A$148, Energy[[Fuel_category]:[Fuel_category]],$B150),"")</f>
        <v>0</v>
      </c>
      <c r="W150" s="28">
        <f ca="1">IFERROR(SUMIFS(Energy[2041_TWh],Energy[[Sector]:[Sector]],$A$148, Energy[[Fuel_category]:[Fuel_category]],$B150),"")</f>
        <v>0</v>
      </c>
      <c r="X150" s="28">
        <f ca="1">IFERROR(SUMIFS(Energy[2042_TWh],Energy[[Sector]:[Sector]],$A$148, Energy[[Fuel_category]:[Fuel_category]],$B150),"")</f>
        <v>0</v>
      </c>
      <c r="Y150" s="28">
        <f ca="1">IFERROR(SUMIFS(Energy[2043_TWh],Energy[[Sector]:[Sector]],$A$148, Energy[[Fuel_category]:[Fuel_category]],$B150),"")</f>
        <v>0</v>
      </c>
      <c r="Z150" s="28">
        <f ca="1">IFERROR(SUMIFS(Energy[2044_TWh],Energy[[Sector]:[Sector]],$A$148, Energy[[Fuel_category]:[Fuel_category]],$B150),"")</f>
        <v>0</v>
      </c>
      <c r="AA150" s="28">
        <f ca="1">IFERROR(SUMIFS(Energy[2045_TWh],Energy[[Sector]:[Sector]],$A$148, Energy[[Fuel_category]:[Fuel_category]],$B150),"")</f>
        <v>0</v>
      </c>
      <c r="AB150" s="28">
        <f ca="1">IFERROR(SUMIFS(Energy[2046_TWh],Energy[[Sector]:[Sector]],$A$148, Energy[[Fuel_category]:[Fuel_category]],$B150),"")</f>
        <v>0</v>
      </c>
      <c r="AC150" s="28">
        <f ca="1">IFERROR(SUMIFS(Energy[2047_TWh],Energy[[Sector]:[Sector]],$A$148, Energy[[Fuel_category]:[Fuel_category]],$B150),"")</f>
        <v>0</v>
      </c>
      <c r="AD150" s="28">
        <f ca="1">IFERROR(SUMIFS(Energy[2048_TWh],Energy[[Sector]:[Sector]],$A$148, Energy[[Fuel_category]:[Fuel_category]],$B150),"")</f>
        <v>0</v>
      </c>
      <c r="AE150" s="28">
        <f ca="1">IFERROR(SUMIFS(Energy[2049_TWh],Energy[[Sector]:[Sector]],$A$148, Energy[[Fuel_category]:[Fuel_category]],$B150),"")</f>
        <v>0</v>
      </c>
      <c r="AF150" s="28">
        <f ca="1">IFERROR(SUMIFS(Energy[2050_TWh],Energy[[Sector]:[Sector]],$A$148, Energy[[Fuel_category]:[Fuel_category]],$B150),"")</f>
        <v>0</v>
      </c>
      <c r="AG150" s="28">
        <f ca="1">IFERROR(SUMIFS(Energy[2051_TWh],Energy[[Sector]:[Sector]],$A$148, Energy[[Fuel_category]:[Fuel_category]],$B150),"")</f>
        <v>0</v>
      </c>
    </row>
    <row r="151" spans="1:33" x14ac:dyDescent="0.45">
      <c r="B151" s="21" t="s">
        <v>35</v>
      </c>
      <c r="C151" s="28">
        <f ca="1">IFERROR(SUMIFS(Energy[2021_TWh],Energy[[Sector]:[Sector]],$A$148, Energy[[Fuel_category]:[Fuel_category]],$B151),"")</f>
        <v>0</v>
      </c>
      <c r="D151" s="28">
        <f ca="1">IFERROR(SUMIFS(Energy[2022_TWh],Energy[[Sector]:[Sector]],$A$148, Energy[[Fuel_category]:[Fuel_category]],$B151),"")</f>
        <v>0</v>
      </c>
      <c r="E151" s="28">
        <f ca="1">IFERROR(SUMIFS(Energy[2023_TWh],Energy[[Sector]:[Sector]],$A$148, Energy[[Fuel_category]:[Fuel_category]],$B151),"")</f>
        <v>0</v>
      </c>
      <c r="F151" s="28">
        <f ca="1">IFERROR(SUMIFS(Energy[2024_TWh],Energy[[Sector]:[Sector]],$A$148, Energy[[Fuel_category]:[Fuel_category]],$B151),"")</f>
        <v>0</v>
      </c>
      <c r="G151" s="28">
        <f ca="1">IFERROR(SUMIFS(Energy[2025_TWh],Energy[[Sector]:[Sector]],$A$148, Energy[[Fuel_category]:[Fuel_category]],$B151),"")</f>
        <v>0</v>
      </c>
      <c r="H151" s="28">
        <f ca="1">IFERROR(SUMIFS(Energy[2026_TWh],Energy[[Sector]:[Sector]],$A$148, Energy[[Fuel_category]:[Fuel_category]],$B151),"")</f>
        <v>0</v>
      </c>
      <c r="I151" s="28">
        <f ca="1">IFERROR(SUMIFS(Energy[2027_TWh],Energy[[Sector]:[Sector]],$A$148, Energy[[Fuel_category]:[Fuel_category]],$B151),"")</f>
        <v>0</v>
      </c>
      <c r="J151" s="28">
        <f ca="1">IFERROR(SUMIFS(Energy[2028_TWh],Energy[[Sector]:[Sector]],$A$148, Energy[[Fuel_category]:[Fuel_category]],$B151),"")</f>
        <v>0</v>
      </c>
      <c r="K151" s="28">
        <f ca="1">IFERROR(SUMIFS(Energy[2029_TWh],Energy[[Sector]:[Sector]],$A$148, Energy[[Fuel_category]:[Fuel_category]],$B151),"")</f>
        <v>0</v>
      </c>
      <c r="L151" s="28">
        <f ca="1">IFERROR(SUMIFS(Energy[2030_TWh],Energy[[Sector]:[Sector]],$A$148, Energy[[Fuel_category]:[Fuel_category]],$B151),"")</f>
        <v>0</v>
      </c>
      <c r="M151" s="28">
        <f ca="1">IFERROR(SUMIFS(Energy[2031_TWh],Energy[[Sector]:[Sector]],$A$148, Energy[[Fuel_category]:[Fuel_category]],$B151),"")</f>
        <v>0</v>
      </c>
      <c r="N151" s="28">
        <f ca="1">IFERROR(SUMIFS(Energy[2032_TWh],Energy[[Sector]:[Sector]],$A$148, Energy[[Fuel_category]:[Fuel_category]],$B151),"")</f>
        <v>0</v>
      </c>
      <c r="O151" s="28">
        <f ca="1">IFERROR(SUMIFS(Energy[2033_TWh],Energy[[Sector]:[Sector]],$A$148, Energy[[Fuel_category]:[Fuel_category]],$B151),"")</f>
        <v>0</v>
      </c>
      <c r="P151" s="28">
        <f ca="1">IFERROR(SUMIFS(Energy[2034_TWh],Energy[[Sector]:[Sector]],$A$148, Energy[[Fuel_category]:[Fuel_category]],$B151),"")</f>
        <v>0</v>
      </c>
      <c r="Q151" s="28">
        <f ca="1">IFERROR(SUMIFS(Energy[2035_TWh],Energy[[Sector]:[Sector]],$A$148, Energy[[Fuel_category]:[Fuel_category]],$B151),"")</f>
        <v>0</v>
      </c>
      <c r="R151" s="28">
        <f ca="1">IFERROR(SUMIFS(Energy[2036_TWh],Energy[[Sector]:[Sector]],$A$148, Energy[[Fuel_category]:[Fuel_category]],$B151),"")</f>
        <v>0</v>
      </c>
      <c r="S151" s="28">
        <f ca="1">IFERROR(SUMIFS(Energy[2037_TWh],Energy[[Sector]:[Sector]],$A$148, Energy[[Fuel_category]:[Fuel_category]],$B151),"")</f>
        <v>0</v>
      </c>
      <c r="T151" s="28">
        <f ca="1">IFERROR(SUMIFS(Energy[2038_TWh],Energy[[Sector]:[Sector]],$A$148, Energy[[Fuel_category]:[Fuel_category]],$B151),"")</f>
        <v>0</v>
      </c>
      <c r="U151" s="28">
        <f ca="1">IFERROR(SUMIFS(Energy[2039_TWh],Energy[[Sector]:[Sector]],$A$148, Energy[[Fuel_category]:[Fuel_category]],$B151),"")</f>
        <v>0</v>
      </c>
      <c r="V151" s="28">
        <f ca="1">IFERROR(SUMIFS(Energy[2040_TWh],Energy[[Sector]:[Sector]],$A$148, Energy[[Fuel_category]:[Fuel_category]],$B151),"")</f>
        <v>0</v>
      </c>
      <c r="W151" s="28">
        <f ca="1">IFERROR(SUMIFS(Energy[2041_TWh],Energy[[Sector]:[Sector]],$A$148, Energy[[Fuel_category]:[Fuel_category]],$B151),"")</f>
        <v>0</v>
      </c>
      <c r="X151" s="28">
        <f ca="1">IFERROR(SUMIFS(Energy[2042_TWh],Energy[[Sector]:[Sector]],$A$148, Energy[[Fuel_category]:[Fuel_category]],$B151),"")</f>
        <v>0</v>
      </c>
      <c r="Y151" s="28">
        <f ca="1">IFERROR(SUMIFS(Energy[2043_TWh],Energy[[Sector]:[Sector]],$A$148, Energy[[Fuel_category]:[Fuel_category]],$B151),"")</f>
        <v>0</v>
      </c>
      <c r="Z151" s="28">
        <f ca="1">IFERROR(SUMIFS(Energy[2044_TWh],Energy[[Sector]:[Sector]],$A$148, Energy[[Fuel_category]:[Fuel_category]],$B151),"")</f>
        <v>0</v>
      </c>
      <c r="AA151" s="28">
        <f ca="1">IFERROR(SUMIFS(Energy[2045_TWh],Energy[[Sector]:[Sector]],$A$148, Energy[[Fuel_category]:[Fuel_category]],$B151),"")</f>
        <v>0</v>
      </c>
      <c r="AB151" s="28">
        <f ca="1">IFERROR(SUMIFS(Energy[2046_TWh],Energy[[Sector]:[Sector]],$A$148, Energy[[Fuel_category]:[Fuel_category]],$B151),"")</f>
        <v>0</v>
      </c>
      <c r="AC151" s="28">
        <f ca="1">IFERROR(SUMIFS(Energy[2047_TWh],Energy[[Sector]:[Sector]],$A$148, Energy[[Fuel_category]:[Fuel_category]],$B151),"")</f>
        <v>0</v>
      </c>
      <c r="AD151" s="28">
        <f ca="1">IFERROR(SUMIFS(Energy[2048_TWh],Energy[[Sector]:[Sector]],$A$148, Energy[[Fuel_category]:[Fuel_category]],$B151),"")</f>
        <v>0</v>
      </c>
      <c r="AE151" s="28">
        <f ca="1">IFERROR(SUMIFS(Energy[2049_TWh],Energy[[Sector]:[Sector]],$A$148, Energy[[Fuel_category]:[Fuel_category]],$B151),"")</f>
        <v>0</v>
      </c>
      <c r="AF151" s="28">
        <f ca="1">IFERROR(SUMIFS(Energy[2050_TWh],Energy[[Sector]:[Sector]],$A$148, Energy[[Fuel_category]:[Fuel_category]],$B151),"")</f>
        <v>0</v>
      </c>
      <c r="AG151" s="28">
        <f ca="1">IFERROR(SUMIFS(Energy[2051_TWh],Energy[[Sector]:[Sector]],$A$148, Energy[[Fuel_category]:[Fuel_category]],$B151),"")</f>
        <v>0</v>
      </c>
    </row>
    <row r="152" spans="1:33" x14ac:dyDescent="0.45">
      <c r="B152" s="21" t="s">
        <v>26</v>
      </c>
      <c r="C152" s="28">
        <f ca="1">IFERROR(SUMIFS(Energy[2021_TWh],Energy[[Sector]:[Sector]],$A$148, Energy[[Fuel_category]:[Fuel_category]],$B152),"")</f>
        <v>0</v>
      </c>
      <c r="D152" s="28">
        <f ca="1">IFERROR(SUMIFS(Energy[2022_TWh],Energy[[Sector]:[Sector]],$A$148, Energy[[Fuel_category]:[Fuel_category]],$B152),"")</f>
        <v>0</v>
      </c>
      <c r="E152" s="28">
        <f ca="1">IFERROR(SUMIFS(Energy[2023_TWh],Energy[[Sector]:[Sector]],$A$148, Energy[[Fuel_category]:[Fuel_category]],$B152),"")</f>
        <v>0</v>
      </c>
      <c r="F152" s="28">
        <f ca="1">IFERROR(SUMIFS(Energy[2024_TWh],Energy[[Sector]:[Sector]],$A$148, Energy[[Fuel_category]:[Fuel_category]],$B152),"")</f>
        <v>0</v>
      </c>
      <c r="G152" s="28">
        <f ca="1">IFERROR(SUMIFS(Energy[2025_TWh],Energy[[Sector]:[Sector]],$A$148, Energy[[Fuel_category]:[Fuel_category]],$B152),"")</f>
        <v>0</v>
      </c>
      <c r="H152" s="28">
        <f ca="1">IFERROR(SUMIFS(Energy[2026_TWh],Energy[[Sector]:[Sector]],$A$148, Energy[[Fuel_category]:[Fuel_category]],$B152),"")</f>
        <v>0</v>
      </c>
      <c r="I152" s="28">
        <f ca="1">IFERROR(SUMIFS(Energy[2027_TWh],Energy[[Sector]:[Sector]],$A$148, Energy[[Fuel_category]:[Fuel_category]],$B152),"")</f>
        <v>0</v>
      </c>
      <c r="J152" s="28">
        <f ca="1">IFERROR(SUMIFS(Energy[2028_TWh],Energy[[Sector]:[Sector]],$A$148, Energy[[Fuel_category]:[Fuel_category]],$B152),"")</f>
        <v>0</v>
      </c>
      <c r="K152" s="28">
        <f ca="1">IFERROR(SUMIFS(Energy[2029_TWh],Energy[[Sector]:[Sector]],$A$148, Energy[[Fuel_category]:[Fuel_category]],$B152),"")</f>
        <v>0</v>
      </c>
      <c r="L152" s="28">
        <f ca="1">IFERROR(SUMIFS(Energy[2030_TWh],Energy[[Sector]:[Sector]],$A$148, Energy[[Fuel_category]:[Fuel_category]],$B152),"")</f>
        <v>0</v>
      </c>
      <c r="M152" s="28">
        <f ca="1">IFERROR(SUMIFS(Energy[2031_TWh],Energy[[Sector]:[Sector]],$A$148, Energy[[Fuel_category]:[Fuel_category]],$B152),"")</f>
        <v>0</v>
      </c>
      <c r="N152" s="28">
        <f ca="1">IFERROR(SUMIFS(Energy[2032_TWh],Energy[[Sector]:[Sector]],$A$148, Energy[[Fuel_category]:[Fuel_category]],$B152),"")</f>
        <v>0</v>
      </c>
      <c r="O152" s="28">
        <f ca="1">IFERROR(SUMIFS(Energy[2033_TWh],Energy[[Sector]:[Sector]],$A$148, Energy[[Fuel_category]:[Fuel_category]],$B152),"")</f>
        <v>0</v>
      </c>
      <c r="P152" s="28">
        <f ca="1">IFERROR(SUMIFS(Energy[2034_TWh],Energy[[Sector]:[Sector]],$A$148, Energy[[Fuel_category]:[Fuel_category]],$B152),"")</f>
        <v>0</v>
      </c>
      <c r="Q152" s="28">
        <f ca="1">IFERROR(SUMIFS(Energy[2035_TWh],Energy[[Sector]:[Sector]],$A$148, Energy[[Fuel_category]:[Fuel_category]],$B152),"")</f>
        <v>0</v>
      </c>
      <c r="R152" s="28">
        <f ca="1">IFERROR(SUMIFS(Energy[2036_TWh],Energy[[Sector]:[Sector]],$A$148, Energy[[Fuel_category]:[Fuel_category]],$B152),"")</f>
        <v>0</v>
      </c>
      <c r="S152" s="28">
        <f ca="1">IFERROR(SUMIFS(Energy[2037_TWh],Energy[[Sector]:[Sector]],$A$148, Energy[[Fuel_category]:[Fuel_category]],$B152),"")</f>
        <v>0</v>
      </c>
      <c r="T152" s="28">
        <f ca="1">IFERROR(SUMIFS(Energy[2038_TWh],Energy[[Sector]:[Sector]],$A$148, Energy[[Fuel_category]:[Fuel_category]],$B152),"")</f>
        <v>0</v>
      </c>
      <c r="U152" s="28">
        <f ca="1">IFERROR(SUMIFS(Energy[2039_TWh],Energy[[Sector]:[Sector]],$A$148, Energy[[Fuel_category]:[Fuel_category]],$B152),"")</f>
        <v>0</v>
      </c>
      <c r="V152" s="28">
        <f ca="1">IFERROR(SUMIFS(Energy[2040_TWh],Energy[[Sector]:[Sector]],$A$148, Energy[[Fuel_category]:[Fuel_category]],$B152),"")</f>
        <v>0</v>
      </c>
      <c r="W152" s="28">
        <f ca="1">IFERROR(SUMIFS(Energy[2041_TWh],Energy[[Sector]:[Sector]],$A$148, Energy[[Fuel_category]:[Fuel_category]],$B152),"")</f>
        <v>0</v>
      </c>
      <c r="X152" s="28">
        <f ca="1">IFERROR(SUMIFS(Energy[2042_TWh],Energy[[Sector]:[Sector]],$A$148, Energy[[Fuel_category]:[Fuel_category]],$B152),"")</f>
        <v>0</v>
      </c>
      <c r="Y152" s="28">
        <f ca="1">IFERROR(SUMIFS(Energy[2043_TWh],Energy[[Sector]:[Sector]],$A$148, Energy[[Fuel_category]:[Fuel_category]],$B152),"")</f>
        <v>0</v>
      </c>
      <c r="Z152" s="28">
        <f ca="1">IFERROR(SUMIFS(Energy[2044_TWh],Energy[[Sector]:[Sector]],$A$148, Energy[[Fuel_category]:[Fuel_category]],$B152),"")</f>
        <v>0</v>
      </c>
      <c r="AA152" s="28">
        <f ca="1">IFERROR(SUMIFS(Energy[2045_TWh],Energy[[Sector]:[Sector]],$A$148, Energy[[Fuel_category]:[Fuel_category]],$B152),"")</f>
        <v>0</v>
      </c>
      <c r="AB152" s="28">
        <f ca="1">IFERROR(SUMIFS(Energy[2046_TWh],Energy[[Sector]:[Sector]],$A$148, Energy[[Fuel_category]:[Fuel_category]],$B152),"")</f>
        <v>0</v>
      </c>
      <c r="AC152" s="28">
        <f ca="1">IFERROR(SUMIFS(Energy[2047_TWh],Energy[[Sector]:[Sector]],$A$148, Energy[[Fuel_category]:[Fuel_category]],$B152),"")</f>
        <v>0</v>
      </c>
      <c r="AD152" s="28">
        <f ca="1">IFERROR(SUMIFS(Energy[2048_TWh],Energy[[Sector]:[Sector]],$A$148, Energy[[Fuel_category]:[Fuel_category]],$B152),"")</f>
        <v>0</v>
      </c>
      <c r="AE152" s="28">
        <f ca="1">IFERROR(SUMIFS(Energy[2049_TWh],Energy[[Sector]:[Sector]],$A$148, Energy[[Fuel_category]:[Fuel_category]],$B152),"")</f>
        <v>0</v>
      </c>
      <c r="AF152" s="28">
        <f ca="1">IFERROR(SUMIFS(Energy[2050_TWh],Energy[[Sector]:[Sector]],$A$148, Energy[[Fuel_category]:[Fuel_category]],$B152),"")</f>
        <v>0</v>
      </c>
      <c r="AG152" s="28">
        <f ca="1">IFERROR(SUMIFS(Energy[2051_TWh],Energy[[Sector]:[Sector]],$A$148, Energy[[Fuel_category]:[Fuel_category]],$B152),"")</f>
        <v>0</v>
      </c>
    </row>
    <row r="153" spans="1:33" x14ac:dyDescent="0.45">
      <c r="B153" s="21" t="s">
        <v>113</v>
      </c>
      <c r="C153" s="28">
        <f ca="1">IFERROR(SUMIFS(Energy[2021_TWh],Energy[[Sector]:[Sector]],$A$148, Energy[[Fuel_category]:[Fuel_category]],$B153),"")</f>
        <v>0</v>
      </c>
      <c r="D153" s="28">
        <f ca="1">IFERROR(SUMIFS(Energy[2022_TWh],Energy[[Sector]:[Sector]],$A$148, Energy[[Fuel_category]:[Fuel_category]],$B153),"")</f>
        <v>0</v>
      </c>
      <c r="E153" s="28">
        <f ca="1">IFERROR(SUMIFS(Energy[2023_TWh],Energy[[Sector]:[Sector]],$A$148, Energy[[Fuel_category]:[Fuel_category]],$B153),"")</f>
        <v>0</v>
      </c>
      <c r="F153" s="28">
        <f ca="1">IFERROR(SUMIFS(Energy[2024_TWh],Energy[[Sector]:[Sector]],$A$148, Energy[[Fuel_category]:[Fuel_category]],$B153),"")</f>
        <v>0</v>
      </c>
      <c r="G153" s="28">
        <f ca="1">IFERROR(SUMIFS(Energy[2025_TWh],Energy[[Sector]:[Sector]],$A$148, Energy[[Fuel_category]:[Fuel_category]],$B153),"")</f>
        <v>0</v>
      </c>
      <c r="H153" s="28">
        <f ca="1">IFERROR(SUMIFS(Energy[2026_TWh],Energy[[Sector]:[Sector]],$A$148, Energy[[Fuel_category]:[Fuel_category]],$B153),"")</f>
        <v>0</v>
      </c>
      <c r="I153" s="28">
        <f ca="1">IFERROR(SUMIFS(Energy[2027_TWh],Energy[[Sector]:[Sector]],$A$148, Energy[[Fuel_category]:[Fuel_category]],$B153),"")</f>
        <v>0</v>
      </c>
      <c r="J153" s="28">
        <f ca="1">IFERROR(SUMIFS(Energy[2028_TWh],Energy[[Sector]:[Sector]],$A$148, Energy[[Fuel_category]:[Fuel_category]],$B153),"")</f>
        <v>0</v>
      </c>
      <c r="K153" s="28">
        <f ca="1">IFERROR(SUMIFS(Energy[2029_TWh],Energy[[Sector]:[Sector]],$A$148, Energy[[Fuel_category]:[Fuel_category]],$B153),"")</f>
        <v>0</v>
      </c>
      <c r="L153" s="28">
        <f ca="1">IFERROR(SUMIFS(Energy[2030_TWh],Energy[[Sector]:[Sector]],$A$148, Energy[[Fuel_category]:[Fuel_category]],$B153),"")</f>
        <v>0</v>
      </c>
      <c r="M153" s="28">
        <f ca="1">IFERROR(SUMIFS(Energy[2031_TWh],Energy[[Sector]:[Sector]],$A$148, Energy[[Fuel_category]:[Fuel_category]],$B153),"")</f>
        <v>0</v>
      </c>
      <c r="N153" s="28">
        <f ca="1">IFERROR(SUMIFS(Energy[2032_TWh],Energy[[Sector]:[Sector]],$A$148, Energy[[Fuel_category]:[Fuel_category]],$B153),"")</f>
        <v>0</v>
      </c>
      <c r="O153" s="28">
        <f ca="1">IFERROR(SUMIFS(Energy[2033_TWh],Energy[[Sector]:[Sector]],$A$148, Energy[[Fuel_category]:[Fuel_category]],$B153),"")</f>
        <v>0</v>
      </c>
      <c r="P153" s="28">
        <f ca="1">IFERROR(SUMIFS(Energy[2034_TWh],Energy[[Sector]:[Sector]],$A$148, Energy[[Fuel_category]:[Fuel_category]],$B153),"")</f>
        <v>0</v>
      </c>
      <c r="Q153" s="28">
        <f ca="1">IFERROR(SUMIFS(Energy[2035_TWh],Energy[[Sector]:[Sector]],$A$148, Energy[[Fuel_category]:[Fuel_category]],$B153),"")</f>
        <v>0</v>
      </c>
      <c r="R153" s="28">
        <f ca="1">IFERROR(SUMIFS(Energy[2036_TWh],Energy[[Sector]:[Sector]],$A$148, Energy[[Fuel_category]:[Fuel_category]],$B153),"")</f>
        <v>0</v>
      </c>
      <c r="S153" s="28">
        <f ca="1">IFERROR(SUMIFS(Energy[2037_TWh],Energy[[Sector]:[Sector]],$A$148, Energy[[Fuel_category]:[Fuel_category]],$B153),"")</f>
        <v>0</v>
      </c>
      <c r="T153" s="28">
        <f ca="1">IFERROR(SUMIFS(Energy[2038_TWh],Energy[[Sector]:[Sector]],$A$148, Energy[[Fuel_category]:[Fuel_category]],$B153),"")</f>
        <v>0</v>
      </c>
      <c r="U153" s="28">
        <f ca="1">IFERROR(SUMIFS(Energy[2039_TWh],Energy[[Sector]:[Sector]],$A$148, Energy[[Fuel_category]:[Fuel_category]],$B153),"")</f>
        <v>0</v>
      </c>
      <c r="V153" s="28">
        <f ca="1">IFERROR(SUMIFS(Energy[2040_TWh],Energy[[Sector]:[Sector]],$A$148, Energy[[Fuel_category]:[Fuel_category]],$B153),"")</f>
        <v>0</v>
      </c>
      <c r="W153" s="28">
        <f ca="1">IFERROR(SUMIFS(Energy[2041_TWh],Energy[[Sector]:[Sector]],$A$148, Energy[[Fuel_category]:[Fuel_category]],$B153),"")</f>
        <v>0</v>
      </c>
      <c r="X153" s="28">
        <f ca="1">IFERROR(SUMIFS(Energy[2042_TWh],Energy[[Sector]:[Sector]],$A$148, Energy[[Fuel_category]:[Fuel_category]],$B153),"")</f>
        <v>0</v>
      </c>
      <c r="Y153" s="28">
        <f ca="1">IFERROR(SUMIFS(Energy[2043_TWh],Energy[[Sector]:[Sector]],$A$148, Energy[[Fuel_category]:[Fuel_category]],$B153),"")</f>
        <v>0</v>
      </c>
      <c r="Z153" s="28">
        <f ca="1">IFERROR(SUMIFS(Energy[2044_TWh],Energy[[Sector]:[Sector]],$A$148, Energy[[Fuel_category]:[Fuel_category]],$B153),"")</f>
        <v>0</v>
      </c>
      <c r="AA153" s="28">
        <f ca="1">IFERROR(SUMIFS(Energy[2045_TWh],Energy[[Sector]:[Sector]],$A$148, Energy[[Fuel_category]:[Fuel_category]],$B153),"")</f>
        <v>0</v>
      </c>
      <c r="AB153" s="28">
        <f ca="1">IFERROR(SUMIFS(Energy[2046_TWh],Energy[[Sector]:[Sector]],$A$148, Energy[[Fuel_category]:[Fuel_category]],$B153),"")</f>
        <v>0</v>
      </c>
      <c r="AC153" s="28">
        <f ca="1">IFERROR(SUMIFS(Energy[2047_TWh],Energy[[Sector]:[Sector]],$A$148, Energy[[Fuel_category]:[Fuel_category]],$B153),"")</f>
        <v>0</v>
      </c>
      <c r="AD153" s="28">
        <f ca="1">IFERROR(SUMIFS(Energy[2048_TWh],Energy[[Sector]:[Sector]],$A$148, Energy[[Fuel_category]:[Fuel_category]],$B153),"")</f>
        <v>0</v>
      </c>
      <c r="AE153" s="28">
        <f ca="1">IFERROR(SUMIFS(Energy[2049_TWh],Energy[[Sector]:[Sector]],$A$148, Energy[[Fuel_category]:[Fuel_category]],$B153),"")</f>
        <v>0</v>
      </c>
      <c r="AF153" s="28">
        <f ca="1">IFERROR(SUMIFS(Energy[2050_TWh],Energy[[Sector]:[Sector]],$A$148, Energy[[Fuel_category]:[Fuel_category]],$B153),"")</f>
        <v>0</v>
      </c>
      <c r="AG153" s="28">
        <f ca="1">IFERROR(SUMIFS(Energy[2051_TWh],Energy[[Sector]:[Sector]],$A$148, Energy[[Fuel_category]:[Fuel_category]],$B153),"")</f>
        <v>0</v>
      </c>
    </row>
    <row r="154" spans="1:33" x14ac:dyDescent="0.45">
      <c r="B154" s="21" t="s">
        <v>111</v>
      </c>
      <c r="C154" s="28">
        <f ca="1">IFERROR(SUMIFS(Energy[2021_TWh],Energy[[Sector]:[Sector]],$A$148, Energy[[Fuel_category]:[Fuel_category]],$B154),"")</f>
        <v>0</v>
      </c>
      <c r="D154" s="28">
        <f ca="1">IFERROR(SUMIFS(Energy[2022_TWh],Energy[[Sector]:[Sector]],$A$148, Energy[[Fuel_category]:[Fuel_category]],$B154),"")</f>
        <v>0</v>
      </c>
      <c r="E154" s="28">
        <f ca="1">IFERROR(SUMIFS(Energy[2023_TWh],Energy[[Sector]:[Sector]],$A$148, Energy[[Fuel_category]:[Fuel_category]],$B154),"")</f>
        <v>0</v>
      </c>
      <c r="F154" s="28">
        <f ca="1">IFERROR(SUMIFS(Energy[2024_TWh],Energy[[Sector]:[Sector]],$A$148, Energy[[Fuel_category]:[Fuel_category]],$B154),"")</f>
        <v>0</v>
      </c>
      <c r="G154" s="28">
        <f ca="1">IFERROR(SUMIFS(Energy[2025_TWh],Energy[[Sector]:[Sector]],$A$148, Energy[[Fuel_category]:[Fuel_category]],$B154),"")</f>
        <v>0</v>
      </c>
      <c r="H154" s="28">
        <f ca="1">IFERROR(SUMIFS(Energy[2026_TWh],Energy[[Sector]:[Sector]],$A$148, Energy[[Fuel_category]:[Fuel_category]],$B154),"")</f>
        <v>0</v>
      </c>
      <c r="I154" s="28">
        <f ca="1">IFERROR(SUMIFS(Energy[2027_TWh],Energy[[Sector]:[Sector]],$A$148, Energy[[Fuel_category]:[Fuel_category]],$B154),"")</f>
        <v>0</v>
      </c>
      <c r="J154" s="28">
        <f ca="1">IFERROR(SUMIFS(Energy[2028_TWh],Energy[[Sector]:[Sector]],$A$148, Energy[[Fuel_category]:[Fuel_category]],$B154),"")</f>
        <v>0</v>
      </c>
      <c r="K154" s="28">
        <f ca="1">IFERROR(SUMIFS(Energy[2029_TWh],Energy[[Sector]:[Sector]],$A$148, Energy[[Fuel_category]:[Fuel_category]],$B154),"")</f>
        <v>0</v>
      </c>
      <c r="L154" s="28">
        <f ca="1">IFERROR(SUMIFS(Energy[2030_TWh],Energy[[Sector]:[Sector]],$A$148, Energy[[Fuel_category]:[Fuel_category]],$B154),"")</f>
        <v>0</v>
      </c>
      <c r="M154" s="28">
        <f ca="1">IFERROR(SUMIFS(Energy[2031_TWh],Energy[[Sector]:[Sector]],$A$148, Energy[[Fuel_category]:[Fuel_category]],$B154),"")</f>
        <v>0</v>
      </c>
      <c r="N154" s="28">
        <f ca="1">IFERROR(SUMIFS(Energy[2032_TWh],Energy[[Sector]:[Sector]],$A$148, Energy[[Fuel_category]:[Fuel_category]],$B154),"")</f>
        <v>0</v>
      </c>
      <c r="O154" s="28">
        <f ca="1">IFERROR(SUMIFS(Energy[2033_TWh],Energy[[Sector]:[Sector]],$A$148, Energy[[Fuel_category]:[Fuel_category]],$B154),"")</f>
        <v>0</v>
      </c>
      <c r="P154" s="28">
        <f ca="1">IFERROR(SUMIFS(Energy[2034_TWh],Energy[[Sector]:[Sector]],$A$148, Energy[[Fuel_category]:[Fuel_category]],$B154),"")</f>
        <v>0</v>
      </c>
      <c r="Q154" s="28">
        <f ca="1">IFERROR(SUMIFS(Energy[2035_TWh],Energy[[Sector]:[Sector]],$A$148, Energy[[Fuel_category]:[Fuel_category]],$B154),"")</f>
        <v>0</v>
      </c>
      <c r="R154" s="28">
        <f ca="1">IFERROR(SUMIFS(Energy[2036_TWh],Energy[[Sector]:[Sector]],$A$148, Energy[[Fuel_category]:[Fuel_category]],$B154),"")</f>
        <v>0</v>
      </c>
      <c r="S154" s="28">
        <f ca="1">IFERROR(SUMIFS(Energy[2037_TWh],Energy[[Sector]:[Sector]],$A$148, Energy[[Fuel_category]:[Fuel_category]],$B154),"")</f>
        <v>0</v>
      </c>
      <c r="T154" s="28">
        <f ca="1">IFERROR(SUMIFS(Energy[2038_TWh],Energy[[Sector]:[Sector]],$A$148, Energy[[Fuel_category]:[Fuel_category]],$B154),"")</f>
        <v>0</v>
      </c>
      <c r="U154" s="28">
        <f ca="1">IFERROR(SUMIFS(Energy[2039_TWh],Energy[[Sector]:[Sector]],$A$148, Energy[[Fuel_category]:[Fuel_category]],$B154),"")</f>
        <v>0</v>
      </c>
      <c r="V154" s="28">
        <f ca="1">IFERROR(SUMIFS(Energy[2040_TWh],Energy[[Sector]:[Sector]],$A$148, Energy[[Fuel_category]:[Fuel_category]],$B154),"")</f>
        <v>0</v>
      </c>
      <c r="W154" s="28">
        <f ca="1">IFERROR(SUMIFS(Energy[2041_TWh],Energy[[Sector]:[Sector]],$A$148, Energy[[Fuel_category]:[Fuel_category]],$B154),"")</f>
        <v>0</v>
      </c>
      <c r="X154" s="28">
        <f ca="1">IFERROR(SUMIFS(Energy[2042_TWh],Energy[[Sector]:[Sector]],$A$148, Energy[[Fuel_category]:[Fuel_category]],$B154),"")</f>
        <v>0</v>
      </c>
      <c r="Y154" s="28">
        <f ca="1">IFERROR(SUMIFS(Energy[2043_TWh],Energy[[Sector]:[Sector]],$A$148, Energy[[Fuel_category]:[Fuel_category]],$B154),"")</f>
        <v>0</v>
      </c>
      <c r="Z154" s="28">
        <f ca="1">IFERROR(SUMIFS(Energy[2044_TWh],Energy[[Sector]:[Sector]],$A$148, Energy[[Fuel_category]:[Fuel_category]],$B154),"")</f>
        <v>0</v>
      </c>
      <c r="AA154" s="28">
        <f ca="1">IFERROR(SUMIFS(Energy[2045_TWh],Energy[[Sector]:[Sector]],$A$148, Energy[[Fuel_category]:[Fuel_category]],$B154),"")</f>
        <v>0</v>
      </c>
      <c r="AB154" s="28">
        <f ca="1">IFERROR(SUMIFS(Energy[2046_TWh],Energy[[Sector]:[Sector]],$A$148, Energy[[Fuel_category]:[Fuel_category]],$B154),"")</f>
        <v>0</v>
      </c>
      <c r="AC154" s="28">
        <f ca="1">IFERROR(SUMIFS(Energy[2047_TWh],Energy[[Sector]:[Sector]],$A$148, Energy[[Fuel_category]:[Fuel_category]],$B154),"")</f>
        <v>0</v>
      </c>
      <c r="AD154" s="28">
        <f ca="1">IFERROR(SUMIFS(Energy[2048_TWh],Energy[[Sector]:[Sector]],$A$148, Energy[[Fuel_category]:[Fuel_category]],$B154),"")</f>
        <v>0</v>
      </c>
      <c r="AE154" s="28">
        <f ca="1">IFERROR(SUMIFS(Energy[2049_TWh],Energy[[Sector]:[Sector]],$A$148, Energy[[Fuel_category]:[Fuel_category]],$B154),"")</f>
        <v>0</v>
      </c>
      <c r="AF154" s="28">
        <f ca="1">IFERROR(SUMIFS(Energy[2050_TWh],Energy[[Sector]:[Sector]],$A$148, Energy[[Fuel_category]:[Fuel_category]],$B154),"")</f>
        <v>0</v>
      </c>
      <c r="AG154" s="28">
        <f ca="1">IFERROR(SUMIFS(Energy[2051_TWh],Energy[[Sector]:[Sector]],$A$148, Energy[[Fuel_category]:[Fuel_category]],$B154),"")</f>
        <v>0</v>
      </c>
    </row>
    <row r="155" spans="1:33" ht="14.65" thickBot="1" x14ac:dyDescent="0.5">
      <c r="B155" s="29" t="s">
        <v>124</v>
      </c>
      <c r="C155" s="31">
        <f ca="1">IF(C105&lt;&gt;"",SUM(C148:C153),"")</f>
        <v>0</v>
      </c>
      <c r="D155" s="31">
        <f t="shared" ref="D155:AF155" ca="1" si="32">IF(D105&lt;&gt;"",SUM(D148:D153),"")</f>
        <v>0</v>
      </c>
      <c r="E155" s="31">
        <f t="shared" ca="1" si="32"/>
        <v>0</v>
      </c>
      <c r="F155" s="31">
        <f t="shared" ca="1" si="32"/>
        <v>0</v>
      </c>
      <c r="G155" s="31">
        <f t="shared" ca="1" si="32"/>
        <v>0</v>
      </c>
      <c r="H155" s="31">
        <f t="shared" ca="1" si="32"/>
        <v>0</v>
      </c>
      <c r="I155" s="31">
        <f t="shared" ca="1" si="32"/>
        <v>0</v>
      </c>
      <c r="J155" s="31">
        <f t="shared" ca="1" si="32"/>
        <v>0</v>
      </c>
      <c r="K155" s="31">
        <f t="shared" ca="1" si="32"/>
        <v>0</v>
      </c>
      <c r="L155" s="31">
        <f t="shared" ca="1" si="32"/>
        <v>0</v>
      </c>
      <c r="M155" s="31">
        <f t="shared" ca="1" si="32"/>
        <v>0</v>
      </c>
      <c r="N155" s="31">
        <f t="shared" ca="1" si="32"/>
        <v>0</v>
      </c>
      <c r="O155" s="31">
        <f t="shared" ca="1" si="32"/>
        <v>0</v>
      </c>
      <c r="P155" s="31">
        <f t="shared" ca="1" si="32"/>
        <v>0</v>
      </c>
      <c r="Q155" s="31">
        <f t="shared" ca="1" si="32"/>
        <v>0</v>
      </c>
      <c r="R155" s="31">
        <f t="shared" ca="1" si="32"/>
        <v>0</v>
      </c>
      <c r="S155" s="31">
        <f t="shared" ca="1" si="32"/>
        <v>0</v>
      </c>
      <c r="T155" s="31">
        <f t="shared" ca="1" si="32"/>
        <v>0</v>
      </c>
      <c r="U155" s="31">
        <f t="shared" ca="1" si="32"/>
        <v>0</v>
      </c>
      <c r="V155" s="31">
        <f t="shared" ca="1" si="32"/>
        <v>0</v>
      </c>
      <c r="W155" s="31">
        <f t="shared" ca="1" si="32"/>
        <v>0</v>
      </c>
      <c r="X155" s="31">
        <f t="shared" ca="1" si="32"/>
        <v>0</v>
      </c>
      <c r="Y155" s="31">
        <f t="shared" ca="1" si="32"/>
        <v>0</v>
      </c>
      <c r="Z155" s="31">
        <f t="shared" ca="1" si="32"/>
        <v>0</v>
      </c>
      <c r="AA155" s="31">
        <f t="shared" ca="1" si="32"/>
        <v>0</v>
      </c>
      <c r="AB155" s="31">
        <f t="shared" ca="1" si="32"/>
        <v>0</v>
      </c>
      <c r="AC155" s="31">
        <f t="shared" ca="1" si="32"/>
        <v>0</v>
      </c>
      <c r="AD155" s="31">
        <f t="shared" ca="1" si="32"/>
        <v>0</v>
      </c>
      <c r="AE155" s="31">
        <f t="shared" ca="1" si="32"/>
        <v>0</v>
      </c>
      <c r="AF155" s="31">
        <f t="shared" ca="1" si="32"/>
        <v>0</v>
      </c>
      <c r="AG155" s="31">
        <f t="shared" ref="AG155" ca="1" si="33">IF(AG105&lt;&gt;"",SUM(AG148:AG153),"")</f>
        <v>0</v>
      </c>
    </row>
    <row r="156" spans="1:33" ht="14.65" thickTop="1" x14ac:dyDescent="0.45"/>
    <row r="157" spans="1:33" ht="15.75" customHeight="1" x14ac:dyDescent="0.45">
      <c r="B157" s="6"/>
      <c r="C157" s="6">
        <v>2021</v>
      </c>
      <c r="D157" s="6">
        <v>2022</v>
      </c>
      <c r="E157" s="6">
        <v>2023</v>
      </c>
      <c r="F157" s="6">
        <v>2024</v>
      </c>
      <c r="G157" s="6">
        <v>2025</v>
      </c>
      <c r="H157" s="6">
        <v>2026</v>
      </c>
      <c r="I157" s="6">
        <v>2027</v>
      </c>
      <c r="J157" s="6">
        <v>2028</v>
      </c>
      <c r="K157" s="6">
        <v>2029</v>
      </c>
      <c r="L157" s="6">
        <v>2030</v>
      </c>
      <c r="M157" s="6">
        <v>2031</v>
      </c>
      <c r="N157" s="6">
        <v>2032</v>
      </c>
      <c r="O157" s="6">
        <v>2033</v>
      </c>
      <c r="P157" s="6">
        <v>2034</v>
      </c>
      <c r="Q157" s="6">
        <v>2035</v>
      </c>
      <c r="R157" s="6">
        <v>2036</v>
      </c>
      <c r="S157" s="6">
        <v>2037</v>
      </c>
      <c r="T157" s="6">
        <v>2038</v>
      </c>
      <c r="U157" s="6">
        <v>2039</v>
      </c>
      <c r="V157" s="6">
        <v>2040</v>
      </c>
      <c r="W157" s="6">
        <v>2041</v>
      </c>
      <c r="X157" s="6">
        <v>2042</v>
      </c>
      <c r="Y157" s="6">
        <v>2043</v>
      </c>
      <c r="Z157" s="6">
        <v>2044</v>
      </c>
      <c r="AA157" s="6">
        <v>2045</v>
      </c>
      <c r="AB157" s="6">
        <v>2046</v>
      </c>
      <c r="AC157" s="6">
        <v>2047</v>
      </c>
      <c r="AD157" s="6">
        <v>2048</v>
      </c>
      <c r="AE157" s="6">
        <v>2049</v>
      </c>
      <c r="AF157" s="6">
        <v>2050</v>
      </c>
      <c r="AG157" s="6">
        <v>2051</v>
      </c>
    </row>
    <row r="158" spans="1:33" x14ac:dyDescent="0.45">
      <c r="A158" t="s">
        <v>20</v>
      </c>
      <c r="B158" s="21" t="s">
        <v>82</v>
      </c>
      <c r="C158" s="28">
        <f ca="1">IFERROR(SUMIFS(Energy[2021_TWh],Energy[[Sector]:[Sector]],$A$158, Energy[[Fuel_category]:[Fuel_category]],$B158),"")</f>
        <v>0</v>
      </c>
      <c r="D158" s="28">
        <f ca="1">IFERROR(SUMIFS(Energy[2022_TWh],Energy[[Sector]:[Sector]],$A$158, Energy[[Fuel_category]:[Fuel_category]],$B158),"")</f>
        <v>0</v>
      </c>
      <c r="E158" s="28">
        <f ca="1">IFERROR(SUMIFS(Energy[2023_TWh],Energy[[Sector]:[Sector]],$A$158, Energy[[Fuel_category]:[Fuel_category]],$B158),"")</f>
        <v>0</v>
      </c>
      <c r="F158" s="28">
        <f ca="1">IFERROR(SUMIFS(Energy[2024_TWh],Energy[[Sector]:[Sector]],$A$158, Energy[[Fuel_category]:[Fuel_category]],$B158),"")</f>
        <v>0</v>
      </c>
      <c r="G158" s="28">
        <f ca="1">IFERROR(SUMIFS(Energy[2025_TWh],Energy[[Sector]:[Sector]],$A$158, Energy[[Fuel_category]:[Fuel_category]],$B158),"")</f>
        <v>0</v>
      </c>
      <c r="H158" s="28">
        <f ca="1">IFERROR(SUMIFS(Energy[2026_TWh],Energy[[Sector]:[Sector]],$A$158, Energy[[Fuel_category]:[Fuel_category]],$B158),"")</f>
        <v>0</v>
      </c>
      <c r="I158" s="28">
        <f ca="1">IFERROR(SUMIFS(Energy[2027_TWh],Energy[[Sector]:[Sector]],$A$158, Energy[[Fuel_category]:[Fuel_category]],$B158),"")</f>
        <v>0</v>
      </c>
      <c r="J158" s="28">
        <f ca="1">IFERROR(SUMIFS(Energy[2028_TWh],Energy[[Sector]:[Sector]],$A$158, Energy[[Fuel_category]:[Fuel_category]],$B158),"")</f>
        <v>0</v>
      </c>
      <c r="K158" s="28">
        <f ca="1">IFERROR(SUMIFS(Energy[2029_TWh],Energy[[Sector]:[Sector]],$A$158, Energy[[Fuel_category]:[Fuel_category]],$B158),"")</f>
        <v>0</v>
      </c>
      <c r="L158" s="28">
        <f ca="1">IFERROR(SUMIFS(Energy[2030_TWh],Energy[[Sector]:[Sector]],$A$158, Energy[[Fuel_category]:[Fuel_category]],$B158),"")</f>
        <v>0</v>
      </c>
      <c r="M158" s="28">
        <f ca="1">IFERROR(SUMIFS(Energy[2031_TWh],Energy[[Sector]:[Sector]],$A$158, Energy[[Fuel_category]:[Fuel_category]],$B158),"")</f>
        <v>0</v>
      </c>
      <c r="N158" s="28">
        <f ca="1">IFERROR(SUMIFS(Energy[2032_TWh],Energy[[Sector]:[Sector]],$A$158, Energy[[Fuel_category]:[Fuel_category]],$B158),"")</f>
        <v>0</v>
      </c>
      <c r="O158" s="28">
        <f ca="1">IFERROR(SUMIFS(Energy[2033_TWh],Energy[[Sector]:[Sector]],$A$158, Energy[[Fuel_category]:[Fuel_category]],$B158),"")</f>
        <v>0</v>
      </c>
      <c r="P158" s="28">
        <f ca="1">IFERROR(SUMIFS(Energy[2034_TWh],Energy[[Sector]:[Sector]],$A$158, Energy[[Fuel_category]:[Fuel_category]],$B158),"")</f>
        <v>0</v>
      </c>
      <c r="Q158" s="28">
        <f ca="1">IFERROR(SUMIFS(Energy[2035_TWh],Energy[[Sector]:[Sector]],$A$158, Energy[[Fuel_category]:[Fuel_category]],$B158),"")</f>
        <v>0</v>
      </c>
      <c r="R158" s="28">
        <f ca="1">IFERROR(SUMIFS(Energy[2036_TWh],Energy[[Sector]:[Sector]],$A$158, Energy[[Fuel_category]:[Fuel_category]],$B158),"")</f>
        <v>0</v>
      </c>
      <c r="S158" s="28">
        <f ca="1">IFERROR(SUMIFS(Energy[2037_TWh],Energy[[Sector]:[Sector]],$A$158, Energy[[Fuel_category]:[Fuel_category]],$B158),"")</f>
        <v>0</v>
      </c>
      <c r="T158" s="28">
        <f ca="1">IFERROR(SUMIFS(Energy[2038_TWh],Energy[[Sector]:[Sector]],$A$158, Energy[[Fuel_category]:[Fuel_category]],$B158),"")</f>
        <v>0</v>
      </c>
      <c r="U158" s="28">
        <f ca="1">IFERROR(SUMIFS(Energy[2039_TWh],Energy[[Sector]:[Sector]],$A$158, Energy[[Fuel_category]:[Fuel_category]],$B158),"")</f>
        <v>0</v>
      </c>
      <c r="V158" s="28">
        <f ca="1">IFERROR(SUMIFS(Energy[2040_TWh],Energy[[Sector]:[Sector]],$A$158, Energy[[Fuel_category]:[Fuel_category]],$B158),"")</f>
        <v>0</v>
      </c>
      <c r="W158" s="28">
        <f ca="1">IFERROR(SUMIFS(Energy[2041_TWh],Energy[[Sector]:[Sector]],$A$158, Energy[[Fuel_category]:[Fuel_category]],$B158),"")</f>
        <v>0</v>
      </c>
      <c r="X158" s="28">
        <f ca="1">IFERROR(SUMIFS(Energy[2042_TWh],Energy[[Sector]:[Sector]],$A$158, Energy[[Fuel_category]:[Fuel_category]],$B158),"")</f>
        <v>0</v>
      </c>
      <c r="Y158" s="28">
        <f ca="1">IFERROR(SUMIFS(Energy[2043_TWh],Energy[[Sector]:[Sector]],$A$158, Energy[[Fuel_category]:[Fuel_category]],$B158),"")</f>
        <v>0</v>
      </c>
      <c r="Z158" s="28">
        <f ca="1">IFERROR(SUMIFS(Energy[2044_TWh],Energy[[Sector]:[Sector]],$A$158, Energy[[Fuel_category]:[Fuel_category]],$B158),"")</f>
        <v>0</v>
      </c>
      <c r="AA158" s="28">
        <f ca="1">IFERROR(SUMIFS(Energy[2045_TWh],Energy[[Sector]:[Sector]],$A$158, Energy[[Fuel_category]:[Fuel_category]],$B158),"")</f>
        <v>0</v>
      </c>
      <c r="AB158" s="28">
        <f ca="1">IFERROR(SUMIFS(Energy[2046_TWh],Energy[[Sector]:[Sector]],$A$158, Energy[[Fuel_category]:[Fuel_category]],$B158),"")</f>
        <v>0</v>
      </c>
      <c r="AC158" s="28">
        <f ca="1">IFERROR(SUMIFS(Energy[2047_TWh],Energy[[Sector]:[Sector]],$A$158, Energy[[Fuel_category]:[Fuel_category]],$B158),"")</f>
        <v>0</v>
      </c>
      <c r="AD158" s="28">
        <f ca="1">IFERROR(SUMIFS(Energy[2048_TWh],Energy[[Sector]:[Sector]],$A$158, Energy[[Fuel_category]:[Fuel_category]],$B158),"")</f>
        <v>0</v>
      </c>
      <c r="AE158" s="28">
        <f ca="1">IFERROR(SUMIFS(Energy[2049_TWh],Energy[[Sector]:[Sector]],$A$158, Energy[[Fuel_category]:[Fuel_category]],$B158),"")</f>
        <v>0</v>
      </c>
      <c r="AF158" s="28">
        <f ca="1">IFERROR(SUMIFS(Energy[2050_TWh],Energy[[Sector]:[Sector]],$A$158, Energy[[Fuel_category]:[Fuel_category]],$B158),"")</f>
        <v>0</v>
      </c>
      <c r="AG158" s="28">
        <f ca="1">IFERROR(SUMIFS(Energy[2051_TWh],Energy[[Sector]:[Sector]],$A$158, Energy[[Fuel_category]:[Fuel_category]],$B158),"")</f>
        <v>0</v>
      </c>
    </row>
    <row r="159" spans="1:33" x14ac:dyDescent="0.45">
      <c r="B159" s="21" t="s">
        <v>83</v>
      </c>
      <c r="C159" s="28">
        <f ca="1">IFERROR(SUMIFS(Energy[2021_TWh],Energy[[Sector]:[Sector]],$A$158, Energy[[Fuel_category]:[Fuel_category]],$B159),"")</f>
        <v>0</v>
      </c>
      <c r="D159" s="28">
        <f ca="1">IFERROR(SUMIFS(Energy[2022_TWh],Energy[[Sector]:[Sector]],$A$158, Energy[[Fuel_category]:[Fuel_category]],$B159),"")</f>
        <v>0</v>
      </c>
      <c r="E159" s="28">
        <f ca="1">IFERROR(SUMIFS(Energy[2023_TWh],Energy[[Sector]:[Sector]],$A$158, Energy[[Fuel_category]:[Fuel_category]],$B159),"")</f>
        <v>0</v>
      </c>
      <c r="F159" s="28">
        <f ca="1">IFERROR(SUMIFS(Energy[2024_TWh],Energy[[Sector]:[Sector]],$A$158, Energy[[Fuel_category]:[Fuel_category]],$B159),"")</f>
        <v>0</v>
      </c>
      <c r="G159" s="28">
        <f ca="1">IFERROR(SUMIFS(Energy[2025_TWh],Energy[[Sector]:[Sector]],$A$158, Energy[[Fuel_category]:[Fuel_category]],$B159),"")</f>
        <v>0</v>
      </c>
      <c r="H159" s="28">
        <f ca="1">IFERROR(SUMIFS(Energy[2026_TWh],Energy[[Sector]:[Sector]],$A$158, Energy[[Fuel_category]:[Fuel_category]],$B159),"")</f>
        <v>0</v>
      </c>
      <c r="I159" s="28">
        <f ca="1">IFERROR(SUMIFS(Energy[2027_TWh],Energy[[Sector]:[Sector]],$A$158, Energy[[Fuel_category]:[Fuel_category]],$B159),"")</f>
        <v>0</v>
      </c>
      <c r="J159" s="28">
        <f ca="1">IFERROR(SUMIFS(Energy[2028_TWh],Energy[[Sector]:[Sector]],$A$158, Energy[[Fuel_category]:[Fuel_category]],$B159),"")</f>
        <v>0</v>
      </c>
      <c r="K159" s="28">
        <f ca="1">IFERROR(SUMIFS(Energy[2029_TWh],Energy[[Sector]:[Sector]],$A$158, Energy[[Fuel_category]:[Fuel_category]],$B159),"")</f>
        <v>0</v>
      </c>
      <c r="L159" s="28">
        <f ca="1">IFERROR(SUMIFS(Energy[2030_TWh],Energy[[Sector]:[Sector]],$A$158, Energy[[Fuel_category]:[Fuel_category]],$B159),"")</f>
        <v>0</v>
      </c>
      <c r="M159" s="28">
        <f ca="1">IFERROR(SUMIFS(Energy[2031_TWh],Energy[[Sector]:[Sector]],$A$158, Energy[[Fuel_category]:[Fuel_category]],$B159),"")</f>
        <v>0</v>
      </c>
      <c r="N159" s="28">
        <f ca="1">IFERROR(SUMIFS(Energy[2032_TWh],Energy[[Sector]:[Sector]],$A$158, Energy[[Fuel_category]:[Fuel_category]],$B159),"")</f>
        <v>0</v>
      </c>
      <c r="O159" s="28">
        <f ca="1">IFERROR(SUMIFS(Energy[2033_TWh],Energy[[Sector]:[Sector]],$A$158, Energy[[Fuel_category]:[Fuel_category]],$B159),"")</f>
        <v>0</v>
      </c>
      <c r="P159" s="28">
        <f ca="1">IFERROR(SUMIFS(Energy[2034_TWh],Energy[[Sector]:[Sector]],$A$158, Energy[[Fuel_category]:[Fuel_category]],$B159),"")</f>
        <v>0</v>
      </c>
      <c r="Q159" s="28">
        <f ca="1">IFERROR(SUMIFS(Energy[2035_TWh],Energy[[Sector]:[Sector]],$A$158, Energy[[Fuel_category]:[Fuel_category]],$B159),"")</f>
        <v>0</v>
      </c>
      <c r="R159" s="28">
        <f ca="1">IFERROR(SUMIFS(Energy[2036_TWh],Energy[[Sector]:[Sector]],$A$158, Energy[[Fuel_category]:[Fuel_category]],$B159),"")</f>
        <v>0</v>
      </c>
      <c r="S159" s="28">
        <f ca="1">IFERROR(SUMIFS(Energy[2037_TWh],Energy[[Sector]:[Sector]],$A$158, Energy[[Fuel_category]:[Fuel_category]],$B159),"")</f>
        <v>0</v>
      </c>
      <c r="T159" s="28">
        <f ca="1">IFERROR(SUMIFS(Energy[2038_TWh],Energy[[Sector]:[Sector]],$A$158, Energy[[Fuel_category]:[Fuel_category]],$B159),"")</f>
        <v>0</v>
      </c>
      <c r="U159" s="28">
        <f ca="1">IFERROR(SUMIFS(Energy[2039_TWh],Energy[[Sector]:[Sector]],$A$158, Energy[[Fuel_category]:[Fuel_category]],$B159),"")</f>
        <v>0</v>
      </c>
      <c r="V159" s="28">
        <f ca="1">IFERROR(SUMIFS(Energy[2040_TWh],Energy[[Sector]:[Sector]],$A$158, Energy[[Fuel_category]:[Fuel_category]],$B159),"")</f>
        <v>0</v>
      </c>
      <c r="W159" s="28">
        <f ca="1">IFERROR(SUMIFS(Energy[2041_TWh],Energy[[Sector]:[Sector]],$A$158, Energy[[Fuel_category]:[Fuel_category]],$B159),"")</f>
        <v>0</v>
      </c>
      <c r="X159" s="28">
        <f ca="1">IFERROR(SUMIFS(Energy[2042_TWh],Energy[[Sector]:[Sector]],$A$158, Energy[[Fuel_category]:[Fuel_category]],$B159),"")</f>
        <v>0</v>
      </c>
      <c r="Y159" s="28">
        <f ca="1">IFERROR(SUMIFS(Energy[2043_TWh],Energy[[Sector]:[Sector]],$A$158, Energy[[Fuel_category]:[Fuel_category]],$B159),"")</f>
        <v>0</v>
      </c>
      <c r="Z159" s="28">
        <f ca="1">IFERROR(SUMIFS(Energy[2044_TWh],Energy[[Sector]:[Sector]],$A$158, Energy[[Fuel_category]:[Fuel_category]],$B159),"")</f>
        <v>0</v>
      </c>
      <c r="AA159" s="28">
        <f ca="1">IFERROR(SUMIFS(Energy[2045_TWh],Energy[[Sector]:[Sector]],$A$158, Energy[[Fuel_category]:[Fuel_category]],$B159),"")</f>
        <v>0</v>
      </c>
      <c r="AB159" s="28">
        <f ca="1">IFERROR(SUMIFS(Energy[2046_TWh],Energy[[Sector]:[Sector]],$A$158, Energy[[Fuel_category]:[Fuel_category]],$B159),"")</f>
        <v>0</v>
      </c>
      <c r="AC159" s="28">
        <f ca="1">IFERROR(SUMIFS(Energy[2047_TWh],Energy[[Sector]:[Sector]],$A$158, Energy[[Fuel_category]:[Fuel_category]],$B159),"")</f>
        <v>0</v>
      </c>
      <c r="AD159" s="28">
        <f ca="1">IFERROR(SUMIFS(Energy[2048_TWh],Energy[[Sector]:[Sector]],$A$158, Energy[[Fuel_category]:[Fuel_category]],$B159),"")</f>
        <v>0</v>
      </c>
      <c r="AE159" s="28">
        <f ca="1">IFERROR(SUMIFS(Energy[2049_TWh],Energy[[Sector]:[Sector]],$A$158, Energy[[Fuel_category]:[Fuel_category]],$B159),"")</f>
        <v>0</v>
      </c>
      <c r="AF159" s="28">
        <f ca="1">IFERROR(SUMIFS(Energy[2050_TWh],Energy[[Sector]:[Sector]],$A$158, Energy[[Fuel_category]:[Fuel_category]],$B159),"")</f>
        <v>0</v>
      </c>
      <c r="AG159" s="28">
        <f ca="1">IFERROR(SUMIFS(Energy[2051_TWh],Energy[[Sector]:[Sector]],$A$158, Energy[[Fuel_category]:[Fuel_category]],$B159),"")</f>
        <v>0</v>
      </c>
    </row>
    <row r="160" spans="1:33" x14ac:dyDescent="0.45">
      <c r="B160" s="21" t="s">
        <v>67</v>
      </c>
      <c r="C160" s="28">
        <f ca="1">IFERROR(SUMIFS(Energy[2021_TWh],Energy[[Sector]:[Sector]],$A$158, Energy[[Fuel_category]:[Fuel_category]],$B160),"")</f>
        <v>0</v>
      </c>
      <c r="D160" s="28">
        <f ca="1">IFERROR(SUMIFS(Energy[2022_TWh],Energy[[Sector]:[Sector]],$A$158, Energy[[Fuel_category]:[Fuel_category]],$B160),"")</f>
        <v>0</v>
      </c>
      <c r="E160" s="28">
        <f ca="1">IFERROR(SUMIFS(Energy[2023_TWh],Energy[[Sector]:[Sector]],$A$158, Energy[[Fuel_category]:[Fuel_category]],$B160),"")</f>
        <v>0</v>
      </c>
      <c r="F160" s="28">
        <f ca="1">IFERROR(SUMIFS(Energy[2024_TWh],Energy[[Sector]:[Sector]],$A$158, Energy[[Fuel_category]:[Fuel_category]],$B160),"")</f>
        <v>0</v>
      </c>
      <c r="G160" s="28">
        <f ca="1">IFERROR(SUMIFS(Energy[2025_TWh],Energy[[Sector]:[Sector]],$A$158, Energy[[Fuel_category]:[Fuel_category]],$B160),"")</f>
        <v>0</v>
      </c>
      <c r="H160" s="28">
        <f ca="1">IFERROR(SUMIFS(Energy[2026_TWh],Energy[[Sector]:[Sector]],$A$158, Energy[[Fuel_category]:[Fuel_category]],$B160),"")</f>
        <v>0</v>
      </c>
      <c r="I160" s="28">
        <f ca="1">IFERROR(SUMIFS(Energy[2027_TWh],Energy[[Sector]:[Sector]],$A$158, Energy[[Fuel_category]:[Fuel_category]],$B160),"")</f>
        <v>0</v>
      </c>
      <c r="J160" s="28">
        <f ca="1">IFERROR(SUMIFS(Energy[2028_TWh],Energy[[Sector]:[Sector]],$A$158, Energy[[Fuel_category]:[Fuel_category]],$B160),"")</f>
        <v>0</v>
      </c>
      <c r="K160" s="28">
        <f ca="1">IFERROR(SUMIFS(Energy[2029_TWh],Energy[[Sector]:[Sector]],$A$158, Energy[[Fuel_category]:[Fuel_category]],$B160),"")</f>
        <v>0</v>
      </c>
      <c r="L160" s="28">
        <f ca="1">IFERROR(SUMIFS(Energy[2030_TWh],Energy[[Sector]:[Sector]],$A$158, Energy[[Fuel_category]:[Fuel_category]],$B160),"")</f>
        <v>0</v>
      </c>
      <c r="M160" s="28">
        <f ca="1">IFERROR(SUMIFS(Energy[2031_TWh],Energy[[Sector]:[Sector]],$A$158, Energy[[Fuel_category]:[Fuel_category]],$B160),"")</f>
        <v>0</v>
      </c>
      <c r="N160" s="28">
        <f ca="1">IFERROR(SUMIFS(Energy[2032_TWh],Energy[[Sector]:[Sector]],$A$158, Energy[[Fuel_category]:[Fuel_category]],$B160),"")</f>
        <v>0</v>
      </c>
      <c r="O160" s="28">
        <f ca="1">IFERROR(SUMIFS(Energy[2033_TWh],Energy[[Sector]:[Sector]],$A$158, Energy[[Fuel_category]:[Fuel_category]],$B160),"")</f>
        <v>0</v>
      </c>
      <c r="P160" s="28">
        <f ca="1">IFERROR(SUMIFS(Energy[2034_TWh],Energy[[Sector]:[Sector]],$A$158, Energy[[Fuel_category]:[Fuel_category]],$B160),"")</f>
        <v>0</v>
      </c>
      <c r="Q160" s="28">
        <f ca="1">IFERROR(SUMIFS(Energy[2035_TWh],Energy[[Sector]:[Sector]],$A$158, Energy[[Fuel_category]:[Fuel_category]],$B160),"")</f>
        <v>0</v>
      </c>
      <c r="R160" s="28">
        <f ca="1">IFERROR(SUMIFS(Energy[2036_TWh],Energy[[Sector]:[Sector]],$A$158, Energy[[Fuel_category]:[Fuel_category]],$B160),"")</f>
        <v>0</v>
      </c>
      <c r="S160" s="28">
        <f ca="1">IFERROR(SUMIFS(Energy[2037_TWh],Energy[[Sector]:[Sector]],$A$158, Energy[[Fuel_category]:[Fuel_category]],$B160),"")</f>
        <v>0</v>
      </c>
      <c r="T160" s="28">
        <f ca="1">IFERROR(SUMIFS(Energy[2038_TWh],Energy[[Sector]:[Sector]],$A$158, Energy[[Fuel_category]:[Fuel_category]],$B160),"")</f>
        <v>0</v>
      </c>
      <c r="U160" s="28">
        <f ca="1">IFERROR(SUMIFS(Energy[2039_TWh],Energy[[Sector]:[Sector]],$A$158, Energy[[Fuel_category]:[Fuel_category]],$B160),"")</f>
        <v>0</v>
      </c>
      <c r="V160" s="28">
        <f ca="1">IFERROR(SUMIFS(Energy[2040_TWh],Energy[[Sector]:[Sector]],$A$158, Energy[[Fuel_category]:[Fuel_category]],$B160),"")</f>
        <v>0</v>
      </c>
      <c r="W160" s="28">
        <f ca="1">IFERROR(SUMIFS(Energy[2041_TWh],Energy[[Sector]:[Sector]],$A$158, Energy[[Fuel_category]:[Fuel_category]],$B160),"")</f>
        <v>0</v>
      </c>
      <c r="X160" s="28">
        <f ca="1">IFERROR(SUMIFS(Energy[2042_TWh],Energy[[Sector]:[Sector]],$A$158, Energy[[Fuel_category]:[Fuel_category]],$B160),"")</f>
        <v>0</v>
      </c>
      <c r="Y160" s="28">
        <f ca="1">IFERROR(SUMIFS(Energy[2043_TWh],Energy[[Sector]:[Sector]],$A$158, Energy[[Fuel_category]:[Fuel_category]],$B160),"")</f>
        <v>0</v>
      </c>
      <c r="Z160" s="28">
        <f ca="1">IFERROR(SUMIFS(Energy[2044_TWh],Energy[[Sector]:[Sector]],$A$158, Energy[[Fuel_category]:[Fuel_category]],$B160),"")</f>
        <v>0</v>
      </c>
      <c r="AA160" s="28">
        <f ca="1">IFERROR(SUMIFS(Energy[2045_TWh],Energy[[Sector]:[Sector]],$A$158, Energy[[Fuel_category]:[Fuel_category]],$B160),"")</f>
        <v>0</v>
      </c>
      <c r="AB160" s="28">
        <f ca="1">IFERROR(SUMIFS(Energy[2046_TWh],Energy[[Sector]:[Sector]],$A$158, Energy[[Fuel_category]:[Fuel_category]],$B160),"")</f>
        <v>0</v>
      </c>
      <c r="AC160" s="28">
        <f ca="1">IFERROR(SUMIFS(Energy[2047_TWh],Energy[[Sector]:[Sector]],$A$158, Energy[[Fuel_category]:[Fuel_category]],$B160),"")</f>
        <v>0</v>
      </c>
      <c r="AD160" s="28">
        <f ca="1">IFERROR(SUMIFS(Energy[2048_TWh],Energy[[Sector]:[Sector]],$A$158, Energy[[Fuel_category]:[Fuel_category]],$B160),"")</f>
        <v>0</v>
      </c>
      <c r="AE160" s="28">
        <f ca="1">IFERROR(SUMIFS(Energy[2049_TWh],Energy[[Sector]:[Sector]],$A$158, Energy[[Fuel_category]:[Fuel_category]],$B160),"")</f>
        <v>0</v>
      </c>
      <c r="AF160" s="28">
        <f ca="1">IFERROR(SUMIFS(Energy[2050_TWh],Energy[[Sector]:[Sector]],$A$158, Energy[[Fuel_category]:[Fuel_category]],$B160),"")</f>
        <v>0</v>
      </c>
      <c r="AG160" s="28">
        <f ca="1">IFERROR(SUMIFS(Energy[2051_TWh],Energy[[Sector]:[Sector]],$A$158, Energy[[Fuel_category]:[Fuel_category]],$B160),"")</f>
        <v>0</v>
      </c>
    </row>
    <row r="161" spans="1:33" x14ac:dyDescent="0.45">
      <c r="B161" s="21" t="s">
        <v>35</v>
      </c>
      <c r="C161" s="28">
        <f ca="1">IFERROR(SUMIFS(Energy[2021_TWh],Energy[[Sector]:[Sector]],$A$158, Energy[[Fuel_category]:[Fuel_category]],$B161),"")</f>
        <v>0</v>
      </c>
      <c r="D161" s="28">
        <f ca="1">IFERROR(SUMIFS(Energy[2022_TWh],Energy[[Sector]:[Sector]],$A$158, Energy[[Fuel_category]:[Fuel_category]],$B161),"")</f>
        <v>0</v>
      </c>
      <c r="E161" s="28">
        <f ca="1">IFERROR(SUMIFS(Energy[2023_TWh],Energy[[Sector]:[Sector]],$A$158, Energy[[Fuel_category]:[Fuel_category]],$B161),"")</f>
        <v>0</v>
      </c>
      <c r="F161" s="28">
        <f ca="1">IFERROR(SUMIFS(Energy[2024_TWh],Energy[[Sector]:[Sector]],$A$158, Energy[[Fuel_category]:[Fuel_category]],$B161),"")</f>
        <v>0</v>
      </c>
      <c r="G161" s="28">
        <f ca="1">IFERROR(SUMIFS(Energy[2025_TWh],Energy[[Sector]:[Sector]],$A$158, Energy[[Fuel_category]:[Fuel_category]],$B161),"")</f>
        <v>0</v>
      </c>
      <c r="H161" s="28">
        <f ca="1">IFERROR(SUMIFS(Energy[2026_TWh],Energy[[Sector]:[Sector]],$A$158, Energy[[Fuel_category]:[Fuel_category]],$B161),"")</f>
        <v>0</v>
      </c>
      <c r="I161" s="28">
        <f ca="1">IFERROR(SUMIFS(Energy[2027_TWh],Energy[[Sector]:[Sector]],$A$158, Energy[[Fuel_category]:[Fuel_category]],$B161),"")</f>
        <v>0</v>
      </c>
      <c r="J161" s="28">
        <f ca="1">IFERROR(SUMIFS(Energy[2028_TWh],Energy[[Sector]:[Sector]],$A$158, Energy[[Fuel_category]:[Fuel_category]],$B161),"")</f>
        <v>0</v>
      </c>
      <c r="K161" s="28">
        <f ca="1">IFERROR(SUMIFS(Energy[2029_TWh],Energy[[Sector]:[Sector]],$A$158, Energy[[Fuel_category]:[Fuel_category]],$B161),"")</f>
        <v>0</v>
      </c>
      <c r="L161" s="28">
        <f ca="1">IFERROR(SUMIFS(Energy[2030_TWh],Energy[[Sector]:[Sector]],$A$158, Energy[[Fuel_category]:[Fuel_category]],$B161),"")</f>
        <v>0</v>
      </c>
      <c r="M161" s="28">
        <f ca="1">IFERROR(SUMIFS(Energy[2031_TWh],Energy[[Sector]:[Sector]],$A$158, Energy[[Fuel_category]:[Fuel_category]],$B161),"")</f>
        <v>0</v>
      </c>
      <c r="N161" s="28">
        <f ca="1">IFERROR(SUMIFS(Energy[2032_TWh],Energy[[Sector]:[Sector]],$A$158, Energy[[Fuel_category]:[Fuel_category]],$B161),"")</f>
        <v>0</v>
      </c>
      <c r="O161" s="28">
        <f ca="1">IFERROR(SUMIFS(Energy[2033_TWh],Energy[[Sector]:[Sector]],$A$158, Energy[[Fuel_category]:[Fuel_category]],$B161),"")</f>
        <v>0</v>
      </c>
      <c r="P161" s="28">
        <f ca="1">IFERROR(SUMIFS(Energy[2034_TWh],Energy[[Sector]:[Sector]],$A$158, Energy[[Fuel_category]:[Fuel_category]],$B161),"")</f>
        <v>0</v>
      </c>
      <c r="Q161" s="28">
        <f ca="1">IFERROR(SUMIFS(Energy[2035_TWh],Energy[[Sector]:[Sector]],$A$158, Energy[[Fuel_category]:[Fuel_category]],$B161),"")</f>
        <v>0</v>
      </c>
      <c r="R161" s="28">
        <f ca="1">IFERROR(SUMIFS(Energy[2036_TWh],Energy[[Sector]:[Sector]],$A$158, Energy[[Fuel_category]:[Fuel_category]],$B161),"")</f>
        <v>0</v>
      </c>
      <c r="S161" s="28">
        <f ca="1">IFERROR(SUMIFS(Energy[2037_TWh],Energy[[Sector]:[Sector]],$A$158, Energy[[Fuel_category]:[Fuel_category]],$B161),"")</f>
        <v>0</v>
      </c>
      <c r="T161" s="28">
        <f ca="1">IFERROR(SUMIFS(Energy[2038_TWh],Energy[[Sector]:[Sector]],$A$158, Energy[[Fuel_category]:[Fuel_category]],$B161),"")</f>
        <v>0</v>
      </c>
      <c r="U161" s="28">
        <f ca="1">IFERROR(SUMIFS(Energy[2039_TWh],Energy[[Sector]:[Sector]],$A$158, Energy[[Fuel_category]:[Fuel_category]],$B161),"")</f>
        <v>0</v>
      </c>
      <c r="V161" s="28">
        <f ca="1">IFERROR(SUMIFS(Energy[2040_TWh],Energy[[Sector]:[Sector]],$A$158, Energy[[Fuel_category]:[Fuel_category]],$B161),"")</f>
        <v>0</v>
      </c>
      <c r="W161" s="28">
        <f ca="1">IFERROR(SUMIFS(Energy[2041_TWh],Energy[[Sector]:[Sector]],$A$158, Energy[[Fuel_category]:[Fuel_category]],$B161),"")</f>
        <v>0</v>
      </c>
      <c r="X161" s="28">
        <f ca="1">IFERROR(SUMIFS(Energy[2042_TWh],Energy[[Sector]:[Sector]],$A$158, Energy[[Fuel_category]:[Fuel_category]],$B161),"")</f>
        <v>0</v>
      </c>
      <c r="Y161" s="28">
        <f ca="1">IFERROR(SUMIFS(Energy[2043_TWh],Energy[[Sector]:[Sector]],$A$158, Energy[[Fuel_category]:[Fuel_category]],$B161),"")</f>
        <v>0</v>
      </c>
      <c r="Z161" s="28">
        <f ca="1">IFERROR(SUMIFS(Energy[2044_TWh],Energy[[Sector]:[Sector]],$A$158, Energy[[Fuel_category]:[Fuel_category]],$B161),"")</f>
        <v>0</v>
      </c>
      <c r="AA161" s="28">
        <f ca="1">IFERROR(SUMIFS(Energy[2045_TWh],Energy[[Sector]:[Sector]],$A$158, Energy[[Fuel_category]:[Fuel_category]],$B161),"")</f>
        <v>0</v>
      </c>
      <c r="AB161" s="28">
        <f ca="1">IFERROR(SUMIFS(Energy[2046_TWh],Energy[[Sector]:[Sector]],$A$158, Energy[[Fuel_category]:[Fuel_category]],$B161),"")</f>
        <v>0</v>
      </c>
      <c r="AC161" s="28">
        <f ca="1">IFERROR(SUMIFS(Energy[2047_TWh],Energy[[Sector]:[Sector]],$A$158, Energy[[Fuel_category]:[Fuel_category]],$B161),"")</f>
        <v>0</v>
      </c>
      <c r="AD161" s="28">
        <f ca="1">IFERROR(SUMIFS(Energy[2048_TWh],Energy[[Sector]:[Sector]],$A$158, Energy[[Fuel_category]:[Fuel_category]],$B161),"")</f>
        <v>0</v>
      </c>
      <c r="AE161" s="28">
        <f ca="1">IFERROR(SUMIFS(Energy[2049_TWh],Energy[[Sector]:[Sector]],$A$158, Energy[[Fuel_category]:[Fuel_category]],$B161),"")</f>
        <v>0</v>
      </c>
      <c r="AF161" s="28">
        <f ca="1">IFERROR(SUMIFS(Energy[2050_TWh],Energy[[Sector]:[Sector]],$A$158, Energy[[Fuel_category]:[Fuel_category]],$B161),"")</f>
        <v>0</v>
      </c>
      <c r="AG161" s="28">
        <f ca="1">IFERROR(SUMIFS(Energy[2051_TWh],Energy[[Sector]:[Sector]],$A$158, Energy[[Fuel_category]:[Fuel_category]],$B161),"")</f>
        <v>0</v>
      </c>
    </row>
    <row r="162" spans="1:33" x14ac:dyDescent="0.45">
      <c r="B162" s="21" t="s">
        <v>26</v>
      </c>
      <c r="C162" s="28">
        <f ca="1">IFERROR(SUMIFS(Energy[2021_TWh],Energy[[Sector]:[Sector]],$A$158, Energy[[Fuel_category]:[Fuel_category]],$B162),"")</f>
        <v>0</v>
      </c>
      <c r="D162" s="28">
        <f ca="1">IFERROR(SUMIFS(Energy[2022_TWh],Energy[[Sector]:[Sector]],$A$158, Energy[[Fuel_category]:[Fuel_category]],$B162),"")</f>
        <v>0</v>
      </c>
      <c r="E162" s="28">
        <f ca="1">IFERROR(SUMIFS(Energy[2023_TWh],Energy[[Sector]:[Sector]],$A$158, Energy[[Fuel_category]:[Fuel_category]],$B162),"")</f>
        <v>0</v>
      </c>
      <c r="F162" s="28">
        <f ca="1">IFERROR(SUMIFS(Energy[2024_TWh],Energy[[Sector]:[Sector]],$A$158, Energy[[Fuel_category]:[Fuel_category]],$B162),"")</f>
        <v>0</v>
      </c>
      <c r="G162" s="28">
        <f ca="1">IFERROR(SUMIFS(Energy[2025_TWh],Energy[[Sector]:[Sector]],$A$158, Energy[[Fuel_category]:[Fuel_category]],$B162),"")</f>
        <v>0</v>
      </c>
      <c r="H162" s="28">
        <f ca="1">IFERROR(SUMIFS(Energy[2026_TWh],Energy[[Sector]:[Sector]],$A$158, Energy[[Fuel_category]:[Fuel_category]],$B162),"")</f>
        <v>0</v>
      </c>
      <c r="I162" s="28">
        <f ca="1">IFERROR(SUMIFS(Energy[2027_TWh],Energy[[Sector]:[Sector]],$A$158, Energy[[Fuel_category]:[Fuel_category]],$B162),"")</f>
        <v>0</v>
      </c>
      <c r="J162" s="28">
        <f ca="1">IFERROR(SUMIFS(Energy[2028_TWh],Energy[[Sector]:[Sector]],$A$158, Energy[[Fuel_category]:[Fuel_category]],$B162),"")</f>
        <v>0</v>
      </c>
      <c r="K162" s="28">
        <f ca="1">IFERROR(SUMIFS(Energy[2029_TWh],Energy[[Sector]:[Sector]],$A$158, Energy[[Fuel_category]:[Fuel_category]],$B162),"")</f>
        <v>0</v>
      </c>
      <c r="L162" s="28">
        <f ca="1">IFERROR(SUMIFS(Energy[2030_TWh],Energy[[Sector]:[Sector]],$A$158, Energy[[Fuel_category]:[Fuel_category]],$B162),"")</f>
        <v>0</v>
      </c>
      <c r="M162" s="28">
        <f ca="1">IFERROR(SUMIFS(Energy[2031_TWh],Energy[[Sector]:[Sector]],$A$158, Energy[[Fuel_category]:[Fuel_category]],$B162),"")</f>
        <v>0</v>
      </c>
      <c r="N162" s="28">
        <f ca="1">IFERROR(SUMIFS(Energy[2032_TWh],Energy[[Sector]:[Sector]],$A$158, Energy[[Fuel_category]:[Fuel_category]],$B162),"")</f>
        <v>0</v>
      </c>
      <c r="O162" s="28">
        <f ca="1">IFERROR(SUMIFS(Energy[2033_TWh],Energy[[Sector]:[Sector]],$A$158, Energy[[Fuel_category]:[Fuel_category]],$B162),"")</f>
        <v>0</v>
      </c>
      <c r="P162" s="28">
        <f ca="1">IFERROR(SUMIFS(Energy[2034_TWh],Energy[[Sector]:[Sector]],$A$158, Energy[[Fuel_category]:[Fuel_category]],$B162),"")</f>
        <v>0</v>
      </c>
      <c r="Q162" s="28">
        <f ca="1">IFERROR(SUMIFS(Energy[2035_TWh],Energy[[Sector]:[Sector]],$A$158, Energy[[Fuel_category]:[Fuel_category]],$B162),"")</f>
        <v>0</v>
      </c>
      <c r="R162" s="28">
        <f ca="1">IFERROR(SUMIFS(Energy[2036_TWh],Energy[[Sector]:[Sector]],$A$158, Energy[[Fuel_category]:[Fuel_category]],$B162),"")</f>
        <v>0</v>
      </c>
      <c r="S162" s="28">
        <f ca="1">IFERROR(SUMIFS(Energy[2037_TWh],Energy[[Sector]:[Sector]],$A$158, Energy[[Fuel_category]:[Fuel_category]],$B162),"")</f>
        <v>0</v>
      </c>
      <c r="T162" s="28">
        <f ca="1">IFERROR(SUMIFS(Energy[2038_TWh],Energy[[Sector]:[Sector]],$A$158, Energy[[Fuel_category]:[Fuel_category]],$B162),"")</f>
        <v>0</v>
      </c>
      <c r="U162" s="28">
        <f ca="1">IFERROR(SUMIFS(Energy[2039_TWh],Energy[[Sector]:[Sector]],$A$158, Energy[[Fuel_category]:[Fuel_category]],$B162),"")</f>
        <v>0</v>
      </c>
      <c r="V162" s="28">
        <f ca="1">IFERROR(SUMIFS(Energy[2040_TWh],Energy[[Sector]:[Sector]],$A$158, Energy[[Fuel_category]:[Fuel_category]],$B162),"")</f>
        <v>0</v>
      </c>
      <c r="W162" s="28">
        <f ca="1">IFERROR(SUMIFS(Energy[2041_TWh],Energy[[Sector]:[Sector]],$A$158, Energy[[Fuel_category]:[Fuel_category]],$B162),"")</f>
        <v>0</v>
      </c>
      <c r="X162" s="28">
        <f ca="1">IFERROR(SUMIFS(Energy[2042_TWh],Energy[[Sector]:[Sector]],$A$158, Energy[[Fuel_category]:[Fuel_category]],$B162),"")</f>
        <v>0</v>
      </c>
      <c r="Y162" s="28">
        <f ca="1">IFERROR(SUMIFS(Energy[2043_TWh],Energy[[Sector]:[Sector]],$A$158, Energy[[Fuel_category]:[Fuel_category]],$B162),"")</f>
        <v>0</v>
      </c>
      <c r="Z162" s="28">
        <f ca="1">IFERROR(SUMIFS(Energy[2044_TWh],Energy[[Sector]:[Sector]],$A$158, Energy[[Fuel_category]:[Fuel_category]],$B162),"")</f>
        <v>0</v>
      </c>
      <c r="AA162" s="28">
        <f ca="1">IFERROR(SUMIFS(Energy[2045_TWh],Energy[[Sector]:[Sector]],$A$158, Energy[[Fuel_category]:[Fuel_category]],$B162),"")</f>
        <v>0</v>
      </c>
      <c r="AB162" s="28">
        <f ca="1">IFERROR(SUMIFS(Energy[2046_TWh],Energy[[Sector]:[Sector]],$A$158, Energy[[Fuel_category]:[Fuel_category]],$B162),"")</f>
        <v>0</v>
      </c>
      <c r="AC162" s="28">
        <f ca="1">IFERROR(SUMIFS(Energy[2047_TWh],Energy[[Sector]:[Sector]],$A$158, Energy[[Fuel_category]:[Fuel_category]],$B162),"")</f>
        <v>0</v>
      </c>
      <c r="AD162" s="28">
        <f ca="1">IFERROR(SUMIFS(Energy[2048_TWh],Energy[[Sector]:[Sector]],$A$158, Energy[[Fuel_category]:[Fuel_category]],$B162),"")</f>
        <v>0</v>
      </c>
      <c r="AE162" s="28">
        <f ca="1">IFERROR(SUMIFS(Energy[2049_TWh],Energy[[Sector]:[Sector]],$A$158, Energy[[Fuel_category]:[Fuel_category]],$B162),"")</f>
        <v>0</v>
      </c>
      <c r="AF162" s="28">
        <f ca="1">IFERROR(SUMIFS(Energy[2050_TWh],Energy[[Sector]:[Sector]],$A$158, Energy[[Fuel_category]:[Fuel_category]],$B162),"")</f>
        <v>0</v>
      </c>
      <c r="AG162" s="28">
        <f ca="1">IFERROR(SUMIFS(Energy[2051_TWh],Energy[[Sector]:[Sector]],$A$158, Energy[[Fuel_category]:[Fuel_category]],$B162),"")</f>
        <v>0</v>
      </c>
    </row>
    <row r="163" spans="1:33" x14ac:dyDescent="0.45">
      <c r="B163" s="21" t="s">
        <v>113</v>
      </c>
      <c r="C163" s="28">
        <f ca="1">IFERROR(SUMIFS(Energy[2021_TWh],Energy[[Sector]:[Sector]],$A$158, Energy[[Fuel_category]:[Fuel_category]],$B163),"")</f>
        <v>0</v>
      </c>
      <c r="D163" s="28">
        <f ca="1">IFERROR(SUMIFS(Energy[2022_TWh],Energy[[Sector]:[Sector]],$A$158, Energy[[Fuel_category]:[Fuel_category]],$B163),"")</f>
        <v>0</v>
      </c>
      <c r="E163" s="28">
        <f ca="1">IFERROR(SUMIFS(Energy[2023_TWh],Energy[[Sector]:[Sector]],$A$158, Energy[[Fuel_category]:[Fuel_category]],$B163),"")</f>
        <v>0</v>
      </c>
      <c r="F163" s="28">
        <f ca="1">IFERROR(SUMIFS(Energy[2024_TWh],Energy[[Sector]:[Sector]],$A$158, Energy[[Fuel_category]:[Fuel_category]],$B163),"")</f>
        <v>0</v>
      </c>
      <c r="G163" s="28">
        <f ca="1">IFERROR(SUMIFS(Energy[2025_TWh],Energy[[Sector]:[Sector]],$A$158, Energy[[Fuel_category]:[Fuel_category]],$B163),"")</f>
        <v>0</v>
      </c>
      <c r="H163" s="28">
        <f ca="1">IFERROR(SUMIFS(Energy[2026_TWh],Energy[[Sector]:[Sector]],$A$158, Energy[[Fuel_category]:[Fuel_category]],$B163),"")</f>
        <v>0</v>
      </c>
      <c r="I163" s="28">
        <f ca="1">IFERROR(SUMIFS(Energy[2027_TWh],Energy[[Sector]:[Sector]],$A$158, Energy[[Fuel_category]:[Fuel_category]],$B163),"")</f>
        <v>0</v>
      </c>
      <c r="J163" s="28">
        <f ca="1">IFERROR(SUMIFS(Energy[2028_TWh],Energy[[Sector]:[Sector]],$A$158, Energy[[Fuel_category]:[Fuel_category]],$B163),"")</f>
        <v>0</v>
      </c>
      <c r="K163" s="28">
        <f ca="1">IFERROR(SUMIFS(Energy[2029_TWh],Energy[[Sector]:[Sector]],$A$158, Energy[[Fuel_category]:[Fuel_category]],$B163),"")</f>
        <v>0</v>
      </c>
      <c r="L163" s="28">
        <f ca="1">IFERROR(SUMIFS(Energy[2030_TWh],Energy[[Sector]:[Sector]],$A$158, Energy[[Fuel_category]:[Fuel_category]],$B163),"")</f>
        <v>0</v>
      </c>
      <c r="M163" s="28">
        <f ca="1">IFERROR(SUMIFS(Energy[2031_TWh],Energy[[Sector]:[Sector]],$A$158, Energy[[Fuel_category]:[Fuel_category]],$B163),"")</f>
        <v>0</v>
      </c>
      <c r="N163" s="28">
        <f ca="1">IFERROR(SUMIFS(Energy[2032_TWh],Energy[[Sector]:[Sector]],$A$158, Energy[[Fuel_category]:[Fuel_category]],$B163),"")</f>
        <v>0</v>
      </c>
      <c r="O163" s="28">
        <f ca="1">IFERROR(SUMIFS(Energy[2033_TWh],Energy[[Sector]:[Sector]],$A$158, Energy[[Fuel_category]:[Fuel_category]],$B163),"")</f>
        <v>0</v>
      </c>
      <c r="P163" s="28">
        <f ca="1">IFERROR(SUMIFS(Energy[2034_TWh],Energy[[Sector]:[Sector]],$A$158, Energy[[Fuel_category]:[Fuel_category]],$B163),"")</f>
        <v>0</v>
      </c>
      <c r="Q163" s="28">
        <f ca="1">IFERROR(SUMIFS(Energy[2035_TWh],Energy[[Sector]:[Sector]],$A$158, Energy[[Fuel_category]:[Fuel_category]],$B163),"")</f>
        <v>0</v>
      </c>
      <c r="R163" s="28">
        <f ca="1">IFERROR(SUMIFS(Energy[2036_TWh],Energy[[Sector]:[Sector]],$A$158, Energy[[Fuel_category]:[Fuel_category]],$B163),"")</f>
        <v>0</v>
      </c>
      <c r="S163" s="28">
        <f ca="1">IFERROR(SUMIFS(Energy[2037_TWh],Energy[[Sector]:[Sector]],$A$158, Energy[[Fuel_category]:[Fuel_category]],$B163),"")</f>
        <v>0</v>
      </c>
      <c r="T163" s="28">
        <f ca="1">IFERROR(SUMIFS(Energy[2038_TWh],Energy[[Sector]:[Sector]],$A$158, Energy[[Fuel_category]:[Fuel_category]],$B163),"")</f>
        <v>0</v>
      </c>
      <c r="U163" s="28">
        <f ca="1">IFERROR(SUMIFS(Energy[2039_TWh],Energy[[Sector]:[Sector]],$A$158, Energy[[Fuel_category]:[Fuel_category]],$B163),"")</f>
        <v>0</v>
      </c>
      <c r="V163" s="28">
        <f ca="1">IFERROR(SUMIFS(Energy[2040_TWh],Energy[[Sector]:[Sector]],$A$158, Energy[[Fuel_category]:[Fuel_category]],$B163),"")</f>
        <v>0</v>
      </c>
      <c r="W163" s="28">
        <f ca="1">IFERROR(SUMIFS(Energy[2041_TWh],Energy[[Sector]:[Sector]],$A$158, Energy[[Fuel_category]:[Fuel_category]],$B163),"")</f>
        <v>0</v>
      </c>
      <c r="X163" s="28">
        <f ca="1">IFERROR(SUMIFS(Energy[2042_TWh],Energy[[Sector]:[Sector]],$A$158, Energy[[Fuel_category]:[Fuel_category]],$B163),"")</f>
        <v>0</v>
      </c>
      <c r="Y163" s="28">
        <f ca="1">IFERROR(SUMIFS(Energy[2043_TWh],Energy[[Sector]:[Sector]],$A$158, Energy[[Fuel_category]:[Fuel_category]],$B163),"")</f>
        <v>0</v>
      </c>
      <c r="Z163" s="28">
        <f ca="1">IFERROR(SUMIFS(Energy[2044_TWh],Energy[[Sector]:[Sector]],$A$158, Energy[[Fuel_category]:[Fuel_category]],$B163),"")</f>
        <v>0</v>
      </c>
      <c r="AA163" s="28">
        <f ca="1">IFERROR(SUMIFS(Energy[2045_TWh],Energy[[Sector]:[Sector]],$A$158, Energy[[Fuel_category]:[Fuel_category]],$B163),"")</f>
        <v>0</v>
      </c>
      <c r="AB163" s="28">
        <f ca="1">IFERROR(SUMIFS(Energy[2046_TWh],Energy[[Sector]:[Sector]],$A$158, Energy[[Fuel_category]:[Fuel_category]],$B163),"")</f>
        <v>0</v>
      </c>
      <c r="AC163" s="28">
        <f ca="1">IFERROR(SUMIFS(Energy[2047_TWh],Energy[[Sector]:[Sector]],$A$158, Energy[[Fuel_category]:[Fuel_category]],$B163),"")</f>
        <v>0</v>
      </c>
      <c r="AD163" s="28">
        <f ca="1">IFERROR(SUMIFS(Energy[2048_TWh],Energy[[Sector]:[Sector]],$A$158, Energy[[Fuel_category]:[Fuel_category]],$B163),"")</f>
        <v>0</v>
      </c>
      <c r="AE163" s="28">
        <f ca="1">IFERROR(SUMIFS(Energy[2049_TWh],Energy[[Sector]:[Sector]],$A$158, Energy[[Fuel_category]:[Fuel_category]],$B163),"")</f>
        <v>0</v>
      </c>
      <c r="AF163" s="28">
        <f ca="1">IFERROR(SUMIFS(Energy[2050_TWh],Energy[[Sector]:[Sector]],$A$158, Energy[[Fuel_category]:[Fuel_category]],$B163),"")</f>
        <v>0</v>
      </c>
      <c r="AG163" s="28">
        <f ca="1">IFERROR(SUMIFS(Energy[2051_TWh],Energy[[Sector]:[Sector]],$A$158, Energy[[Fuel_category]:[Fuel_category]],$B163),"")</f>
        <v>0</v>
      </c>
    </row>
    <row r="164" spans="1:33" x14ac:dyDescent="0.45">
      <c r="B164" s="21" t="s">
        <v>111</v>
      </c>
      <c r="C164" s="28">
        <f ca="1">IFERROR(SUMIFS(Energy[2021_TWh],Energy[[Sector]:[Sector]],$A$158, Energy[[Fuel_category]:[Fuel_category]],$B164),"")</f>
        <v>0</v>
      </c>
      <c r="D164" s="28">
        <f ca="1">IFERROR(SUMIFS(Energy[2022_TWh],Energy[[Sector]:[Sector]],$A$158, Energy[[Fuel_category]:[Fuel_category]],$B164),"")</f>
        <v>0</v>
      </c>
      <c r="E164" s="28">
        <f ca="1">IFERROR(SUMIFS(Energy[2023_TWh],Energy[[Sector]:[Sector]],$A$158, Energy[[Fuel_category]:[Fuel_category]],$B164),"")</f>
        <v>0</v>
      </c>
      <c r="F164" s="28">
        <f ca="1">IFERROR(SUMIFS(Energy[2024_TWh],Energy[[Sector]:[Sector]],$A$158, Energy[[Fuel_category]:[Fuel_category]],$B164),"")</f>
        <v>0</v>
      </c>
      <c r="G164" s="28">
        <f ca="1">IFERROR(SUMIFS(Energy[2025_TWh],Energy[[Sector]:[Sector]],$A$158, Energy[[Fuel_category]:[Fuel_category]],$B164),"")</f>
        <v>0</v>
      </c>
      <c r="H164" s="28">
        <f ca="1">IFERROR(SUMIFS(Energy[2026_TWh],Energy[[Sector]:[Sector]],$A$158, Energy[[Fuel_category]:[Fuel_category]],$B164),"")</f>
        <v>0</v>
      </c>
      <c r="I164" s="28">
        <f ca="1">IFERROR(SUMIFS(Energy[2027_TWh],Energy[[Sector]:[Sector]],$A$158, Energy[[Fuel_category]:[Fuel_category]],$B164),"")</f>
        <v>0</v>
      </c>
      <c r="J164" s="28">
        <f ca="1">IFERROR(SUMIFS(Energy[2028_TWh],Energy[[Sector]:[Sector]],$A$158, Energy[[Fuel_category]:[Fuel_category]],$B164),"")</f>
        <v>0</v>
      </c>
      <c r="K164" s="28">
        <f ca="1">IFERROR(SUMIFS(Energy[2029_TWh],Energy[[Sector]:[Sector]],$A$158, Energy[[Fuel_category]:[Fuel_category]],$B164),"")</f>
        <v>0</v>
      </c>
      <c r="L164" s="28">
        <f ca="1">IFERROR(SUMIFS(Energy[2030_TWh],Energy[[Sector]:[Sector]],$A$158, Energy[[Fuel_category]:[Fuel_category]],$B164),"")</f>
        <v>0</v>
      </c>
      <c r="M164" s="28">
        <f ca="1">IFERROR(SUMIFS(Energy[2031_TWh],Energy[[Sector]:[Sector]],$A$158, Energy[[Fuel_category]:[Fuel_category]],$B164),"")</f>
        <v>0</v>
      </c>
      <c r="N164" s="28">
        <f ca="1">IFERROR(SUMIFS(Energy[2032_TWh],Energy[[Sector]:[Sector]],$A$158, Energy[[Fuel_category]:[Fuel_category]],$B164),"")</f>
        <v>0</v>
      </c>
      <c r="O164" s="28">
        <f ca="1">IFERROR(SUMIFS(Energy[2033_TWh],Energy[[Sector]:[Sector]],$A$158, Energy[[Fuel_category]:[Fuel_category]],$B164),"")</f>
        <v>0</v>
      </c>
      <c r="P164" s="28">
        <f ca="1">IFERROR(SUMIFS(Energy[2034_TWh],Energy[[Sector]:[Sector]],$A$158, Energy[[Fuel_category]:[Fuel_category]],$B164),"")</f>
        <v>0</v>
      </c>
      <c r="Q164" s="28">
        <f ca="1">IFERROR(SUMIFS(Energy[2035_TWh],Energy[[Sector]:[Sector]],$A$158, Energy[[Fuel_category]:[Fuel_category]],$B164),"")</f>
        <v>0</v>
      </c>
      <c r="R164" s="28">
        <f ca="1">IFERROR(SUMIFS(Energy[2036_TWh],Energy[[Sector]:[Sector]],$A$158, Energy[[Fuel_category]:[Fuel_category]],$B164),"")</f>
        <v>0</v>
      </c>
      <c r="S164" s="28">
        <f ca="1">IFERROR(SUMIFS(Energy[2037_TWh],Energy[[Sector]:[Sector]],$A$158, Energy[[Fuel_category]:[Fuel_category]],$B164),"")</f>
        <v>0</v>
      </c>
      <c r="T164" s="28">
        <f ca="1">IFERROR(SUMIFS(Energy[2038_TWh],Energy[[Sector]:[Sector]],$A$158, Energy[[Fuel_category]:[Fuel_category]],$B164),"")</f>
        <v>0</v>
      </c>
      <c r="U164" s="28">
        <f ca="1">IFERROR(SUMIFS(Energy[2039_TWh],Energy[[Sector]:[Sector]],$A$158, Energy[[Fuel_category]:[Fuel_category]],$B164),"")</f>
        <v>0</v>
      </c>
      <c r="V164" s="28">
        <f ca="1">IFERROR(SUMIFS(Energy[2040_TWh],Energy[[Sector]:[Sector]],$A$158, Energy[[Fuel_category]:[Fuel_category]],$B164),"")</f>
        <v>0</v>
      </c>
      <c r="W164" s="28">
        <f ca="1">IFERROR(SUMIFS(Energy[2041_TWh],Energy[[Sector]:[Sector]],$A$158, Energy[[Fuel_category]:[Fuel_category]],$B164),"")</f>
        <v>0</v>
      </c>
      <c r="X164" s="28">
        <f ca="1">IFERROR(SUMIFS(Energy[2042_TWh],Energy[[Sector]:[Sector]],$A$158, Energy[[Fuel_category]:[Fuel_category]],$B164),"")</f>
        <v>0</v>
      </c>
      <c r="Y164" s="28">
        <f ca="1">IFERROR(SUMIFS(Energy[2043_TWh],Energy[[Sector]:[Sector]],$A$158, Energy[[Fuel_category]:[Fuel_category]],$B164),"")</f>
        <v>0</v>
      </c>
      <c r="Z164" s="28">
        <f ca="1">IFERROR(SUMIFS(Energy[2044_TWh],Energy[[Sector]:[Sector]],$A$158, Energy[[Fuel_category]:[Fuel_category]],$B164),"")</f>
        <v>0</v>
      </c>
      <c r="AA164" s="28">
        <f ca="1">IFERROR(SUMIFS(Energy[2045_TWh],Energy[[Sector]:[Sector]],$A$158, Energy[[Fuel_category]:[Fuel_category]],$B164),"")</f>
        <v>0</v>
      </c>
      <c r="AB164" s="28">
        <f ca="1">IFERROR(SUMIFS(Energy[2046_TWh],Energy[[Sector]:[Sector]],$A$158, Energy[[Fuel_category]:[Fuel_category]],$B164),"")</f>
        <v>0</v>
      </c>
      <c r="AC164" s="28">
        <f ca="1">IFERROR(SUMIFS(Energy[2047_TWh],Energy[[Sector]:[Sector]],$A$158, Energy[[Fuel_category]:[Fuel_category]],$B164),"")</f>
        <v>0</v>
      </c>
      <c r="AD164" s="28">
        <f ca="1">IFERROR(SUMIFS(Energy[2048_TWh],Energy[[Sector]:[Sector]],$A$158, Energy[[Fuel_category]:[Fuel_category]],$B164),"")</f>
        <v>0</v>
      </c>
      <c r="AE164" s="28">
        <f ca="1">IFERROR(SUMIFS(Energy[2049_TWh],Energy[[Sector]:[Sector]],$A$158, Energy[[Fuel_category]:[Fuel_category]],$B164),"")</f>
        <v>0</v>
      </c>
      <c r="AF164" s="28">
        <f ca="1">IFERROR(SUMIFS(Energy[2050_TWh],Energy[[Sector]:[Sector]],$A$158, Energy[[Fuel_category]:[Fuel_category]],$B164),"")</f>
        <v>0</v>
      </c>
      <c r="AG164" s="28">
        <f ca="1">IFERROR(SUMIFS(Energy[2051_TWh],Energy[[Sector]:[Sector]],$A$158, Energy[[Fuel_category]:[Fuel_category]],$B164),"")</f>
        <v>0</v>
      </c>
    </row>
    <row r="165" spans="1:33" ht="14.65" thickBot="1" x14ac:dyDescent="0.5">
      <c r="B165" s="29" t="s">
        <v>124</v>
      </c>
      <c r="C165" s="31">
        <f ca="1">IF(C105&lt;&gt;"",SUM(C158:C163),"")</f>
        <v>0</v>
      </c>
      <c r="D165" s="31">
        <f t="shared" ref="D165:AF165" ca="1" si="34">IF(D105&lt;&gt;"",SUM(D158:D163),"")</f>
        <v>0</v>
      </c>
      <c r="E165" s="31">
        <f t="shared" ca="1" si="34"/>
        <v>0</v>
      </c>
      <c r="F165" s="31">
        <f t="shared" ca="1" si="34"/>
        <v>0</v>
      </c>
      <c r="G165" s="31">
        <f t="shared" ca="1" si="34"/>
        <v>0</v>
      </c>
      <c r="H165" s="31">
        <f t="shared" ca="1" si="34"/>
        <v>0</v>
      </c>
      <c r="I165" s="31">
        <f t="shared" ca="1" si="34"/>
        <v>0</v>
      </c>
      <c r="J165" s="31">
        <f t="shared" ca="1" si="34"/>
        <v>0</v>
      </c>
      <c r="K165" s="31">
        <f t="shared" ca="1" si="34"/>
        <v>0</v>
      </c>
      <c r="L165" s="31">
        <f t="shared" ca="1" si="34"/>
        <v>0</v>
      </c>
      <c r="M165" s="31">
        <f t="shared" ca="1" si="34"/>
        <v>0</v>
      </c>
      <c r="N165" s="31">
        <f t="shared" ca="1" si="34"/>
        <v>0</v>
      </c>
      <c r="O165" s="31">
        <f t="shared" ca="1" si="34"/>
        <v>0</v>
      </c>
      <c r="P165" s="31">
        <f t="shared" ca="1" si="34"/>
        <v>0</v>
      </c>
      <c r="Q165" s="31">
        <f t="shared" ca="1" si="34"/>
        <v>0</v>
      </c>
      <c r="R165" s="31">
        <f t="shared" ca="1" si="34"/>
        <v>0</v>
      </c>
      <c r="S165" s="31">
        <f t="shared" ca="1" si="34"/>
        <v>0</v>
      </c>
      <c r="T165" s="31">
        <f t="shared" ca="1" si="34"/>
        <v>0</v>
      </c>
      <c r="U165" s="31">
        <f t="shared" ca="1" si="34"/>
        <v>0</v>
      </c>
      <c r="V165" s="31">
        <f t="shared" ca="1" si="34"/>
        <v>0</v>
      </c>
      <c r="W165" s="31">
        <f t="shared" ca="1" si="34"/>
        <v>0</v>
      </c>
      <c r="X165" s="31">
        <f t="shared" ca="1" si="34"/>
        <v>0</v>
      </c>
      <c r="Y165" s="31">
        <f t="shared" ca="1" si="34"/>
        <v>0</v>
      </c>
      <c r="Z165" s="31">
        <f t="shared" ca="1" si="34"/>
        <v>0</v>
      </c>
      <c r="AA165" s="31">
        <f t="shared" ca="1" si="34"/>
        <v>0</v>
      </c>
      <c r="AB165" s="31">
        <f t="shared" ca="1" si="34"/>
        <v>0</v>
      </c>
      <c r="AC165" s="31">
        <f t="shared" ca="1" si="34"/>
        <v>0</v>
      </c>
      <c r="AD165" s="31">
        <f t="shared" ca="1" si="34"/>
        <v>0</v>
      </c>
      <c r="AE165" s="31">
        <f t="shared" ca="1" si="34"/>
        <v>0</v>
      </c>
      <c r="AF165" s="31">
        <f t="shared" ca="1" si="34"/>
        <v>0</v>
      </c>
      <c r="AG165" s="31">
        <f t="shared" ref="AG165" ca="1" si="35">IF(AG105&lt;&gt;"",SUM(AG158:AG163),"")</f>
        <v>0</v>
      </c>
    </row>
    <row r="166" spans="1:33" ht="14.65" thickTop="1" x14ac:dyDescent="0.45"/>
    <row r="167" spans="1:33" ht="15.75" customHeight="1" x14ac:dyDescent="0.45">
      <c r="B167" s="6"/>
      <c r="C167" s="6">
        <v>2021</v>
      </c>
      <c r="D167" s="6">
        <v>2022</v>
      </c>
      <c r="E167" s="6">
        <v>2023</v>
      </c>
      <c r="F167" s="6">
        <v>2024</v>
      </c>
      <c r="G167" s="6">
        <v>2025</v>
      </c>
      <c r="H167" s="6">
        <v>2026</v>
      </c>
      <c r="I167" s="6">
        <v>2027</v>
      </c>
      <c r="J167" s="6">
        <v>2028</v>
      </c>
      <c r="K167" s="6">
        <v>2029</v>
      </c>
      <c r="L167" s="6">
        <v>2030</v>
      </c>
      <c r="M167" s="6">
        <v>2031</v>
      </c>
      <c r="N167" s="6">
        <v>2032</v>
      </c>
      <c r="O167" s="6">
        <v>2033</v>
      </c>
      <c r="P167" s="6">
        <v>2034</v>
      </c>
      <c r="Q167" s="6">
        <v>2035</v>
      </c>
      <c r="R167" s="6">
        <v>2036</v>
      </c>
      <c r="S167" s="6">
        <v>2037</v>
      </c>
      <c r="T167" s="6">
        <v>2038</v>
      </c>
      <c r="U167" s="6">
        <v>2039</v>
      </c>
      <c r="V167" s="6">
        <v>2040</v>
      </c>
      <c r="W167" s="6">
        <v>2041</v>
      </c>
      <c r="X167" s="6">
        <v>2042</v>
      </c>
      <c r="Y167" s="6">
        <v>2043</v>
      </c>
      <c r="Z167" s="6">
        <v>2044</v>
      </c>
      <c r="AA167" s="6">
        <v>2045</v>
      </c>
      <c r="AB167" s="6">
        <v>2046</v>
      </c>
      <c r="AC167" s="6">
        <v>2047</v>
      </c>
      <c r="AD167" s="6">
        <v>2048</v>
      </c>
      <c r="AE167" s="6">
        <v>2049</v>
      </c>
      <c r="AF167" s="6">
        <v>2050</v>
      </c>
      <c r="AG167" s="6">
        <v>2051</v>
      </c>
    </row>
    <row r="168" spans="1:33" x14ac:dyDescent="0.45">
      <c r="A168" t="s">
        <v>273</v>
      </c>
      <c r="B168" s="21" t="s">
        <v>82</v>
      </c>
      <c r="C168" s="28">
        <f ca="1">IFERROR(SUMIFS(Energy[2021_TWh],Energy[[Sector]:[Sector]],$A$168, Energy[[Fuel_category]:[Fuel_category]],$B168),"")</f>
        <v>0</v>
      </c>
      <c r="D168" s="28">
        <f ca="1">IFERROR(SUMIFS(Energy[2022_TWh],Energy[[Sector]:[Sector]],$A$168, Energy[[Fuel_category]:[Fuel_category]],$B168),"")</f>
        <v>0</v>
      </c>
      <c r="E168" s="28">
        <f ca="1">IFERROR(SUMIFS(Energy[2023_TWh],Energy[[Sector]:[Sector]],$A$168, Energy[[Fuel_category]:[Fuel_category]],$B168),"")</f>
        <v>0</v>
      </c>
      <c r="F168" s="28">
        <f ca="1">IFERROR(SUMIFS(Energy[2024_TWh],Energy[[Sector]:[Sector]],$A$168, Energy[[Fuel_category]:[Fuel_category]],$B168),"")</f>
        <v>0</v>
      </c>
      <c r="G168" s="28">
        <f ca="1">IFERROR(SUMIFS(Energy[2025_TWh],Energy[[Sector]:[Sector]],$A$168, Energy[[Fuel_category]:[Fuel_category]],$B168),"")</f>
        <v>0</v>
      </c>
      <c r="H168" s="28">
        <f ca="1">IFERROR(SUMIFS(Energy[2026_TWh],Energy[[Sector]:[Sector]],$A$168, Energy[[Fuel_category]:[Fuel_category]],$B168),"")</f>
        <v>0</v>
      </c>
      <c r="I168" s="28">
        <f ca="1">IFERROR(SUMIFS(Energy[2027_TWh],Energy[[Sector]:[Sector]],$A$168, Energy[[Fuel_category]:[Fuel_category]],$B168),"")</f>
        <v>0</v>
      </c>
      <c r="J168" s="28">
        <f ca="1">IFERROR(SUMIFS(Energy[2028_TWh],Energy[[Sector]:[Sector]],$A$168, Energy[[Fuel_category]:[Fuel_category]],$B168),"")</f>
        <v>0</v>
      </c>
      <c r="K168" s="28">
        <f ca="1">IFERROR(SUMIFS(Energy[2029_TWh],Energy[[Sector]:[Sector]],$A$168, Energy[[Fuel_category]:[Fuel_category]],$B168),"")</f>
        <v>0</v>
      </c>
      <c r="L168" s="28">
        <f ca="1">IFERROR(SUMIFS(Energy[2030_TWh],Energy[[Sector]:[Sector]],$A$168, Energy[[Fuel_category]:[Fuel_category]],$B168),"")</f>
        <v>0</v>
      </c>
      <c r="M168" s="28">
        <f ca="1">IFERROR(SUMIFS(Energy[2031_TWh],Energy[[Sector]:[Sector]],$A$168, Energy[[Fuel_category]:[Fuel_category]],$B168),"")</f>
        <v>0</v>
      </c>
      <c r="N168" s="28">
        <f ca="1">IFERROR(SUMIFS(Energy[2032_TWh],Energy[[Sector]:[Sector]],$A$168, Energy[[Fuel_category]:[Fuel_category]],$B168),"")</f>
        <v>0</v>
      </c>
      <c r="O168" s="28">
        <f ca="1">IFERROR(SUMIFS(Energy[2033_TWh],Energy[[Sector]:[Sector]],$A$168, Energy[[Fuel_category]:[Fuel_category]],$B168),"")</f>
        <v>0</v>
      </c>
      <c r="P168" s="28">
        <f ca="1">IFERROR(SUMIFS(Energy[2034_TWh],Energy[[Sector]:[Sector]],$A$168, Energy[[Fuel_category]:[Fuel_category]],$B168),"")</f>
        <v>0</v>
      </c>
      <c r="Q168" s="28">
        <f ca="1">IFERROR(SUMIFS(Energy[2035_TWh],Energy[[Sector]:[Sector]],$A$168, Energy[[Fuel_category]:[Fuel_category]],$B168),"")</f>
        <v>0</v>
      </c>
      <c r="R168" s="28">
        <f ca="1">IFERROR(SUMIFS(Energy[2036_TWh],Energy[[Sector]:[Sector]],$A$168, Energy[[Fuel_category]:[Fuel_category]],$B168),"")</f>
        <v>0</v>
      </c>
      <c r="S168" s="28">
        <f ca="1">IFERROR(SUMIFS(Energy[2037_TWh],Energy[[Sector]:[Sector]],$A$168, Energy[[Fuel_category]:[Fuel_category]],$B168),"")</f>
        <v>0</v>
      </c>
      <c r="T168" s="28">
        <f ca="1">IFERROR(SUMIFS(Energy[2038_TWh],Energy[[Sector]:[Sector]],$A$168, Energy[[Fuel_category]:[Fuel_category]],$B168),"")</f>
        <v>0</v>
      </c>
      <c r="U168" s="28">
        <f ca="1">IFERROR(SUMIFS(Energy[2039_TWh],Energy[[Sector]:[Sector]],$A$168, Energy[[Fuel_category]:[Fuel_category]],$B168),"")</f>
        <v>0</v>
      </c>
      <c r="V168" s="28">
        <f ca="1">IFERROR(SUMIFS(Energy[2040_TWh],Energy[[Sector]:[Sector]],$A$168, Energy[[Fuel_category]:[Fuel_category]],$B168),"")</f>
        <v>0</v>
      </c>
      <c r="W168" s="28">
        <f ca="1">IFERROR(SUMIFS(Energy[2041_TWh],Energy[[Sector]:[Sector]],$A$168, Energy[[Fuel_category]:[Fuel_category]],$B168),"")</f>
        <v>0</v>
      </c>
      <c r="X168" s="28">
        <f ca="1">IFERROR(SUMIFS(Energy[2042_TWh],Energy[[Sector]:[Sector]],$A$168, Energy[[Fuel_category]:[Fuel_category]],$B168),"")</f>
        <v>0</v>
      </c>
      <c r="Y168" s="28">
        <f ca="1">IFERROR(SUMIFS(Energy[2043_TWh],Energy[[Sector]:[Sector]],$A$168, Energy[[Fuel_category]:[Fuel_category]],$B168),"")</f>
        <v>0</v>
      </c>
      <c r="Z168" s="28">
        <f ca="1">IFERROR(SUMIFS(Energy[2044_TWh],Energy[[Sector]:[Sector]],$A$168, Energy[[Fuel_category]:[Fuel_category]],$B168),"")</f>
        <v>0</v>
      </c>
      <c r="AA168" s="28">
        <f ca="1">IFERROR(SUMIFS(Energy[2045_TWh],Energy[[Sector]:[Sector]],$A$168, Energy[[Fuel_category]:[Fuel_category]],$B168),"")</f>
        <v>0</v>
      </c>
      <c r="AB168" s="28">
        <f ca="1">IFERROR(SUMIFS(Energy[2046_TWh],Energy[[Sector]:[Sector]],$A$168, Energy[[Fuel_category]:[Fuel_category]],$B168),"")</f>
        <v>0</v>
      </c>
      <c r="AC168" s="28">
        <f ca="1">IFERROR(SUMIFS(Energy[2047_TWh],Energy[[Sector]:[Sector]],$A$168, Energy[[Fuel_category]:[Fuel_category]],$B168),"")</f>
        <v>0</v>
      </c>
      <c r="AD168" s="28">
        <f ca="1">IFERROR(SUMIFS(Energy[2048_TWh],Energy[[Sector]:[Sector]],$A$168, Energy[[Fuel_category]:[Fuel_category]],$B168),"")</f>
        <v>0</v>
      </c>
      <c r="AE168" s="28">
        <f ca="1">IFERROR(SUMIFS(Energy[2049_TWh],Energy[[Sector]:[Sector]],$A$168, Energy[[Fuel_category]:[Fuel_category]],$B168),"")</f>
        <v>0</v>
      </c>
      <c r="AF168" s="28">
        <f ca="1">IFERROR(SUMIFS(Energy[2050_TWh],Energy[[Sector]:[Sector]],$A$168, Energy[[Fuel_category]:[Fuel_category]],$B168),"")</f>
        <v>0</v>
      </c>
      <c r="AG168" s="28">
        <f ca="1">IFERROR(SUMIFS(Energy[2051_TWh],Energy[[Sector]:[Sector]],$A$168, Energy[[Fuel_category]:[Fuel_category]],$B168),"")</f>
        <v>0</v>
      </c>
    </row>
    <row r="169" spans="1:33" x14ac:dyDescent="0.45">
      <c r="B169" s="21" t="s">
        <v>83</v>
      </c>
      <c r="C169" s="28">
        <f ca="1">IFERROR(SUMIFS(Energy[2021_TWh],Energy[[Sector]:[Sector]],$A$168, Energy[[Fuel_category]:[Fuel_category]],$B169),"")</f>
        <v>0</v>
      </c>
      <c r="D169" s="28">
        <f ca="1">IFERROR(SUMIFS(Energy[2022_TWh],Energy[[Sector]:[Sector]],$A$168, Energy[[Fuel_category]:[Fuel_category]],$B169),"")</f>
        <v>0</v>
      </c>
      <c r="E169" s="28">
        <f ca="1">IFERROR(SUMIFS(Energy[2023_TWh],Energy[[Sector]:[Sector]],$A$168, Energy[[Fuel_category]:[Fuel_category]],$B169),"")</f>
        <v>0</v>
      </c>
      <c r="F169" s="28">
        <f ca="1">IFERROR(SUMIFS(Energy[2024_TWh],Energy[[Sector]:[Sector]],$A$168, Energy[[Fuel_category]:[Fuel_category]],$B169),"")</f>
        <v>0</v>
      </c>
      <c r="G169" s="28">
        <f ca="1">IFERROR(SUMIFS(Energy[2025_TWh],Energy[[Sector]:[Sector]],$A$168, Energy[[Fuel_category]:[Fuel_category]],$B169),"")</f>
        <v>0</v>
      </c>
      <c r="H169" s="28">
        <f ca="1">IFERROR(SUMIFS(Energy[2026_TWh],Energy[[Sector]:[Sector]],$A$168, Energy[[Fuel_category]:[Fuel_category]],$B169),"")</f>
        <v>0</v>
      </c>
      <c r="I169" s="28">
        <f ca="1">IFERROR(SUMIFS(Energy[2027_TWh],Energy[[Sector]:[Sector]],$A$168, Energy[[Fuel_category]:[Fuel_category]],$B169),"")</f>
        <v>0</v>
      </c>
      <c r="J169" s="28">
        <f ca="1">IFERROR(SUMIFS(Energy[2028_TWh],Energy[[Sector]:[Sector]],$A$168, Energy[[Fuel_category]:[Fuel_category]],$B169),"")</f>
        <v>0</v>
      </c>
      <c r="K169" s="28">
        <f ca="1">IFERROR(SUMIFS(Energy[2029_TWh],Energy[[Sector]:[Sector]],$A$168, Energy[[Fuel_category]:[Fuel_category]],$B169),"")</f>
        <v>0</v>
      </c>
      <c r="L169" s="28">
        <f ca="1">IFERROR(SUMIFS(Energy[2030_TWh],Energy[[Sector]:[Sector]],$A$168, Energy[[Fuel_category]:[Fuel_category]],$B169),"")</f>
        <v>0</v>
      </c>
      <c r="M169" s="28">
        <f ca="1">IFERROR(SUMIFS(Energy[2031_TWh],Energy[[Sector]:[Sector]],$A$168, Energy[[Fuel_category]:[Fuel_category]],$B169),"")</f>
        <v>0</v>
      </c>
      <c r="N169" s="28">
        <f ca="1">IFERROR(SUMIFS(Energy[2032_TWh],Energy[[Sector]:[Sector]],$A$168, Energy[[Fuel_category]:[Fuel_category]],$B169),"")</f>
        <v>0</v>
      </c>
      <c r="O169" s="28">
        <f ca="1">IFERROR(SUMIFS(Energy[2033_TWh],Energy[[Sector]:[Sector]],$A$168, Energy[[Fuel_category]:[Fuel_category]],$B169),"")</f>
        <v>0</v>
      </c>
      <c r="P169" s="28">
        <f ca="1">IFERROR(SUMIFS(Energy[2034_TWh],Energy[[Sector]:[Sector]],$A$168, Energy[[Fuel_category]:[Fuel_category]],$B169),"")</f>
        <v>0</v>
      </c>
      <c r="Q169" s="28">
        <f ca="1">IFERROR(SUMIFS(Energy[2035_TWh],Energy[[Sector]:[Sector]],$A$168, Energy[[Fuel_category]:[Fuel_category]],$B169),"")</f>
        <v>0</v>
      </c>
      <c r="R169" s="28">
        <f ca="1">IFERROR(SUMIFS(Energy[2036_TWh],Energy[[Sector]:[Sector]],$A$168, Energy[[Fuel_category]:[Fuel_category]],$B169),"")</f>
        <v>0</v>
      </c>
      <c r="S169" s="28">
        <f ca="1">IFERROR(SUMIFS(Energy[2037_TWh],Energy[[Sector]:[Sector]],$A$168, Energy[[Fuel_category]:[Fuel_category]],$B169),"")</f>
        <v>0</v>
      </c>
      <c r="T169" s="28">
        <f ca="1">IFERROR(SUMIFS(Energy[2038_TWh],Energy[[Sector]:[Sector]],$A$168, Energy[[Fuel_category]:[Fuel_category]],$B169),"")</f>
        <v>0</v>
      </c>
      <c r="U169" s="28">
        <f ca="1">IFERROR(SUMIFS(Energy[2039_TWh],Energy[[Sector]:[Sector]],$A$168, Energy[[Fuel_category]:[Fuel_category]],$B169),"")</f>
        <v>0</v>
      </c>
      <c r="V169" s="28">
        <f ca="1">IFERROR(SUMIFS(Energy[2040_TWh],Energy[[Sector]:[Sector]],$A$168, Energy[[Fuel_category]:[Fuel_category]],$B169),"")</f>
        <v>0</v>
      </c>
      <c r="W169" s="28">
        <f ca="1">IFERROR(SUMIFS(Energy[2041_TWh],Energy[[Sector]:[Sector]],$A$168, Energy[[Fuel_category]:[Fuel_category]],$B169),"")</f>
        <v>0</v>
      </c>
      <c r="X169" s="28">
        <f ca="1">IFERROR(SUMIFS(Energy[2042_TWh],Energy[[Sector]:[Sector]],$A$168, Energy[[Fuel_category]:[Fuel_category]],$B169),"")</f>
        <v>0</v>
      </c>
      <c r="Y169" s="28">
        <f ca="1">IFERROR(SUMIFS(Energy[2043_TWh],Energy[[Sector]:[Sector]],$A$168, Energy[[Fuel_category]:[Fuel_category]],$B169),"")</f>
        <v>0</v>
      </c>
      <c r="Z169" s="28">
        <f ca="1">IFERROR(SUMIFS(Energy[2044_TWh],Energy[[Sector]:[Sector]],$A$168, Energy[[Fuel_category]:[Fuel_category]],$B169),"")</f>
        <v>0</v>
      </c>
      <c r="AA169" s="28">
        <f ca="1">IFERROR(SUMIFS(Energy[2045_TWh],Energy[[Sector]:[Sector]],$A$168, Energy[[Fuel_category]:[Fuel_category]],$B169),"")</f>
        <v>0</v>
      </c>
      <c r="AB169" s="28">
        <f ca="1">IFERROR(SUMIFS(Energy[2046_TWh],Energy[[Sector]:[Sector]],$A$168, Energy[[Fuel_category]:[Fuel_category]],$B169),"")</f>
        <v>0</v>
      </c>
      <c r="AC169" s="28">
        <f ca="1">IFERROR(SUMIFS(Energy[2047_TWh],Energy[[Sector]:[Sector]],$A$168, Energy[[Fuel_category]:[Fuel_category]],$B169),"")</f>
        <v>0</v>
      </c>
      <c r="AD169" s="28">
        <f ca="1">IFERROR(SUMIFS(Energy[2048_TWh],Energy[[Sector]:[Sector]],$A$168, Energy[[Fuel_category]:[Fuel_category]],$B169),"")</f>
        <v>0</v>
      </c>
      <c r="AE169" s="28">
        <f ca="1">IFERROR(SUMIFS(Energy[2049_TWh],Energy[[Sector]:[Sector]],$A$168, Energy[[Fuel_category]:[Fuel_category]],$B169),"")</f>
        <v>0</v>
      </c>
      <c r="AF169" s="28">
        <f ca="1">IFERROR(SUMIFS(Energy[2050_TWh],Energy[[Sector]:[Sector]],$A$168, Energy[[Fuel_category]:[Fuel_category]],$B169),"")</f>
        <v>0</v>
      </c>
      <c r="AG169" s="28">
        <f ca="1">IFERROR(SUMIFS(Energy[2051_TWh],Energy[[Sector]:[Sector]],$A$168, Energy[[Fuel_category]:[Fuel_category]],$B169),"")</f>
        <v>0</v>
      </c>
    </row>
    <row r="170" spans="1:33" x14ac:dyDescent="0.45">
      <c r="B170" s="21" t="s">
        <v>67</v>
      </c>
      <c r="C170" s="28">
        <f ca="1">IFERROR(SUMIFS(Energy[2021_TWh],Energy[[Sector]:[Sector]],$A$168, Energy[[Fuel_category]:[Fuel_category]],$B170),"")</f>
        <v>0</v>
      </c>
      <c r="D170" s="28">
        <f ca="1">IFERROR(SUMIFS(Energy[2022_TWh],Energy[[Sector]:[Sector]],$A$168, Energy[[Fuel_category]:[Fuel_category]],$B170),"")</f>
        <v>0</v>
      </c>
      <c r="E170" s="28">
        <f ca="1">IFERROR(SUMIFS(Energy[2023_TWh],Energy[[Sector]:[Sector]],$A$168, Energy[[Fuel_category]:[Fuel_category]],$B170),"")</f>
        <v>0</v>
      </c>
      <c r="F170" s="28">
        <f ca="1">IFERROR(SUMIFS(Energy[2024_TWh],Energy[[Sector]:[Sector]],$A$168, Energy[[Fuel_category]:[Fuel_category]],$B170),"")</f>
        <v>0</v>
      </c>
      <c r="G170" s="28">
        <f ca="1">IFERROR(SUMIFS(Energy[2025_TWh],Energy[[Sector]:[Sector]],$A$168, Energy[[Fuel_category]:[Fuel_category]],$B170),"")</f>
        <v>0</v>
      </c>
      <c r="H170" s="28">
        <f ca="1">IFERROR(SUMIFS(Energy[2026_TWh],Energy[[Sector]:[Sector]],$A$168, Energy[[Fuel_category]:[Fuel_category]],$B170),"")</f>
        <v>0</v>
      </c>
      <c r="I170" s="28">
        <f ca="1">IFERROR(SUMIFS(Energy[2027_TWh],Energy[[Sector]:[Sector]],$A$168, Energy[[Fuel_category]:[Fuel_category]],$B170),"")</f>
        <v>0</v>
      </c>
      <c r="J170" s="28">
        <f ca="1">IFERROR(SUMIFS(Energy[2028_TWh],Energy[[Sector]:[Sector]],$A$168, Energy[[Fuel_category]:[Fuel_category]],$B170),"")</f>
        <v>0</v>
      </c>
      <c r="K170" s="28">
        <f ca="1">IFERROR(SUMIFS(Energy[2029_TWh],Energy[[Sector]:[Sector]],$A$168, Energy[[Fuel_category]:[Fuel_category]],$B170),"")</f>
        <v>0</v>
      </c>
      <c r="L170" s="28">
        <f ca="1">IFERROR(SUMIFS(Energy[2030_TWh],Energy[[Sector]:[Sector]],$A$168, Energy[[Fuel_category]:[Fuel_category]],$B170),"")</f>
        <v>0</v>
      </c>
      <c r="M170" s="28">
        <f ca="1">IFERROR(SUMIFS(Energy[2031_TWh],Energy[[Sector]:[Sector]],$A$168, Energy[[Fuel_category]:[Fuel_category]],$B170),"")</f>
        <v>0</v>
      </c>
      <c r="N170" s="28">
        <f ca="1">IFERROR(SUMIFS(Energy[2032_TWh],Energy[[Sector]:[Sector]],$A$168, Energy[[Fuel_category]:[Fuel_category]],$B170),"")</f>
        <v>0</v>
      </c>
      <c r="O170" s="28">
        <f ca="1">IFERROR(SUMIFS(Energy[2033_TWh],Energy[[Sector]:[Sector]],$A$168, Energy[[Fuel_category]:[Fuel_category]],$B170),"")</f>
        <v>0</v>
      </c>
      <c r="P170" s="28">
        <f ca="1">IFERROR(SUMIFS(Energy[2034_TWh],Energy[[Sector]:[Sector]],$A$168, Energy[[Fuel_category]:[Fuel_category]],$B170),"")</f>
        <v>0</v>
      </c>
      <c r="Q170" s="28">
        <f ca="1">IFERROR(SUMIFS(Energy[2035_TWh],Energy[[Sector]:[Sector]],$A$168, Energy[[Fuel_category]:[Fuel_category]],$B170),"")</f>
        <v>0</v>
      </c>
      <c r="R170" s="28">
        <f ca="1">IFERROR(SUMIFS(Energy[2036_TWh],Energy[[Sector]:[Sector]],$A$168, Energy[[Fuel_category]:[Fuel_category]],$B170),"")</f>
        <v>0</v>
      </c>
      <c r="S170" s="28">
        <f ca="1">IFERROR(SUMIFS(Energy[2037_TWh],Energy[[Sector]:[Sector]],$A$168, Energy[[Fuel_category]:[Fuel_category]],$B170),"")</f>
        <v>0</v>
      </c>
      <c r="T170" s="28">
        <f ca="1">IFERROR(SUMIFS(Energy[2038_TWh],Energy[[Sector]:[Sector]],$A$168, Energy[[Fuel_category]:[Fuel_category]],$B170),"")</f>
        <v>0</v>
      </c>
      <c r="U170" s="28">
        <f ca="1">IFERROR(SUMIFS(Energy[2039_TWh],Energy[[Sector]:[Sector]],$A$168, Energy[[Fuel_category]:[Fuel_category]],$B170),"")</f>
        <v>0</v>
      </c>
      <c r="V170" s="28">
        <f ca="1">IFERROR(SUMIFS(Energy[2040_TWh],Energy[[Sector]:[Sector]],$A$168, Energy[[Fuel_category]:[Fuel_category]],$B170),"")</f>
        <v>0</v>
      </c>
      <c r="W170" s="28">
        <f ca="1">IFERROR(SUMIFS(Energy[2041_TWh],Energy[[Sector]:[Sector]],$A$168, Energy[[Fuel_category]:[Fuel_category]],$B170),"")</f>
        <v>0</v>
      </c>
      <c r="X170" s="28">
        <f ca="1">IFERROR(SUMIFS(Energy[2042_TWh],Energy[[Sector]:[Sector]],$A$168, Energy[[Fuel_category]:[Fuel_category]],$B170),"")</f>
        <v>0</v>
      </c>
      <c r="Y170" s="28">
        <f ca="1">IFERROR(SUMIFS(Energy[2043_TWh],Energy[[Sector]:[Sector]],$A$168, Energy[[Fuel_category]:[Fuel_category]],$B170),"")</f>
        <v>0</v>
      </c>
      <c r="Z170" s="28">
        <f ca="1">IFERROR(SUMIFS(Energy[2044_TWh],Energy[[Sector]:[Sector]],$A$168, Energy[[Fuel_category]:[Fuel_category]],$B170),"")</f>
        <v>0</v>
      </c>
      <c r="AA170" s="28">
        <f ca="1">IFERROR(SUMIFS(Energy[2045_TWh],Energy[[Sector]:[Sector]],$A$168, Energy[[Fuel_category]:[Fuel_category]],$B170),"")</f>
        <v>0</v>
      </c>
      <c r="AB170" s="28">
        <f ca="1">IFERROR(SUMIFS(Energy[2046_TWh],Energy[[Sector]:[Sector]],$A$168, Energy[[Fuel_category]:[Fuel_category]],$B170),"")</f>
        <v>0</v>
      </c>
      <c r="AC170" s="28">
        <f ca="1">IFERROR(SUMIFS(Energy[2047_TWh],Energy[[Sector]:[Sector]],$A$168, Energy[[Fuel_category]:[Fuel_category]],$B170),"")</f>
        <v>0</v>
      </c>
      <c r="AD170" s="28">
        <f ca="1">IFERROR(SUMIFS(Energy[2048_TWh],Energy[[Sector]:[Sector]],$A$168, Energy[[Fuel_category]:[Fuel_category]],$B170),"")</f>
        <v>0</v>
      </c>
      <c r="AE170" s="28">
        <f ca="1">IFERROR(SUMIFS(Energy[2049_TWh],Energy[[Sector]:[Sector]],$A$168, Energy[[Fuel_category]:[Fuel_category]],$B170),"")</f>
        <v>0</v>
      </c>
      <c r="AF170" s="28">
        <f ca="1">IFERROR(SUMIFS(Energy[2050_TWh],Energy[[Sector]:[Sector]],$A$168, Energy[[Fuel_category]:[Fuel_category]],$B170),"")</f>
        <v>0</v>
      </c>
      <c r="AG170" s="28">
        <f ca="1">IFERROR(SUMIFS(Energy[2051_TWh],Energy[[Sector]:[Sector]],$A$168, Energy[[Fuel_category]:[Fuel_category]],$B170),"")</f>
        <v>0</v>
      </c>
    </row>
    <row r="171" spans="1:33" x14ac:dyDescent="0.45">
      <c r="B171" s="21" t="s">
        <v>35</v>
      </c>
      <c r="C171" s="28">
        <f ca="1">IFERROR(SUMIFS(Energy[2021_TWh],Energy[[Sector]:[Sector]],$A$168, Energy[[Fuel_category]:[Fuel_category]],$B171),"")</f>
        <v>0</v>
      </c>
      <c r="D171" s="28">
        <f ca="1">IFERROR(SUMIFS(Energy[2022_TWh],Energy[[Sector]:[Sector]],$A$168, Energy[[Fuel_category]:[Fuel_category]],$B171),"")</f>
        <v>0</v>
      </c>
      <c r="E171" s="28">
        <f ca="1">IFERROR(SUMIFS(Energy[2023_TWh],Energy[[Sector]:[Sector]],$A$168, Energy[[Fuel_category]:[Fuel_category]],$B171),"")</f>
        <v>0</v>
      </c>
      <c r="F171" s="28">
        <f ca="1">IFERROR(SUMIFS(Energy[2024_TWh],Energy[[Sector]:[Sector]],$A$168, Energy[[Fuel_category]:[Fuel_category]],$B171),"")</f>
        <v>0</v>
      </c>
      <c r="G171" s="28">
        <f ca="1">IFERROR(SUMIFS(Energy[2025_TWh],Energy[[Sector]:[Sector]],$A$168, Energy[[Fuel_category]:[Fuel_category]],$B171),"")</f>
        <v>0</v>
      </c>
      <c r="H171" s="28">
        <f ca="1">IFERROR(SUMIFS(Energy[2026_TWh],Energy[[Sector]:[Sector]],$A$168, Energy[[Fuel_category]:[Fuel_category]],$B171),"")</f>
        <v>0</v>
      </c>
      <c r="I171" s="28">
        <f ca="1">IFERROR(SUMIFS(Energy[2027_TWh],Energy[[Sector]:[Sector]],$A$168, Energy[[Fuel_category]:[Fuel_category]],$B171),"")</f>
        <v>0</v>
      </c>
      <c r="J171" s="28">
        <f ca="1">IFERROR(SUMIFS(Energy[2028_TWh],Energy[[Sector]:[Sector]],$A$168, Energy[[Fuel_category]:[Fuel_category]],$B171),"")</f>
        <v>0</v>
      </c>
      <c r="K171" s="28">
        <f ca="1">IFERROR(SUMIFS(Energy[2029_TWh],Energy[[Sector]:[Sector]],$A$168, Energy[[Fuel_category]:[Fuel_category]],$B171),"")</f>
        <v>0</v>
      </c>
      <c r="L171" s="28">
        <f ca="1">IFERROR(SUMIFS(Energy[2030_TWh],Energy[[Sector]:[Sector]],$A$168, Energy[[Fuel_category]:[Fuel_category]],$B171),"")</f>
        <v>0</v>
      </c>
      <c r="M171" s="28">
        <f ca="1">IFERROR(SUMIFS(Energy[2031_TWh],Energy[[Sector]:[Sector]],$A$168, Energy[[Fuel_category]:[Fuel_category]],$B171),"")</f>
        <v>0</v>
      </c>
      <c r="N171" s="28">
        <f ca="1">IFERROR(SUMIFS(Energy[2032_TWh],Energy[[Sector]:[Sector]],$A$168, Energy[[Fuel_category]:[Fuel_category]],$B171),"")</f>
        <v>0</v>
      </c>
      <c r="O171" s="28">
        <f ca="1">IFERROR(SUMIFS(Energy[2033_TWh],Energy[[Sector]:[Sector]],$A$168, Energy[[Fuel_category]:[Fuel_category]],$B171),"")</f>
        <v>0</v>
      </c>
      <c r="P171" s="28">
        <f ca="1">IFERROR(SUMIFS(Energy[2034_TWh],Energy[[Sector]:[Sector]],$A$168, Energy[[Fuel_category]:[Fuel_category]],$B171),"")</f>
        <v>0</v>
      </c>
      <c r="Q171" s="28">
        <f ca="1">IFERROR(SUMIFS(Energy[2035_TWh],Energy[[Sector]:[Sector]],$A$168, Energy[[Fuel_category]:[Fuel_category]],$B171),"")</f>
        <v>0</v>
      </c>
      <c r="R171" s="28">
        <f ca="1">IFERROR(SUMIFS(Energy[2036_TWh],Energy[[Sector]:[Sector]],$A$168, Energy[[Fuel_category]:[Fuel_category]],$B171),"")</f>
        <v>0</v>
      </c>
      <c r="S171" s="28">
        <f ca="1">IFERROR(SUMIFS(Energy[2037_TWh],Energy[[Sector]:[Sector]],$A$168, Energy[[Fuel_category]:[Fuel_category]],$B171),"")</f>
        <v>0</v>
      </c>
      <c r="T171" s="28">
        <f ca="1">IFERROR(SUMIFS(Energy[2038_TWh],Energy[[Sector]:[Sector]],$A$168, Energy[[Fuel_category]:[Fuel_category]],$B171),"")</f>
        <v>0</v>
      </c>
      <c r="U171" s="28">
        <f ca="1">IFERROR(SUMIFS(Energy[2039_TWh],Energy[[Sector]:[Sector]],$A$168, Energy[[Fuel_category]:[Fuel_category]],$B171),"")</f>
        <v>0</v>
      </c>
      <c r="V171" s="28">
        <f ca="1">IFERROR(SUMIFS(Energy[2040_TWh],Energy[[Sector]:[Sector]],$A$168, Energy[[Fuel_category]:[Fuel_category]],$B171),"")</f>
        <v>0</v>
      </c>
      <c r="W171" s="28">
        <f ca="1">IFERROR(SUMIFS(Energy[2041_TWh],Energy[[Sector]:[Sector]],$A$168, Energy[[Fuel_category]:[Fuel_category]],$B171),"")</f>
        <v>0</v>
      </c>
      <c r="X171" s="28">
        <f ca="1">IFERROR(SUMIFS(Energy[2042_TWh],Energy[[Sector]:[Sector]],$A$168, Energy[[Fuel_category]:[Fuel_category]],$B171),"")</f>
        <v>0</v>
      </c>
      <c r="Y171" s="28">
        <f ca="1">IFERROR(SUMIFS(Energy[2043_TWh],Energy[[Sector]:[Sector]],$A$168, Energy[[Fuel_category]:[Fuel_category]],$B171),"")</f>
        <v>0</v>
      </c>
      <c r="Z171" s="28">
        <f ca="1">IFERROR(SUMIFS(Energy[2044_TWh],Energy[[Sector]:[Sector]],$A$168, Energy[[Fuel_category]:[Fuel_category]],$B171),"")</f>
        <v>0</v>
      </c>
      <c r="AA171" s="28">
        <f ca="1">IFERROR(SUMIFS(Energy[2045_TWh],Energy[[Sector]:[Sector]],$A$168, Energy[[Fuel_category]:[Fuel_category]],$B171),"")</f>
        <v>0</v>
      </c>
      <c r="AB171" s="28">
        <f ca="1">IFERROR(SUMIFS(Energy[2046_TWh],Energy[[Sector]:[Sector]],$A$168, Energy[[Fuel_category]:[Fuel_category]],$B171),"")</f>
        <v>0</v>
      </c>
      <c r="AC171" s="28">
        <f ca="1">IFERROR(SUMIFS(Energy[2047_TWh],Energy[[Sector]:[Sector]],$A$168, Energy[[Fuel_category]:[Fuel_category]],$B171),"")</f>
        <v>0</v>
      </c>
      <c r="AD171" s="28">
        <f ca="1">IFERROR(SUMIFS(Energy[2048_TWh],Energy[[Sector]:[Sector]],$A$168, Energy[[Fuel_category]:[Fuel_category]],$B171),"")</f>
        <v>0</v>
      </c>
      <c r="AE171" s="28">
        <f ca="1">IFERROR(SUMIFS(Energy[2049_TWh],Energy[[Sector]:[Sector]],$A$168, Energy[[Fuel_category]:[Fuel_category]],$B171),"")</f>
        <v>0</v>
      </c>
      <c r="AF171" s="28">
        <f ca="1">IFERROR(SUMIFS(Energy[2050_TWh],Energy[[Sector]:[Sector]],$A$168, Energy[[Fuel_category]:[Fuel_category]],$B171),"")</f>
        <v>0</v>
      </c>
      <c r="AG171" s="28">
        <f ca="1">IFERROR(SUMIFS(Energy[2051_TWh],Energy[[Sector]:[Sector]],$A$168, Energy[[Fuel_category]:[Fuel_category]],$B171),"")</f>
        <v>0</v>
      </c>
    </row>
    <row r="172" spans="1:33" x14ac:dyDescent="0.45">
      <c r="B172" s="21" t="s">
        <v>26</v>
      </c>
      <c r="C172" s="28">
        <f ca="1">IFERROR(SUMIFS(Energy[2021_TWh],Energy[[Sector]:[Sector]],$A$168, Energy[[Fuel_category]:[Fuel_category]],$B172),"")</f>
        <v>0</v>
      </c>
      <c r="D172" s="28">
        <f ca="1">IFERROR(SUMIFS(Energy[2022_TWh],Energy[[Sector]:[Sector]],$A$168, Energy[[Fuel_category]:[Fuel_category]],$B172),"")</f>
        <v>0</v>
      </c>
      <c r="E172" s="28">
        <f ca="1">IFERROR(SUMIFS(Energy[2023_TWh],Energy[[Sector]:[Sector]],$A$168, Energy[[Fuel_category]:[Fuel_category]],$B172),"")</f>
        <v>0</v>
      </c>
      <c r="F172" s="28">
        <f ca="1">IFERROR(SUMIFS(Energy[2024_TWh],Energy[[Sector]:[Sector]],$A$168, Energy[[Fuel_category]:[Fuel_category]],$B172),"")</f>
        <v>0</v>
      </c>
      <c r="G172" s="28">
        <f ca="1">IFERROR(SUMIFS(Energy[2025_TWh],Energy[[Sector]:[Sector]],$A$168, Energy[[Fuel_category]:[Fuel_category]],$B172),"")</f>
        <v>0</v>
      </c>
      <c r="H172" s="28">
        <f ca="1">IFERROR(SUMIFS(Energy[2026_TWh],Energy[[Sector]:[Sector]],$A$168, Energy[[Fuel_category]:[Fuel_category]],$B172),"")</f>
        <v>0</v>
      </c>
      <c r="I172" s="28">
        <f ca="1">IFERROR(SUMIFS(Energy[2027_TWh],Energy[[Sector]:[Sector]],$A$168, Energy[[Fuel_category]:[Fuel_category]],$B172),"")</f>
        <v>0</v>
      </c>
      <c r="J172" s="28">
        <f ca="1">IFERROR(SUMIFS(Energy[2028_TWh],Energy[[Sector]:[Sector]],$A$168, Energy[[Fuel_category]:[Fuel_category]],$B172),"")</f>
        <v>0</v>
      </c>
      <c r="K172" s="28">
        <f ca="1">IFERROR(SUMIFS(Energy[2029_TWh],Energy[[Sector]:[Sector]],$A$168, Energy[[Fuel_category]:[Fuel_category]],$B172),"")</f>
        <v>0</v>
      </c>
      <c r="L172" s="28">
        <f ca="1">IFERROR(SUMIFS(Energy[2030_TWh],Energy[[Sector]:[Sector]],$A$168, Energy[[Fuel_category]:[Fuel_category]],$B172),"")</f>
        <v>0</v>
      </c>
      <c r="M172" s="28">
        <f ca="1">IFERROR(SUMIFS(Energy[2031_TWh],Energy[[Sector]:[Sector]],$A$168, Energy[[Fuel_category]:[Fuel_category]],$B172),"")</f>
        <v>0</v>
      </c>
      <c r="N172" s="28">
        <f ca="1">IFERROR(SUMIFS(Energy[2032_TWh],Energy[[Sector]:[Sector]],$A$168, Energy[[Fuel_category]:[Fuel_category]],$B172),"")</f>
        <v>0</v>
      </c>
      <c r="O172" s="28">
        <f ca="1">IFERROR(SUMIFS(Energy[2033_TWh],Energy[[Sector]:[Sector]],$A$168, Energy[[Fuel_category]:[Fuel_category]],$B172),"")</f>
        <v>0</v>
      </c>
      <c r="P172" s="28">
        <f ca="1">IFERROR(SUMIFS(Energy[2034_TWh],Energy[[Sector]:[Sector]],$A$168, Energy[[Fuel_category]:[Fuel_category]],$B172),"")</f>
        <v>0</v>
      </c>
      <c r="Q172" s="28">
        <f ca="1">IFERROR(SUMIFS(Energy[2035_TWh],Energy[[Sector]:[Sector]],$A$168, Energy[[Fuel_category]:[Fuel_category]],$B172),"")</f>
        <v>0</v>
      </c>
      <c r="R172" s="28">
        <f ca="1">IFERROR(SUMIFS(Energy[2036_TWh],Energy[[Sector]:[Sector]],$A$168, Energy[[Fuel_category]:[Fuel_category]],$B172),"")</f>
        <v>0</v>
      </c>
      <c r="S172" s="28">
        <f ca="1">IFERROR(SUMIFS(Energy[2037_TWh],Energy[[Sector]:[Sector]],$A$168, Energy[[Fuel_category]:[Fuel_category]],$B172),"")</f>
        <v>0</v>
      </c>
      <c r="T172" s="28">
        <f ca="1">IFERROR(SUMIFS(Energy[2038_TWh],Energy[[Sector]:[Sector]],$A$168, Energy[[Fuel_category]:[Fuel_category]],$B172),"")</f>
        <v>0</v>
      </c>
      <c r="U172" s="28">
        <f ca="1">IFERROR(SUMIFS(Energy[2039_TWh],Energy[[Sector]:[Sector]],$A$168, Energy[[Fuel_category]:[Fuel_category]],$B172),"")</f>
        <v>0</v>
      </c>
      <c r="V172" s="28">
        <f ca="1">IFERROR(SUMIFS(Energy[2040_TWh],Energy[[Sector]:[Sector]],$A$168, Energy[[Fuel_category]:[Fuel_category]],$B172),"")</f>
        <v>0</v>
      </c>
      <c r="W172" s="28">
        <f ca="1">IFERROR(SUMIFS(Energy[2041_TWh],Energy[[Sector]:[Sector]],$A$168, Energy[[Fuel_category]:[Fuel_category]],$B172),"")</f>
        <v>0</v>
      </c>
      <c r="X172" s="28">
        <f ca="1">IFERROR(SUMIFS(Energy[2042_TWh],Energy[[Sector]:[Sector]],$A$168, Energy[[Fuel_category]:[Fuel_category]],$B172),"")</f>
        <v>0</v>
      </c>
      <c r="Y172" s="28">
        <f ca="1">IFERROR(SUMIFS(Energy[2043_TWh],Energy[[Sector]:[Sector]],$A$168, Energy[[Fuel_category]:[Fuel_category]],$B172),"")</f>
        <v>0</v>
      </c>
      <c r="Z172" s="28">
        <f ca="1">IFERROR(SUMIFS(Energy[2044_TWh],Energy[[Sector]:[Sector]],$A$168, Energy[[Fuel_category]:[Fuel_category]],$B172),"")</f>
        <v>0</v>
      </c>
      <c r="AA172" s="28">
        <f ca="1">IFERROR(SUMIFS(Energy[2045_TWh],Energy[[Sector]:[Sector]],$A$168, Energy[[Fuel_category]:[Fuel_category]],$B172),"")</f>
        <v>0</v>
      </c>
      <c r="AB172" s="28">
        <f ca="1">IFERROR(SUMIFS(Energy[2046_TWh],Energy[[Sector]:[Sector]],$A$168, Energy[[Fuel_category]:[Fuel_category]],$B172),"")</f>
        <v>0</v>
      </c>
      <c r="AC172" s="28">
        <f ca="1">IFERROR(SUMIFS(Energy[2047_TWh],Energy[[Sector]:[Sector]],$A$168, Energy[[Fuel_category]:[Fuel_category]],$B172),"")</f>
        <v>0</v>
      </c>
      <c r="AD172" s="28">
        <f ca="1">IFERROR(SUMIFS(Energy[2048_TWh],Energy[[Sector]:[Sector]],$A$168, Energy[[Fuel_category]:[Fuel_category]],$B172),"")</f>
        <v>0</v>
      </c>
      <c r="AE172" s="28">
        <f ca="1">IFERROR(SUMIFS(Energy[2049_TWh],Energy[[Sector]:[Sector]],$A$168, Energy[[Fuel_category]:[Fuel_category]],$B172),"")</f>
        <v>0</v>
      </c>
      <c r="AF172" s="28">
        <f ca="1">IFERROR(SUMIFS(Energy[2050_TWh],Energy[[Sector]:[Sector]],$A$168, Energy[[Fuel_category]:[Fuel_category]],$B172),"")</f>
        <v>0</v>
      </c>
      <c r="AG172" s="28">
        <f ca="1">IFERROR(SUMIFS(Energy[2051_TWh],Energy[[Sector]:[Sector]],$A$168, Energy[[Fuel_category]:[Fuel_category]],$B172),"")</f>
        <v>0</v>
      </c>
    </row>
    <row r="173" spans="1:33" x14ac:dyDescent="0.45">
      <c r="B173" s="21" t="s">
        <v>113</v>
      </c>
      <c r="C173" s="28">
        <f ca="1">IFERROR(SUMIFS(Energy[2021_TWh],Energy[[Sector]:[Sector]],$A$168, Energy[[Fuel_category]:[Fuel_category]],$B173),"")</f>
        <v>0</v>
      </c>
      <c r="D173" s="28">
        <f ca="1">IFERROR(SUMIFS(Energy[2022_TWh],Energy[[Sector]:[Sector]],$A$168, Energy[[Fuel_category]:[Fuel_category]],$B173),"")</f>
        <v>0</v>
      </c>
      <c r="E173" s="28">
        <f ca="1">IFERROR(SUMIFS(Energy[2023_TWh],Energy[[Sector]:[Sector]],$A$168, Energy[[Fuel_category]:[Fuel_category]],$B173),"")</f>
        <v>0</v>
      </c>
      <c r="F173" s="28">
        <f ca="1">IFERROR(SUMIFS(Energy[2024_TWh],Energy[[Sector]:[Sector]],$A$168, Energy[[Fuel_category]:[Fuel_category]],$B173),"")</f>
        <v>0</v>
      </c>
      <c r="G173" s="28">
        <f ca="1">IFERROR(SUMIFS(Energy[2025_TWh],Energy[[Sector]:[Sector]],$A$168, Energy[[Fuel_category]:[Fuel_category]],$B173),"")</f>
        <v>0</v>
      </c>
      <c r="H173" s="28">
        <f ca="1">IFERROR(SUMIFS(Energy[2026_TWh],Energy[[Sector]:[Sector]],$A$168, Energy[[Fuel_category]:[Fuel_category]],$B173),"")</f>
        <v>0</v>
      </c>
      <c r="I173" s="28">
        <f ca="1">IFERROR(SUMIFS(Energy[2027_TWh],Energy[[Sector]:[Sector]],$A$168, Energy[[Fuel_category]:[Fuel_category]],$B173),"")</f>
        <v>0</v>
      </c>
      <c r="J173" s="28">
        <f ca="1">IFERROR(SUMIFS(Energy[2028_TWh],Energy[[Sector]:[Sector]],$A$168, Energy[[Fuel_category]:[Fuel_category]],$B173),"")</f>
        <v>0</v>
      </c>
      <c r="K173" s="28">
        <f ca="1">IFERROR(SUMIFS(Energy[2029_TWh],Energy[[Sector]:[Sector]],$A$168, Energy[[Fuel_category]:[Fuel_category]],$B173),"")</f>
        <v>0</v>
      </c>
      <c r="L173" s="28">
        <f ca="1">IFERROR(SUMIFS(Energy[2030_TWh],Energy[[Sector]:[Sector]],$A$168, Energy[[Fuel_category]:[Fuel_category]],$B173),"")</f>
        <v>0</v>
      </c>
      <c r="M173" s="28">
        <f ca="1">IFERROR(SUMIFS(Energy[2031_TWh],Energy[[Sector]:[Sector]],$A$168, Energy[[Fuel_category]:[Fuel_category]],$B173),"")</f>
        <v>0</v>
      </c>
      <c r="N173" s="28">
        <f ca="1">IFERROR(SUMIFS(Energy[2032_TWh],Energy[[Sector]:[Sector]],$A$168, Energy[[Fuel_category]:[Fuel_category]],$B173),"")</f>
        <v>0</v>
      </c>
      <c r="O173" s="28">
        <f ca="1">IFERROR(SUMIFS(Energy[2033_TWh],Energy[[Sector]:[Sector]],$A$168, Energy[[Fuel_category]:[Fuel_category]],$B173),"")</f>
        <v>0</v>
      </c>
      <c r="P173" s="28">
        <f ca="1">IFERROR(SUMIFS(Energy[2034_TWh],Energy[[Sector]:[Sector]],$A$168, Energy[[Fuel_category]:[Fuel_category]],$B173),"")</f>
        <v>0</v>
      </c>
      <c r="Q173" s="28">
        <f ca="1">IFERROR(SUMIFS(Energy[2035_TWh],Energy[[Sector]:[Sector]],$A$168, Energy[[Fuel_category]:[Fuel_category]],$B173),"")</f>
        <v>0</v>
      </c>
      <c r="R173" s="28">
        <f ca="1">IFERROR(SUMIFS(Energy[2036_TWh],Energy[[Sector]:[Sector]],$A$168, Energy[[Fuel_category]:[Fuel_category]],$B173),"")</f>
        <v>0</v>
      </c>
      <c r="S173" s="28">
        <f ca="1">IFERROR(SUMIFS(Energy[2037_TWh],Energy[[Sector]:[Sector]],$A$168, Energy[[Fuel_category]:[Fuel_category]],$B173),"")</f>
        <v>0</v>
      </c>
      <c r="T173" s="28">
        <f ca="1">IFERROR(SUMIFS(Energy[2038_TWh],Energy[[Sector]:[Sector]],$A$168, Energy[[Fuel_category]:[Fuel_category]],$B173),"")</f>
        <v>0</v>
      </c>
      <c r="U173" s="28">
        <f ca="1">IFERROR(SUMIFS(Energy[2039_TWh],Energy[[Sector]:[Sector]],$A$168, Energy[[Fuel_category]:[Fuel_category]],$B173),"")</f>
        <v>0</v>
      </c>
      <c r="V173" s="28">
        <f ca="1">IFERROR(SUMIFS(Energy[2040_TWh],Energy[[Sector]:[Sector]],$A$168, Energy[[Fuel_category]:[Fuel_category]],$B173),"")</f>
        <v>0</v>
      </c>
      <c r="W173" s="28">
        <f ca="1">IFERROR(SUMIFS(Energy[2041_TWh],Energy[[Sector]:[Sector]],$A$168, Energy[[Fuel_category]:[Fuel_category]],$B173),"")</f>
        <v>0</v>
      </c>
      <c r="X173" s="28">
        <f ca="1">IFERROR(SUMIFS(Energy[2042_TWh],Energy[[Sector]:[Sector]],$A$168, Energy[[Fuel_category]:[Fuel_category]],$B173),"")</f>
        <v>0</v>
      </c>
      <c r="Y173" s="28">
        <f ca="1">IFERROR(SUMIFS(Energy[2043_TWh],Energy[[Sector]:[Sector]],$A$168, Energy[[Fuel_category]:[Fuel_category]],$B173),"")</f>
        <v>0</v>
      </c>
      <c r="Z173" s="28">
        <f ca="1">IFERROR(SUMIFS(Energy[2044_TWh],Energy[[Sector]:[Sector]],$A$168, Energy[[Fuel_category]:[Fuel_category]],$B173),"")</f>
        <v>0</v>
      </c>
      <c r="AA173" s="28">
        <f ca="1">IFERROR(SUMIFS(Energy[2045_TWh],Energy[[Sector]:[Sector]],$A$168, Energy[[Fuel_category]:[Fuel_category]],$B173),"")</f>
        <v>0</v>
      </c>
      <c r="AB173" s="28">
        <f ca="1">IFERROR(SUMIFS(Energy[2046_TWh],Energy[[Sector]:[Sector]],$A$168, Energy[[Fuel_category]:[Fuel_category]],$B173),"")</f>
        <v>0</v>
      </c>
      <c r="AC173" s="28">
        <f ca="1">IFERROR(SUMIFS(Energy[2047_TWh],Energy[[Sector]:[Sector]],$A$168, Energy[[Fuel_category]:[Fuel_category]],$B173),"")</f>
        <v>0</v>
      </c>
      <c r="AD173" s="28">
        <f ca="1">IFERROR(SUMIFS(Energy[2048_TWh],Energy[[Sector]:[Sector]],$A$168, Energy[[Fuel_category]:[Fuel_category]],$B173),"")</f>
        <v>0</v>
      </c>
      <c r="AE173" s="28">
        <f ca="1">IFERROR(SUMIFS(Energy[2049_TWh],Energy[[Sector]:[Sector]],$A$168, Energy[[Fuel_category]:[Fuel_category]],$B173),"")</f>
        <v>0</v>
      </c>
      <c r="AF173" s="28">
        <f ca="1">IFERROR(SUMIFS(Energy[2050_TWh],Energy[[Sector]:[Sector]],$A$168, Energy[[Fuel_category]:[Fuel_category]],$B173),"")</f>
        <v>0</v>
      </c>
      <c r="AG173" s="28">
        <f ca="1">IFERROR(SUMIFS(Energy[2051_TWh],Energy[[Sector]:[Sector]],$A$168, Energy[[Fuel_category]:[Fuel_category]],$B173),"")</f>
        <v>0</v>
      </c>
    </row>
    <row r="174" spans="1:33" x14ac:dyDescent="0.45">
      <c r="B174" s="21" t="s">
        <v>111</v>
      </c>
      <c r="C174" s="28">
        <f ca="1">IFERROR(SUMIFS(Energy[2021_TWh],Energy[[Sector]:[Sector]],$A$168, Energy[[Fuel_category]:[Fuel_category]],$B174),"")</f>
        <v>0</v>
      </c>
      <c r="D174" s="28">
        <f ca="1">IFERROR(SUMIFS(Energy[2022_TWh],Energy[[Sector]:[Sector]],$A$168, Energy[[Fuel_category]:[Fuel_category]],$B174),"")</f>
        <v>0</v>
      </c>
      <c r="E174" s="28">
        <f ca="1">IFERROR(SUMIFS(Energy[2023_TWh],Energy[[Sector]:[Sector]],$A$168, Energy[[Fuel_category]:[Fuel_category]],$B174),"")</f>
        <v>0</v>
      </c>
      <c r="F174" s="28">
        <f ca="1">IFERROR(SUMIFS(Energy[2024_TWh],Energy[[Sector]:[Sector]],$A$168, Energy[[Fuel_category]:[Fuel_category]],$B174),"")</f>
        <v>0</v>
      </c>
      <c r="G174" s="28">
        <f ca="1">IFERROR(SUMIFS(Energy[2025_TWh],Energy[[Sector]:[Sector]],$A$168, Energy[[Fuel_category]:[Fuel_category]],$B174),"")</f>
        <v>0</v>
      </c>
      <c r="H174" s="28">
        <f ca="1">IFERROR(SUMIFS(Energy[2026_TWh],Energy[[Sector]:[Sector]],$A$168, Energy[[Fuel_category]:[Fuel_category]],$B174),"")</f>
        <v>0</v>
      </c>
      <c r="I174" s="28">
        <f ca="1">IFERROR(SUMIFS(Energy[2027_TWh],Energy[[Sector]:[Sector]],$A$168, Energy[[Fuel_category]:[Fuel_category]],$B174),"")</f>
        <v>0</v>
      </c>
      <c r="J174" s="28">
        <f ca="1">IFERROR(SUMIFS(Energy[2028_TWh],Energy[[Sector]:[Sector]],$A$168, Energy[[Fuel_category]:[Fuel_category]],$B174),"")</f>
        <v>0</v>
      </c>
      <c r="K174" s="28">
        <f ca="1">IFERROR(SUMIFS(Energy[2029_TWh],Energy[[Sector]:[Sector]],$A$168, Energy[[Fuel_category]:[Fuel_category]],$B174),"")</f>
        <v>0</v>
      </c>
      <c r="L174" s="28">
        <f ca="1">IFERROR(SUMIFS(Energy[2030_TWh],Energy[[Sector]:[Sector]],$A$168, Energy[[Fuel_category]:[Fuel_category]],$B174),"")</f>
        <v>0</v>
      </c>
      <c r="M174" s="28">
        <f ca="1">IFERROR(SUMIFS(Energy[2031_TWh],Energy[[Sector]:[Sector]],$A$168, Energy[[Fuel_category]:[Fuel_category]],$B174),"")</f>
        <v>0</v>
      </c>
      <c r="N174" s="28">
        <f ca="1">IFERROR(SUMIFS(Energy[2032_TWh],Energy[[Sector]:[Sector]],$A$168, Energy[[Fuel_category]:[Fuel_category]],$B174),"")</f>
        <v>0</v>
      </c>
      <c r="O174" s="28">
        <f ca="1">IFERROR(SUMIFS(Energy[2033_TWh],Energy[[Sector]:[Sector]],$A$168, Energy[[Fuel_category]:[Fuel_category]],$B174),"")</f>
        <v>0</v>
      </c>
      <c r="P174" s="28">
        <f ca="1">IFERROR(SUMIFS(Energy[2034_TWh],Energy[[Sector]:[Sector]],$A$168, Energy[[Fuel_category]:[Fuel_category]],$B174),"")</f>
        <v>0</v>
      </c>
      <c r="Q174" s="28">
        <f ca="1">IFERROR(SUMIFS(Energy[2035_TWh],Energy[[Sector]:[Sector]],$A$168, Energy[[Fuel_category]:[Fuel_category]],$B174),"")</f>
        <v>0</v>
      </c>
      <c r="R174" s="28">
        <f ca="1">IFERROR(SUMIFS(Energy[2036_TWh],Energy[[Sector]:[Sector]],$A$168, Energy[[Fuel_category]:[Fuel_category]],$B174),"")</f>
        <v>0</v>
      </c>
      <c r="S174" s="28">
        <f ca="1">IFERROR(SUMIFS(Energy[2037_TWh],Energy[[Sector]:[Sector]],$A$168, Energy[[Fuel_category]:[Fuel_category]],$B174),"")</f>
        <v>0</v>
      </c>
      <c r="T174" s="28">
        <f ca="1">IFERROR(SUMIFS(Energy[2038_TWh],Energy[[Sector]:[Sector]],$A$168, Energy[[Fuel_category]:[Fuel_category]],$B174),"")</f>
        <v>0</v>
      </c>
      <c r="U174" s="28">
        <f ca="1">IFERROR(SUMIFS(Energy[2039_TWh],Energy[[Sector]:[Sector]],$A$168, Energy[[Fuel_category]:[Fuel_category]],$B174),"")</f>
        <v>0</v>
      </c>
      <c r="V174" s="28">
        <f ca="1">IFERROR(SUMIFS(Energy[2040_TWh],Energy[[Sector]:[Sector]],$A$168, Energy[[Fuel_category]:[Fuel_category]],$B174),"")</f>
        <v>0</v>
      </c>
      <c r="W174" s="28">
        <f ca="1">IFERROR(SUMIFS(Energy[2041_TWh],Energy[[Sector]:[Sector]],$A$168, Energy[[Fuel_category]:[Fuel_category]],$B174),"")</f>
        <v>0</v>
      </c>
      <c r="X174" s="28">
        <f ca="1">IFERROR(SUMIFS(Energy[2042_TWh],Energy[[Sector]:[Sector]],$A$168, Energy[[Fuel_category]:[Fuel_category]],$B174),"")</f>
        <v>0</v>
      </c>
      <c r="Y174" s="28">
        <f ca="1">IFERROR(SUMIFS(Energy[2043_TWh],Energy[[Sector]:[Sector]],$A$168, Energy[[Fuel_category]:[Fuel_category]],$B174),"")</f>
        <v>0</v>
      </c>
      <c r="Z174" s="28">
        <f ca="1">IFERROR(SUMIFS(Energy[2044_TWh],Energy[[Sector]:[Sector]],$A$168, Energy[[Fuel_category]:[Fuel_category]],$B174),"")</f>
        <v>0</v>
      </c>
      <c r="AA174" s="28">
        <f ca="1">IFERROR(SUMIFS(Energy[2045_TWh],Energy[[Sector]:[Sector]],$A$168, Energy[[Fuel_category]:[Fuel_category]],$B174),"")</f>
        <v>0</v>
      </c>
      <c r="AB174" s="28">
        <f ca="1">IFERROR(SUMIFS(Energy[2046_TWh],Energy[[Sector]:[Sector]],$A$168, Energy[[Fuel_category]:[Fuel_category]],$B174),"")</f>
        <v>0</v>
      </c>
      <c r="AC174" s="28">
        <f ca="1">IFERROR(SUMIFS(Energy[2047_TWh],Energy[[Sector]:[Sector]],$A$168, Energy[[Fuel_category]:[Fuel_category]],$B174),"")</f>
        <v>0</v>
      </c>
      <c r="AD174" s="28">
        <f ca="1">IFERROR(SUMIFS(Energy[2048_TWh],Energy[[Sector]:[Sector]],$A$168, Energy[[Fuel_category]:[Fuel_category]],$B174),"")</f>
        <v>0</v>
      </c>
      <c r="AE174" s="28">
        <f ca="1">IFERROR(SUMIFS(Energy[2049_TWh],Energy[[Sector]:[Sector]],$A$168, Energy[[Fuel_category]:[Fuel_category]],$B174),"")</f>
        <v>0</v>
      </c>
      <c r="AF174" s="28">
        <f ca="1">IFERROR(SUMIFS(Energy[2050_TWh],Energy[[Sector]:[Sector]],$A$168, Energy[[Fuel_category]:[Fuel_category]],$B174),"")</f>
        <v>0</v>
      </c>
      <c r="AG174" s="28">
        <f ca="1">IFERROR(SUMIFS(Energy[2051_TWh],Energy[[Sector]:[Sector]],$A$168, Energy[[Fuel_category]:[Fuel_category]],$B174),"")</f>
        <v>0</v>
      </c>
    </row>
    <row r="175" spans="1:33" ht="14.65" thickBot="1" x14ac:dyDescent="0.5">
      <c r="B175" s="29" t="s">
        <v>124</v>
      </c>
      <c r="C175" s="31">
        <f ca="1">IF(C105&lt;&gt;"",SUM(C168:C173),"")</f>
        <v>0</v>
      </c>
      <c r="D175" s="31">
        <f t="shared" ref="D175:AF175" ca="1" si="36">IF(D105&lt;&gt;"",SUM(D168:D173),"")</f>
        <v>0</v>
      </c>
      <c r="E175" s="31">
        <f t="shared" ca="1" si="36"/>
        <v>0</v>
      </c>
      <c r="F175" s="31">
        <f t="shared" ca="1" si="36"/>
        <v>0</v>
      </c>
      <c r="G175" s="31">
        <f t="shared" ca="1" si="36"/>
        <v>0</v>
      </c>
      <c r="H175" s="31">
        <f t="shared" ca="1" si="36"/>
        <v>0</v>
      </c>
      <c r="I175" s="31">
        <f t="shared" ca="1" si="36"/>
        <v>0</v>
      </c>
      <c r="J175" s="31">
        <f t="shared" ca="1" si="36"/>
        <v>0</v>
      </c>
      <c r="K175" s="31">
        <f t="shared" ca="1" si="36"/>
        <v>0</v>
      </c>
      <c r="L175" s="31">
        <f t="shared" ca="1" si="36"/>
        <v>0</v>
      </c>
      <c r="M175" s="31">
        <f t="shared" ca="1" si="36"/>
        <v>0</v>
      </c>
      <c r="N175" s="31">
        <f t="shared" ca="1" si="36"/>
        <v>0</v>
      </c>
      <c r="O175" s="31">
        <f t="shared" ca="1" si="36"/>
        <v>0</v>
      </c>
      <c r="P175" s="31">
        <f t="shared" ca="1" si="36"/>
        <v>0</v>
      </c>
      <c r="Q175" s="31">
        <f t="shared" ca="1" si="36"/>
        <v>0</v>
      </c>
      <c r="R175" s="31">
        <f t="shared" ca="1" si="36"/>
        <v>0</v>
      </c>
      <c r="S175" s="31">
        <f t="shared" ca="1" si="36"/>
        <v>0</v>
      </c>
      <c r="T175" s="31">
        <f t="shared" ca="1" si="36"/>
        <v>0</v>
      </c>
      <c r="U175" s="31">
        <f t="shared" ca="1" si="36"/>
        <v>0</v>
      </c>
      <c r="V175" s="31">
        <f t="shared" ca="1" si="36"/>
        <v>0</v>
      </c>
      <c r="W175" s="31">
        <f t="shared" ca="1" si="36"/>
        <v>0</v>
      </c>
      <c r="X175" s="31">
        <f t="shared" ca="1" si="36"/>
        <v>0</v>
      </c>
      <c r="Y175" s="31">
        <f t="shared" ca="1" si="36"/>
        <v>0</v>
      </c>
      <c r="Z175" s="31">
        <f t="shared" ca="1" si="36"/>
        <v>0</v>
      </c>
      <c r="AA175" s="31">
        <f t="shared" ca="1" si="36"/>
        <v>0</v>
      </c>
      <c r="AB175" s="31">
        <f t="shared" ca="1" si="36"/>
        <v>0</v>
      </c>
      <c r="AC175" s="31">
        <f t="shared" ca="1" si="36"/>
        <v>0</v>
      </c>
      <c r="AD175" s="31">
        <f t="shared" ca="1" si="36"/>
        <v>0</v>
      </c>
      <c r="AE175" s="31">
        <f t="shared" ca="1" si="36"/>
        <v>0</v>
      </c>
      <c r="AF175" s="31">
        <f t="shared" ca="1" si="36"/>
        <v>0</v>
      </c>
      <c r="AG175" s="31">
        <f t="shared" ref="AG175" ca="1" si="37">IF(AG105&lt;&gt;"",SUM(AG168:AG173),"")</f>
        <v>0</v>
      </c>
    </row>
    <row r="176" spans="1:33" ht="14.65" thickTop="1" x14ac:dyDescent="0.45"/>
    <row r="177" spans="1:33" ht="15.75" customHeight="1" x14ac:dyDescent="0.45">
      <c r="B177" s="6"/>
      <c r="C177" s="6">
        <v>2021</v>
      </c>
      <c r="D177" s="6">
        <v>2022</v>
      </c>
      <c r="E177" s="6">
        <v>2023</v>
      </c>
      <c r="F177" s="6">
        <v>2024</v>
      </c>
      <c r="G177" s="6">
        <v>2025</v>
      </c>
      <c r="H177" s="6">
        <v>2026</v>
      </c>
      <c r="I177" s="6">
        <v>2027</v>
      </c>
      <c r="J177" s="6">
        <v>2028</v>
      </c>
      <c r="K177" s="6">
        <v>2029</v>
      </c>
      <c r="L177" s="6">
        <v>2030</v>
      </c>
      <c r="M177" s="6">
        <v>2031</v>
      </c>
      <c r="N177" s="6">
        <v>2032</v>
      </c>
      <c r="O177" s="6">
        <v>2033</v>
      </c>
      <c r="P177" s="6">
        <v>2034</v>
      </c>
      <c r="Q177" s="6">
        <v>2035</v>
      </c>
      <c r="R177" s="6">
        <v>2036</v>
      </c>
      <c r="S177" s="6">
        <v>2037</v>
      </c>
      <c r="T177" s="6">
        <v>2038</v>
      </c>
      <c r="U177" s="6">
        <v>2039</v>
      </c>
      <c r="V177" s="6">
        <v>2040</v>
      </c>
      <c r="W177" s="6">
        <v>2041</v>
      </c>
      <c r="X177" s="6">
        <v>2042</v>
      </c>
      <c r="Y177" s="6">
        <v>2043</v>
      </c>
      <c r="Z177" s="6">
        <v>2044</v>
      </c>
      <c r="AA177" s="6">
        <v>2045</v>
      </c>
      <c r="AB177" s="6">
        <v>2046</v>
      </c>
      <c r="AC177" s="6">
        <v>2047</v>
      </c>
      <c r="AD177" s="6">
        <v>2048</v>
      </c>
      <c r="AE177" s="6">
        <v>2049</v>
      </c>
      <c r="AF177" s="6">
        <v>2050</v>
      </c>
      <c r="AG177" s="6">
        <v>2051</v>
      </c>
    </row>
    <row r="178" spans="1:33" x14ac:dyDescent="0.45">
      <c r="A178" t="s">
        <v>274</v>
      </c>
      <c r="B178" s="21" t="s">
        <v>82</v>
      </c>
      <c r="C178" s="28">
        <f ca="1">IFERROR(SUMIFS(Energy[2021_TWh],Energy[[Sector]:[Sector]],$A$178, Energy[[Fuel_category]:[Fuel_category]],$B178),"")</f>
        <v>0</v>
      </c>
      <c r="D178" s="28">
        <f ca="1">IFERROR(SUMIFS(Energy[2022_TWh],Energy[[Sector]:[Sector]],$A$178, Energy[[Fuel_category]:[Fuel_category]],$B178),"")</f>
        <v>0</v>
      </c>
      <c r="E178" s="28">
        <f ca="1">IFERROR(SUMIFS(Energy[2023_TWh],Energy[[Sector]:[Sector]],$A$178, Energy[[Fuel_category]:[Fuel_category]],$B178),"")</f>
        <v>0</v>
      </c>
      <c r="F178" s="28">
        <f ca="1">IFERROR(SUMIFS(Energy[2024_TWh],Energy[[Sector]:[Sector]],$A$178, Energy[[Fuel_category]:[Fuel_category]],$B178),"")</f>
        <v>0</v>
      </c>
      <c r="G178" s="28">
        <f ca="1">IFERROR(SUMIFS(Energy[2025_TWh],Energy[[Sector]:[Sector]],$A$178, Energy[[Fuel_category]:[Fuel_category]],$B178),"")</f>
        <v>0</v>
      </c>
      <c r="H178" s="28">
        <f ca="1">IFERROR(SUMIFS(Energy[2026_TWh],Energy[[Sector]:[Sector]],$A$178, Energy[[Fuel_category]:[Fuel_category]],$B178),"")</f>
        <v>0</v>
      </c>
      <c r="I178" s="28">
        <f ca="1">IFERROR(SUMIFS(Energy[2027_TWh],Energy[[Sector]:[Sector]],$A$178, Energy[[Fuel_category]:[Fuel_category]],$B178),"")</f>
        <v>0</v>
      </c>
      <c r="J178" s="28">
        <f ca="1">IFERROR(SUMIFS(Energy[2028_TWh],Energy[[Sector]:[Sector]],$A$178, Energy[[Fuel_category]:[Fuel_category]],$B178),"")</f>
        <v>0</v>
      </c>
      <c r="K178" s="28">
        <f ca="1">IFERROR(SUMIFS(Energy[2029_TWh],Energy[[Sector]:[Sector]],$A$178, Energy[[Fuel_category]:[Fuel_category]],$B178),"")</f>
        <v>0</v>
      </c>
      <c r="L178" s="28">
        <f ca="1">IFERROR(SUMIFS(Energy[2030_TWh],Energy[[Sector]:[Sector]],$A$178, Energy[[Fuel_category]:[Fuel_category]],$B178),"")</f>
        <v>0</v>
      </c>
      <c r="M178" s="28">
        <f ca="1">IFERROR(SUMIFS(Energy[2031_TWh],Energy[[Sector]:[Sector]],$A$178, Energy[[Fuel_category]:[Fuel_category]],$B178),"")</f>
        <v>0</v>
      </c>
      <c r="N178" s="28">
        <f ca="1">IFERROR(SUMIFS(Energy[2032_TWh],Energy[[Sector]:[Sector]],$A$178, Energy[[Fuel_category]:[Fuel_category]],$B178),"")</f>
        <v>0</v>
      </c>
      <c r="O178" s="28">
        <f ca="1">IFERROR(SUMIFS(Energy[2033_TWh],Energy[[Sector]:[Sector]],$A$178, Energy[[Fuel_category]:[Fuel_category]],$B178),"")</f>
        <v>0</v>
      </c>
      <c r="P178" s="28">
        <f ca="1">IFERROR(SUMIFS(Energy[2034_TWh],Energy[[Sector]:[Sector]],$A$178, Energy[[Fuel_category]:[Fuel_category]],$B178),"")</f>
        <v>0</v>
      </c>
      <c r="Q178" s="28">
        <f ca="1">IFERROR(SUMIFS(Energy[2035_TWh],Energy[[Sector]:[Sector]],$A$178, Energy[[Fuel_category]:[Fuel_category]],$B178),"")</f>
        <v>0</v>
      </c>
      <c r="R178" s="28">
        <f ca="1">IFERROR(SUMIFS(Energy[2036_TWh],Energy[[Sector]:[Sector]],$A$178, Energy[[Fuel_category]:[Fuel_category]],$B178),"")</f>
        <v>0</v>
      </c>
      <c r="S178" s="28">
        <f ca="1">IFERROR(SUMIFS(Energy[2037_TWh],Energy[[Sector]:[Sector]],$A$178, Energy[[Fuel_category]:[Fuel_category]],$B178),"")</f>
        <v>0</v>
      </c>
      <c r="T178" s="28">
        <f ca="1">IFERROR(SUMIFS(Energy[2038_TWh],Energy[[Sector]:[Sector]],$A$178, Energy[[Fuel_category]:[Fuel_category]],$B178),"")</f>
        <v>0</v>
      </c>
      <c r="U178" s="28">
        <f ca="1">IFERROR(SUMIFS(Energy[2039_TWh],Energy[[Sector]:[Sector]],$A$178, Energy[[Fuel_category]:[Fuel_category]],$B178),"")</f>
        <v>0</v>
      </c>
      <c r="V178" s="28">
        <f ca="1">IFERROR(SUMIFS(Energy[2040_TWh],Energy[[Sector]:[Sector]],$A$178, Energy[[Fuel_category]:[Fuel_category]],$B178),"")</f>
        <v>0</v>
      </c>
      <c r="W178" s="28">
        <f ca="1">IFERROR(SUMIFS(Energy[2041_TWh],Energy[[Sector]:[Sector]],$A$178, Energy[[Fuel_category]:[Fuel_category]],$B178),"")</f>
        <v>0</v>
      </c>
      <c r="X178" s="28">
        <f ca="1">IFERROR(SUMIFS(Energy[2042_TWh],Energy[[Sector]:[Sector]],$A$178, Energy[[Fuel_category]:[Fuel_category]],$B178),"")</f>
        <v>0</v>
      </c>
      <c r="Y178" s="28">
        <f ca="1">IFERROR(SUMIFS(Energy[2043_TWh],Energy[[Sector]:[Sector]],$A$178, Energy[[Fuel_category]:[Fuel_category]],$B178),"")</f>
        <v>0</v>
      </c>
      <c r="Z178" s="28">
        <f ca="1">IFERROR(SUMIFS(Energy[2044_TWh],Energy[[Sector]:[Sector]],$A$178, Energy[[Fuel_category]:[Fuel_category]],$B178),"")</f>
        <v>0</v>
      </c>
      <c r="AA178" s="28">
        <f ca="1">IFERROR(SUMIFS(Energy[2045_TWh],Energy[[Sector]:[Sector]],$A$178, Energy[[Fuel_category]:[Fuel_category]],$B178),"")</f>
        <v>0</v>
      </c>
      <c r="AB178" s="28">
        <f ca="1">IFERROR(SUMIFS(Energy[2046_TWh],Energy[[Sector]:[Sector]],$A$178, Energy[[Fuel_category]:[Fuel_category]],$B178),"")</f>
        <v>0</v>
      </c>
      <c r="AC178" s="28">
        <f ca="1">IFERROR(SUMIFS(Energy[2047_TWh],Energy[[Sector]:[Sector]],$A$178, Energy[[Fuel_category]:[Fuel_category]],$B178),"")</f>
        <v>0</v>
      </c>
      <c r="AD178" s="28">
        <f ca="1">IFERROR(SUMIFS(Energy[2048_TWh],Energy[[Sector]:[Sector]],$A$178, Energy[[Fuel_category]:[Fuel_category]],$B178),"")</f>
        <v>0</v>
      </c>
      <c r="AE178" s="28">
        <f ca="1">IFERROR(SUMIFS(Energy[2049_TWh],Energy[[Sector]:[Sector]],$A$178, Energy[[Fuel_category]:[Fuel_category]],$B178),"")</f>
        <v>0</v>
      </c>
      <c r="AF178" s="28">
        <f ca="1">IFERROR(SUMIFS(Energy[2050_TWh],Energy[[Sector]:[Sector]],$A$178, Energy[[Fuel_category]:[Fuel_category]],$B178),"")</f>
        <v>0</v>
      </c>
      <c r="AG178" s="28">
        <f ca="1">IFERROR(SUMIFS(Energy[2051_TWh],Energy[[Sector]:[Sector]],$A$178, Energy[[Fuel_category]:[Fuel_category]],$B178),"")</f>
        <v>0</v>
      </c>
    </row>
    <row r="179" spans="1:33" x14ac:dyDescent="0.45">
      <c r="B179" s="21" t="s">
        <v>83</v>
      </c>
      <c r="C179" s="28">
        <f ca="1">IFERROR(SUMIFS(Energy[2021_TWh],Energy[[Sector]:[Sector]],$A$178, Energy[[Fuel_category]:[Fuel_category]],$B179),"")</f>
        <v>0</v>
      </c>
      <c r="D179" s="28">
        <f ca="1">IFERROR(SUMIFS(Energy[2022_TWh],Energy[[Sector]:[Sector]],$A$178, Energy[[Fuel_category]:[Fuel_category]],$B179),"")</f>
        <v>0</v>
      </c>
      <c r="E179" s="28">
        <f ca="1">IFERROR(SUMIFS(Energy[2023_TWh],Energy[[Sector]:[Sector]],$A$178, Energy[[Fuel_category]:[Fuel_category]],$B179),"")</f>
        <v>0</v>
      </c>
      <c r="F179" s="28">
        <f ca="1">IFERROR(SUMIFS(Energy[2024_TWh],Energy[[Sector]:[Sector]],$A$178, Energy[[Fuel_category]:[Fuel_category]],$B179),"")</f>
        <v>0</v>
      </c>
      <c r="G179" s="28">
        <f ca="1">IFERROR(SUMIFS(Energy[2025_TWh],Energy[[Sector]:[Sector]],$A$178, Energy[[Fuel_category]:[Fuel_category]],$B179),"")</f>
        <v>0</v>
      </c>
      <c r="H179" s="28">
        <f ca="1">IFERROR(SUMIFS(Energy[2026_TWh],Energy[[Sector]:[Sector]],$A$178, Energy[[Fuel_category]:[Fuel_category]],$B179),"")</f>
        <v>0</v>
      </c>
      <c r="I179" s="28">
        <f ca="1">IFERROR(SUMIFS(Energy[2027_TWh],Energy[[Sector]:[Sector]],$A$178, Energy[[Fuel_category]:[Fuel_category]],$B179),"")</f>
        <v>0</v>
      </c>
      <c r="J179" s="28">
        <f ca="1">IFERROR(SUMIFS(Energy[2028_TWh],Energy[[Sector]:[Sector]],$A$178, Energy[[Fuel_category]:[Fuel_category]],$B179),"")</f>
        <v>0</v>
      </c>
      <c r="K179" s="28">
        <f ca="1">IFERROR(SUMIFS(Energy[2029_TWh],Energy[[Sector]:[Sector]],$A$178, Energy[[Fuel_category]:[Fuel_category]],$B179),"")</f>
        <v>0</v>
      </c>
      <c r="L179" s="28">
        <f ca="1">IFERROR(SUMIFS(Energy[2030_TWh],Energy[[Sector]:[Sector]],$A$178, Energy[[Fuel_category]:[Fuel_category]],$B179),"")</f>
        <v>0</v>
      </c>
      <c r="M179" s="28">
        <f ca="1">IFERROR(SUMIFS(Energy[2031_TWh],Energy[[Sector]:[Sector]],$A$178, Energy[[Fuel_category]:[Fuel_category]],$B179),"")</f>
        <v>0</v>
      </c>
      <c r="N179" s="28">
        <f ca="1">IFERROR(SUMIFS(Energy[2032_TWh],Energy[[Sector]:[Sector]],$A$178, Energy[[Fuel_category]:[Fuel_category]],$B179),"")</f>
        <v>0</v>
      </c>
      <c r="O179" s="28">
        <f ca="1">IFERROR(SUMIFS(Energy[2033_TWh],Energy[[Sector]:[Sector]],$A$178, Energy[[Fuel_category]:[Fuel_category]],$B179),"")</f>
        <v>0</v>
      </c>
      <c r="P179" s="28">
        <f ca="1">IFERROR(SUMIFS(Energy[2034_TWh],Energy[[Sector]:[Sector]],$A$178, Energy[[Fuel_category]:[Fuel_category]],$B179),"")</f>
        <v>0</v>
      </c>
      <c r="Q179" s="28">
        <f ca="1">IFERROR(SUMIFS(Energy[2035_TWh],Energy[[Sector]:[Sector]],$A$178, Energy[[Fuel_category]:[Fuel_category]],$B179),"")</f>
        <v>0</v>
      </c>
      <c r="R179" s="28">
        <f ca="1">IFERROR(SUMIFS(Energy[2036_TWh],Energy[[Sector]:[Sector]],$A$178, Energy[[Fuel_category]:[Fuel_category]],$B179),"")</f>
        <v>0</v>
      </c>
      <c r="S179" s="28">
        <f ca="1">IFERROR(SUMIFS(Energy[2037_TWh],Energy[[Sector]:[Sector]],$A$178, Energy[[Fuel_category]:[Fuel_category]],$B179),"")</f>
        <v>0</v>
      </c>
      <c r="T179" s="28">
        <f ca="1">IFERROR(SUMIFS(Energy[2038_TWh],Energy[[Sector]:[Sector]],$A$178, Energy[[Fuel_category]:[Fuel_category]],$B179),"")</f>
        <v>0</v>
      </c>
      <c r="U179" s="28">
        <f ca="1">IFERROR(SUMIFS(Energy[2039_TWh],Energy[[Sector]:[Sector]],$A$178, Energy[[Fuel_category]:[Fuel_category]],$B179),"")</f>
        <v>0</v>
      </c>
      <c r="V179" s="28">
        <f ca="1">IFERROR(SUMIFS(Energy[2040_TWh],Energy[[Sector]:[Sector]],$A$178, Energy[[Fuel_category]:[Fuel_category]],$B179),"")</f>
        <v>0</v>
      </c>
      <c r="W179" s="28">
        <f ca="1">IFERROR(SUMIFS(Energy[2041_TWh],Energy[[Sector]:[Sector]],$A$178, Energy[[Fuel_category]:[Fuel_category]],$B179),"")</f>
        <v>0</v>
      </c>
      <c r="X179" s="28">
        <f ca="1">IFERROR(SUMIFS(Energy[2042_TWh],Energy[[Sector]:[Sector]],$A$178, Energy[[Fuel_category]:[Fuel_category]],$B179),"")</f>
        <v>0</v>
      </c>
      <c r="Y179" s="28">
        <f ca="1">IFERROR(SUMIFS(Energy[2043_TWh],Energy[[Sector]:[Sector]],$A$178, Energy[[Fuel_category]:[Fuel_category]],$B179),"")</f>
        <v>0</v>
      </c>
      <c r="Z179" s="28">
        <f ca="1">IFERROR(SUMIFS(Energy[2044_TWh],Energy[[Sector]:[Sector]],$A$178, Energy[[Fuel_category]:[Fuel_category]],$B179),"")</f>
        <v>0</v>
      </c>
      <c r="AA179" s="28">
        <f ca="1">IFERROR(SUMIFS(Energy[2045_TWh],Energy[[Sector]:[Sector]],$A$178, Energy[[Fuel_category]:[Fuel_category]],$B179),"")</f>
        <v>0</v>
      </c>
      <c r="AB179" s="28">
        <f ca="1">IFERROR(SUMIFS(Energy[2046_TWh],Energy[[Sector]:[Sector]],$A$178, Energy[[Fuel_category]:[Fuel_category]],$B179),"")</f>
        <v>0</v>
      </c>
      <c r="AC179" s="28">
        <f ca="1">IFERROR(SUMIFS(Energy[2047_TWh],Energy[[Sector]:[Sector]],$A$178, Energy[[Fuel_category]:[Fuel_category]],$B179),"")</f>
        <v>0</v>
      </c>
      <c r="AD179" s="28">
        <f ca="1">IFERROR(SUMIFS(Energy[2048_TWh],Energy[[Sector]:[Sector]],$A$178, Energy[[Fuel_category]:[Fuel_category]],$B179),"")</f>
        <v>0</v>
      </c>
      <c r="AE179" s="28">
        <f ca="1">IFERROR(SUMIFS(Energy[2049_TWh],Energy[[Sector]:[Sector]],$A$178, Energy[[Fuel_category]:[Fuel_category]],$B179),"")</f>
        <v>0</v>
      </c>
      <c r="AF179" s="28">
        <f ca="1">IFERROR(SUMIFS(Energy[2050_TWh],Energy[[Sector]:[Sector]],$A$178, Energy[[Fuel_category]:[Fuel_category]],$B179),"")</f>
        <v>0</v>
      </c>
      <c r="AG179" s="28">
        <f ca="1">IFERROR(SUMIFS(Energy[2051_TWh],Energy[[Sector]:[Sector]],$A$178, Energy[[Fuel_category]:[Fuel_category]],$B179),"")</f>
        <v>0</v>
      </c>
    </row>
    <row r="180" spans="1:33" x14ac:dyDescent="0.45">
      <c r="B180" s="21" t="s">
        <v>67</v>
      </c>
      <c r="C180" s="28">
        <f ca="1">IFERROR(SUMIFS(Energy[2021_TWh],Energy[[Sector]:[Sector]],$A$178, Energy[[Fuel_category]:[Fuel_category]],$B180),"")</f>
        <v>0</v>
      </c>
      <c r="D180" s="28">
        <f ca="1">IFERROR(SUMIFS(Energy[2022_TWh],Energy[[Sector]:[Sector]],$A$178, Energy[[Fuel_category]:[Fuel_category]],$B180),"")</f>
        <v>0</v>
      </c>
      <c r="E180" s="28">
        <f ca="1">IFERROR(SUMIFS(Energy[2023_TWh],Energy[[Sector]:[Sector]],$A$178, Energy[[Fuel_category]:[Fuel_category]],$B180),"")</f>
        <v>0</v>
      </c>
      <c r="F180" s="28">
        <f ca="1">IFERROR(SUMIFS(Energy[2024_TWh],Energy[[Sector]:[Sector]],$A$178, Energy[[Fuel_category]:[Fuel_category]],$B180),"")</f>
        <v>0</v>
      </c>
      <c r="G180" s="28">
        <f ca="1">IFERROR(SUMIFS(Energy[2025_TWh],Energy[[Sector]:[Sector]],$A$178, Energy[[Fuel_category]:[Fuel_category]],$B180),"")</f>
        <v>0</v>
      </c>
      <c r="H180" s="28">
        <f ca="1">IFERROR(SUMIFS(Energy[2026_TWh],Energy[[Sector]:[Sector]],$A$178, Energy[[Fuel_category]:[Fuel_category]],$B180),"")</f>
        <v>0</v>
      </c>
      <c r="I180" s="28">
        <f ca="1">IFERROR(SUMIFS(Energy[2027_TWh],Energy[[Sector]:[Sector]],$A$178, Energy[[Fuel_category]:[Fuel_category]],$B180),"")</f>
        <v>0</v>
      </c>
      <c r="J180" s="28">
        <f ca="1">IFERROR(SUMIFS(Energy[2028_TWh],Energy[[Sector]:[Sector]],$A$178, Energy[[Fuel_category]:[Fuel_category]],$B180),"")</f>
        <v>0</v>
      </c>
      <c r="K180" s="28">
        <f ca="1">IFERROR(SUMIFS(Energy[2029_TWh],Energy[[Sector]:[Sector]],$A$178, Energy[[Fuel_category]:[Fuel_category]],$B180),"")</f>
        <v>0</v>
      </c>
      <c r="L180" s="28">
        <f ca="1">IFERROR(SUMIFS(Energy[2030_TWh],Energy[[Sector]:[Sector]],$A$178, Energy[[Fuel_category]:[Fuel_category]],$B180),"")</f>
        <v>0</v>
      </c>
      <c r="M180" s="28">
        <f ca="1">IFERROR(SUMIFS(Energy[2031_TWh],Energy[[Sector]:[Sector]],$A$178, Energy[[Fuel_category]:[Fuel_category]],$B180),"")</f>
        <v>0</v>
      </c>
      <c r="N180" s="28">
        <f ca="1">IFERROR(SUMIFS(Energy[2032_TWh],Energy[[Sector]:[Sector]],$A$178, Energy[[Fuel_category]:[Fuel_category]],$B180),"")</f>
        <v>0</v>
      </c>
      <c r="O180" s="28">
        <f ca="1">IFERROR(SUMIFS(Energy[2033_TWh],Energy[[Sector]:[Sector]],$A$178, Energy[[Fuel_category]:[Fuel_category]],$B180),"")</f>
        <v>0</v>
      </c>
      <c r="P180" s="28">
        <f ca="1">IFERROR(SUMIFS(Energy[2034_TWh],Energy[[Sector]:[Sector]],$A$178, Energy[[Fuel_category]:[Fuel_category]],$B180),"")</f>
        <v>0</v>
      </c>
      <c r="Q180" s="28">
        <f ca="1">IFERROR(SUMIFS(Energy[2035_TWh],Energy[[Sector]:[Sector]],$A$178, Energy[[Fuel_category]:[Fuel_category]],$B180),"")</f>
        <v>0</v>
      </c>
      <c r="R180" s="28">
        <f ca="1">IFERROR(SUMIFS(Energy[2036_TWh],Energy[[Sector]:[Sector]],$A$178, Energy[[Fuel_category]:[Fuel_category]],$B180),"")</f>
        <v>0</v>
      </c>
      <c r="S180" s="28">
        <f ca="1">IFERROR(SUMIFS(Energy[2037_TWh],Energy[[Sector]:[Sector]],$A$178, Energy[[Fuel_category]:[Fuel_category]],$B180),"")</f>
        <v>0</v>
      </c>
      <c r="T180" s="28">
        <f ca="1">IFERROR(SUMIFS(Energy[2038_TWh],Energy[[Sector]:[Sector]],$A$178, Energy[[Fuel_category]:[Fuel_category]],$B180),"")</f>
        <v>0</v>
      </c>
      <c r="U180" s="28">
        <f ca="1">IFERROR(SUMIFS(Energy[2039_TWh],Energy[[Sector]:[Sector]],$A$178, Energy[[Fuel_category]:[Fuel_category]],$B180),"")</f>
        <v>0</v>
      </c>
      <c r="V180" s="28">
        <f ca="1">IFERROR(SUMIFS(Energy[2040_TWh],Energy[[Sector]:[Sector]],$A$178, Energy[[Fuel_category]:[Fuel_category]],$B180),"")</f>
        <v>0</v>
      </c>
      <c r="W180" s="28">
        <f ca="1">IFERROR(SUMIFS(Energy[2041_TWh],Energy[[Sector]:[Sector]],$A$178, Energy[[Fuel_category]:[Fuel_category]],$B180),"")</f>
        <v>0</v>
      </c>
      <c r="X180" s="28">
        <f ca="1">IFERROR(SUMIFS(Energy[2042_TWh],Energy[[Sector]:[Sector]],$A$178, Energy[[Fuel_category]:[Fuel_category]],$B180),"")</f>
        <v>0</v>
      </c>
      <c r="Y180" s="28">
        <f ca="1">IFERROR(SUMIFS(Energy[2043_TWh],Energy[[Sector]:[Sector]],$A$178, Energy[[Fuel_category]:[Fuel_category]],$B180),"")</f>
        <v>0</v>
      </c>
      <c r="Z180" s="28">
        <f ca="1">IFERROR(SUMIFS(Energy[2044_TWh],Energy[[Sector]:[Sector]],$A$178, Energy[[Fuel_category]:[Fuel_category]],$B180),"")</f>
        <v>0</v>
      </c>
      <c r="AA180" s="28">
        <f ca="1">IFERROR(SUMIFS(Energy[2045_TWh],Energy[[Sector]:[Sector]],$A$178, Energy[[Fuel_category]:[Fuel_category]],$B180),"")</f>
        <v>0</v>
      </c>
      <c r="AB180" s="28">
        <f ca="1">IFERROR(SUMIFS(Energy[2046_TWh],Energy[[Sector]:[Sector]],$A$178, Energy[[Fuel_category]:[Fuel_category]],$B180),"")</f>
        <v>0</v>
      </c>
      <c r="AC180" s="28">
        <f ca="1">IFERROR(SUMIFS(Energy[2047_TWh],Energy[[Sector]:[Sector]],$A$178, Energy[[Fuel_category]:[Fuel_category]],$B180),"")</f>
        <v>0</v>
      </c>
      <c r="AD180" s="28">
        <f ca="1">IFERROR(SUMIFS(Energy[2048_TWh],Energy[[Sector]:[Sector]],$A$178, Energy[[Fuel_category]:[Fuel_category]],$B180),"")</f>
        <v>0</v>
      </c>
      <c r="AE180" s="28">
        <f ca="1">IFERROR(SUMIFS(Energy[2049_TWh],Energy[[Sector]:[Sector]],$A$178, Energy[[Fuel_category]:[Fuel_category]],$B180),"")</f>
        <v>0</v>
      </c>
      <c r="AF180" s="28">
        <f ca="1">IFERROR(SUMIFS(Energy[2050_TWh],Energy[[Sector]:[Sector]],$A$178, Energy[[Fuel_category]:[Fuel_category]],$B180),"")</f>
        <v>0</v>
      </c>
      <c r="AG180" s="28">
        <f ca="1">IFERROR(SUMIFS(Energy[2051_TWh],Energy[[Sector]:[Sector]],$A$178, Energy[[Fuel_category]:[Fuel_category]],$B180),"")</f>
        <v>0</v>
      </c>
    </row>
    <row r="181" spans="1:33" x14ac:dyDescent="0.45">
      <c r="B181" s="21" t="s">
        <v>35</v>
      </c>
      <c r="C181" s="28">
        <f ca="1">IFERROR(SUMIFS(Energy[2021_TWh],Energy[[Sector]:[Sector]],$A$178, Energy[[Fuel_category]:[Fuel_category]],$B181),"")</f>
        <v>0</v>
      </c>
      <c r="D181" s="28">
        <f ca="1">IFERROR(SUMIFS(Energy[2022_TWh],Energy[[Sector]:[Sector]],$A$178, Energy[[Fuel_category]:[Fuel_category]],$B181),"")</f>
        <v>0</v>
      </c>
      <c r="E181" s="28">
        <f ca="1">IFERROR(SUMIFS(Energy[2023_TWh],Energy[[Sector]:[Sector]],$A$178, Energy[[Fuel_category]:[Fuel_category]],$B181),"")</f>
        <v>0</v>
      </c>
      <c r="F181" s="28">
        <f ca="1">IFERROR(SUMIFS(Energy[2024_TWh],Energy[[Sector]:[Sector]],$A$178, Energy[[Fuel_category]:[Fuel_category]],$B181),"")</f>
        <v>0</v>
      </c>
      <c r="G181" s="28">
        <f ca="1">IFERROR(SUMIFS(Energy[2025_TWh],Energy[[Sector]:[Sector]],$A$178, Energy[[Fuel_category]:[Fuel_category]],$B181),"")</f>
        <v>0</v>
      </c>
      <c r="H181" s="28">
        <f ca="1">IFERROR(SUMIFS(Energy[2026_TWh],Energy[[Sector]:[Sector]],$A$178, Energy[[Fuel_category]:[Fuel_category]],$B181),"")</f>
        <v>0</v>
      </c>
      <c r="I181" s="28">
        <f ca="1">IFERROR(SUMIFS(Energy[2027_TWh],Energy[[Sector]:[Sector]],$A$178, Energy[[Fuel_category]:[Fuel_category]],$B181),"")</f>
        <v>0</v>
      </c>
      <c r="J181" s="28">
        <f ca="1">IFERROR(SUMIFS(Energy[2028_TWh],Energy[[Sector]:[Sector]],$A$178, Energy[[Fuel_category]:[Fuel_category]],$B181),"")</f>
        <v>0</v>
      </c>
      <c r="K181" s="28">
        <f ca="1">IFERROR(SUMIFS(Energy[2029_TWh],Energy[[Sector]:[Sector]],$A$178, Energy[[Fuel_category]:[Fuel_category]],$B181),"")</f>
        <v>0</v>
      </c>
      <c r="L181" s="28">
        <f ca="1">IFERROR(SUMIFS(Energy[2030_TWh],Energy[[Sector]:[Sector]],$A$178, Energy[[Fuel_category]:[Fuel_category]],$B181),"")</f>
        <v>0</v>
      </c>
      <c r="M181" s="28">
        <f ca="1">IFERROR(SUMIFS(Energy[2031_TWh],Energy[[Sector]:[Sector]],$A$178, Energy[[Fuel_category]:[Fuel_category]],$B181),"")</f>
        <v>0</v>
      </c>
      <c r="N181" s="28">
        <f ca="1">IFERROR(SUMIFS(Energy[2032_TWh],Energy[[Sector]:[Sector]],$A$178, Energy[[Fuel_category]:[Fuel_category]],$B181),"")</f>
        <v>0</v>
      </c>
      <c r="O181" s="28">
        <f ca="1">IFERROR(SUMIFS(Energy[2033_TWh],Energy[[Sector]:[Sector]],$A$178, Energy[[Fuel_category]:[Fuel_category]],$B181),"")</f>
        <v>0</v>
      </c>
      <c r="P181" s="28">
        <f ca="1">IFERROR(SUMIFS(Energy[2034_TWh],Energy[[Sector]:[Sector]],$A$178, Energy[[Fuel_category]:[Fuel_category]],$B181),"")</f>
        <v>0</v>
      </c>
      <c r="Q181" s="28">
        <f ca="1">IFERROR(SUMIFS(Energy[2035_TWh],Energy[[Sector]:[Sector]],$A$178, Energy[[Fuel_category]:[Fuel_category]],$B181),"")</f>
        <v>0</v>
      </c>
      <c r="R181" s="28">
        <f ca="1">IFERROR(SUMIFS(Energy[2036_TWh],Energy[[Sector]:[Sector]],$A$178, Energy[[Fuel_category]:[Fuel_category]],$B181),"")</f>
        <v>0</v>
      </c>
      <c r="S181" s="28">
        <f ca="1">IFERROR(SUMIFS(Energy[2037_TWh],Energy[[Sector]:[Sector]],$A$178, Energy[[Fuel_category]:[Fuel_category]],$B181),"")</f>
        <v>0</v>
      </c>
      <c r="T181" s="28">
        <f ca="1">IFERROR(SUMIFS(Energy[2038_TWh],Energy[[Sector]:[Sector]],$A$178, Energy[[Fuel_category]:[Fuel_category]],$B181),"")</f>
        <v>0</v>
      </c>
      <c r="U181" s="28">
        <f ca="1">IFERROR(SUMIFS(Energy[2039_TWh],Energy[[Sector]:[Sector]],$A$178, Energy[[Fuel_category]:[Fuel_category]],$B181),"")</f>
        <v>0</v>
      </c>
      <c r="V181" s="28">
        <f ca="1">IFERROR(SUMIFS(Energy[2040_TWh],Energy[[Sector]:[Sector]],$A$178, Energy[[Fuel_category]:[Fuel_category]],$B181),"")</f>
        <v>0</v>
      </c>
      <c r="W181" s="28">
        <f ca="1">IFERROR(SUMIFS(Energy[2041_TWh],Energy[[Sector]:[Sector]],$A$178, Energy[[Fuel_category]:[Fuel_category]],$B181),"")</f>
        <v>0</v>
      </c>
      <c r="X181" s="28">
        <f ca="1">IFERROR(SUMIFS(Energy[2042_TWh],Energy[[Sector]:[Sector]],$A$178, Energy[[Fuel_category]:[Fuel_category]],$B181),"")</f>
        <v>0</v>
      </c>
      <c r="Y181" s="28">
        <f ca="1">IFERROR(SUMIFS(Energy[2043_TWh],Energy[[Sector]:[Sector]],$A$178, Energy[[Fuel_category]:[Fuel_category]],$B181),"")</f>
        <v>0</v>
      </c>
      <c r="Z181" s="28">
        <f ca="1">IFERROR(SUMIFS(Energy[2044_TWh],Energy[[Sector]:[Sector]],$A$178, Energy[[Fuel_category]:[Fuel_category]],$B181),"")</f>
        <v>0</v>
      </c>
      <c r="AA181" s="28">
        <f ca="1">IFERROR(SUMIFS(Energy[2045_TWh],Energy[[Sector]:[Sector]],$A$178, Energy[[Fuel_category]:[Fuel_category]],$B181),"")</f>
        <v>0</v>
      </c>
      <c r="AB181" s="28">
        <f ca="1">IFERROR(SUMIFS(Energy[2046_TWh],Energy[[Sector]:[Sector]],$A$178, Energy[[Fuel_category]:[Fuel_category]],$B181),"")</f>
        <v>0</v>
      </c>
      <c r="AC181" s="28">
        <f ca="1">IFERROR(SUMIFS(Energy[2047_TWh],Energy[[Sector]:[Sector]],$A$178, Energy[[Fuel_category]:[Fuel_category]],$B181),"")</f>
        <v>0</v>
      </c>
      <c r="AD181" s="28">
        <f ca="1">IFERROR(SUMIFS(Energy[2048_TWh],Energy[[Sector]:[Sector]],$A$178, Energy[[Fuel_category]:[Fuel_category]],$B181),"")</f>
        <v>0</v>
      </c>
      <c r="AE181" s="28">
        <f ca="1">IFERROR(SUMIFS(Energy[2049_TWh],Energy[[Sector]:[Sector]],$A$178, Energy[[Fuel_category]:[Fuel_category]],$B181),"")</f>
        <v>0</v>
      </c>
      <c r="AF181" s="28">
        <f ca="1">IFERROR(SUMIFS(Energy[2050_TWh],Energy[[Sector]:[Sector]],$A$178, Energy[[Fuel_category]:[Fuel_category]],$B181),"")</f>
        <v>0</v>
      </c>
      <c r="AG181" s="28">
        <f ca="1">IFERROR(SUMIFS(Energy[2051_TWh],Energy[[Sector]:[Sector]],$A$178, Energy[[Fuel_category]:[Fuel_category]],$B181),"")</f>
        <v>0</v>
      </c>
    </row>
    <row r="182" spans="1:33" x14ac:dyDescent="0.45">
      <c r="B182" s="21" t="s">
        <v>26</v>
      </c>
      <c r="C182" s="28">
        <f ca="1">IFERROR(SUMIFS(Energy[2021_TWh],Energy[[Sector]:[Sector]],$A$178, Energy[[Fuel_category]:[Fuel_category]],$B182),"")</f>
        <v>0</v>
      </c>
      <c r="D182" s="28">
        <f ca="1">IFERROR(SUMIFS(Energy[2022_TWh],Energy[[Sector]:[Sector]],$A$178, Energy[[Fuel_category]:[Fuel_category]],$B182),"")</f>
        <v>0</v>
      </c>
      <c r="E182" s="28">
        <f ca="1">IFERROR(SUMIFS(Energy[2023_TWh],Energy[[Sector]:[Sector]],$A$178, Energy[[Fuel_category]:[Fuel_category]],$B182),"")</f>
        <v>0</v>
      </c>
      <c r="F182" s="28">
        <f ca="1">IFERROR(SUMIFS(Energy[2024_TWh],Energy[[Sector]:[Sector]],$A$178, Energy[[Fuel_category]:[Fuel_category]],$B182),"")</f>
        <v>0</v>
      </c>
      <c r="G182" s="28">
        <f ca="1">IFERROR(SUMIFS(Energy[2025_TWh],Energy[[Sector]:[Sector]],$A$178, Energy[[Fuel_category]:[Fuel_category]],$B182),"")</f>
        <v>0</v>
      </c>
      <c r="H182" s="28">
        <f ca="1">IFERROR(SUMIFS(Energy[2026_TWh],Energy[[Sector]:[Sector]],$A$178, Energy[[Fuel_category]:[Fuel_category]],$B182),"")</f>
        <v>0</v>
      </c>
      <c r="I182" s="28">
        <f ca="1">IFERROR(SUMIFS(Energy[2027_TWh],Energy[[Sector]:[Sector]],$A$178, Energy[[Fuel_category]:[Fuel_category]],$B182),"")</f>
        <v>0</v>
      </c>
      <c r="J182" s="28">
        <f ca="1">IFERROR(SUMIFS(Energy[2028_TWh],Energy[[Sector]:[Sector]],$A$178, Energy[[Fuel_category]:[Fuel_category]],$B182),"")</f>
        <v>0</v>
      </c>
      <c r="K182" s="28">
        <f ca="1">IFERROR(SUMIFS(Energy[2029_TWh],Energy[[Sector]:[Sector]],$A$178, Energy[[Fuel_category]:[Fuel_category]],$B182),"")</f>
        <v>0</v>
      </c>
      <c r="L182" s="28">
        <f ca="1">IFERROR(SUMIFS(Energy[2030_TWh],Energy[[Sector]:[Sector]],$A$178, Energy[[Fuel_category]:[Fuel_category]],$B182),"")</f>
        <v>0</v>
      </c>
      <c r="M182" s="28">
        <f ca="1">IFERROR(SUMIFS(Energy[2031_TWh],Energy[[Sector]:[Sector]],$A$178, Energy[[Fuel_category]:[Fuel_category]],$B182),"")</f>
        <v>0</v>
      </c>
      <c r="N182" s="28">
        <f ca="1">IFERROR(SUMIFS(Energy[2032_TWh],Energy[[Sector]:[Sector]],$A$178, Energy[[Fuel_category]:[Fuel_category]],$B182),"")</f>
        <v>0</v>
      </c>
      <c r="O182" s="28">
        <f ca="1">IFERROR(SUMIFS(Energy[2033_TWh],Energy[[Sector]:[Sector]],$A$178, Energy[[Fuel_category]:[Fuel_category]],$B182),"")</f>
        <v>0</v>
      </c>
      <c r="P182" s="28">
        <f ca="1">IFERROR(SUMIFS(Energy[2034_TWh],Energy[[Sector]:[Sector]],$A$178, Energy[[Fuel_category]:[Fuel_category]],$B182),"")</f>
        <v>0</v>
      </c>
      <c r="Q182" s="28">
        <f ca="1">IFERROR(SUMIFS(Energy[2035_TWh],Energy[[Sector]:[Sector]],$A$178, Energy[[Fuel_category]:[Fuel_category]],$B182),"")</f>
        <v>0</v>
      </c>
      <c r="R182" s="28">
        <f ca="1">IFERROR(SUMIFS(Energy[2036_TWh],Energy[[Sector]:[Sector]],$A$178, Energy[[Fuel_category]:[Fuel_category]],$B182),"")</f>
        <v>0</v>
      </c>
      <c r="S182" s="28">
        <f ca="1">IFERROR(SUMIFS(Energy[2037_TWh],Energy[[Sector]:[Sector]],$A$178, Energy[[Fuel_category]:[Fuel_category]],$B182),"")</f>
        <v>0</v>
      </c>
      <c r="T182" s="28">
        <f ca="1">IFERROR(SUMIFS(Energy[2038_TWh],Energy[[Sector]:[Sector]],$A$178, Energy[[Fuel_category]:[Fuel_category]],$B182),"")</f>
        <v>0</v>
      </c>
      <c r="U182" s="28">
        <f ca="1">IFERROR(SUMIFS(Energy[2039_TWh],Energy[[Sector]:[Sector]],$A$178, Energy[[Fuel_category]:[Fuel_category]],$B182),"")</f>
        <v>0</v>
      </c>
      <c r="V182" s="28">
        <f ca="1">IFERROR(SUMIFS(Energy[2040_TWh],Energy[[Sector]:[Sector]],$A$178, Energy[[Fuel_category]:[Fuel_category]],$B182),"")</f>
        <v>0</v>
      </c>
      <c r="W182" s="28">
        <f ca="1">IFERROR(SUMIFS(Energy[2041_TWh],Energy[[Sector]:[Sector]],$A$178, Energy[[Fuel_category]:[Fuel_category]],$B182),"")</f>
        <v>0</v>
      </c>
      <c r="X182" s="28">
        <f ca="1">IFERROR(SUMIFS(Energy[2042_TWh],Energy[[Sector]:[Sector]],$A$178, Energy[[Fuel_category]:[Fuel_category]],$B182),"")</f>
        <v>0</v>
      </c>
      <c r="Y182" s="28">
        <f ca="1">IFERROR(SUMIFS(Energy[2043_TWh],Energy[[Sector]:[Sector]],$A$178, Energy[[Fuel_category]:[Fuel_category]],$B182),"")</f>
        <v>0</v>
      </c>
      <c r="Z182" s="28">
        <f ca="1">IFERROR(SUMIFS(Energy[2044_TWh],Energy[[Sector]:[Sector]],$A$178, Energy[[Fuel_category]:[Fuel_category]],$B182),"")</f>
        <v>0</v>
      </c>
      <c r="AA182" s="28">
        <f ca="1">IFERROR(SUMIFS(Energy[2045_TWh],Energy[[Sector]:[Sector]],$A$178, Energy[[Fuel_category]:[Fuel_category]],$B182),"")</f>
        <v>0</v>
      </c>
      <c r="AB182" s="28">
        <f ca="1">IFERROR(SUMIFS(Energy[2046_TWh],Energy[[Sector]:[Sector]],$A$178, Energy[[Fuel_category]:[Fuel_category]],$B182),"")</f>
        <v>0</v>
      </c>
      <c r="AC182" s="28">
        <f ca="1">IFERROR(SUMIFS(Energy[2047_TWh],Energy[[Sector]:[Sector]],$A$178, Energy[[Fuel_category]:[Fuel_category]],$B182),"")</f>
        <v>0</v>
      </c>
      <c r="AD182" s="28">
        <f ca="1">IFERROR(SUMIFS(Energy[2048_TWh],Energy[[Sector]:[Sector]],$A$178, Energy[[Fuel_category]:[Fuel_category]],$B182),"")</f>
        <v>0</v>
      </c>
      <c r="AE182" s="28">
        <f ca="1">IFERROR(SUMIFS(Energy[2049_TWh],Energy[[Sector]:[Sector]],$A$178, Energy[[Fuel_category]:[Fuel_category]],$B182),"")</f>
        <v>0</v>
      </c>
      <c r="AF182" s="28">
        <f ca="1">IFERROR(SUMIFS(Energy[2050_TWh],Energy[[Sector]:[Sector]],$A$178, Energy[[Fuel_category]:[Fuel_category]],$B182),"")</f>
        <v>0</v>
      </c>
      <c r="AG182" s="28">
        <f ca="1">IFERROR(SUMIFS(Energy[2051_TWh],Energy[[Sector]:[Sector]],$A$178, Energy[[Fuel_category]:[Fuel_category]],$B182),"")</f>
        <v>0</v>
      </c>
    </row>
    <row r="183" spans="1:33" x14ac:dyDescent="0.45">
      <c r="B183" s="21" t="s">
        <v>113</v>
      </c>
      <c r="C183" s="28">
        <f ca="1">IFERROR(SUMIFS(Energy[2021_TWh],Energy[[Sector]:[Sector]],$A$178, Energy[[Fuel_category]:[Fuel_category]],$B183),"")</f>
        <v>0</v>
      </c>
      <c r="D183" s="28">
        <f ca="1">IFERROR(SUMIFS(Energy[2022_TWh],Energy[[Sector]:[Sector]],$A$178, Energy[[Fuel_category]:[Fuel_category]],$B183),"")</f>
        <v>0</v>
      </c>
      <c r="E183" s="28">
        <f ca="1">IFERROR(SUMIFS(Energy[2023_TWh],Energy[[Sector]:[Sector]],$A$178, Energy[[Fuel_category]:[Fuel_category]],$B183),"")</f>
        <v>0</v>
      </c>
      <c r="F183" s="28">
        <f ca="1">IFERROR(SUMIFS(Energy[2024_TWh],Energy[[Sector]:[Sector]],$A$178, Energy[[Fuel_category]:[Fuel_category]],$B183),"")</f>
        <v>0</v>
      </c>
      <c r="G183" s="28">
        <f ca="1">IFERROR(SUMIFS(Energy[2025_TWh],Energy[[Sector]:[Sector]],$A$178, Energy[[Fuel_category]:[Fuel_category]],$B183),"")</f>
        <v>0</v>
      </c>
      <c r="H183" s="28">
        <f ca="1">IFERROR(SUMIFS(Energy[2026_TWh],Energy[[Sector]:[Sector]],$A$178, Energy[[Fuel_category]:[Fuel_category]],$B183),"")</f>
        <v>0</v>
      </c>
      <c r="I183" s="28">
        <f ca="1">IFERROR(SUMIFS(Energy[2027_TWh],Energy[[Sector]:[Sector]],$A$178, Energy[[Fuel_category]:[Fuel_category]],$B183),"")</f>
        <v>0</v>
      </c>
      <c r="J183" s="28">
        <f ca="1">IFERROR(SUMIFS(Energy[2028_TWh],Energy[[Sector]:[Sector]],$A$178, Energy[[Fuel_category]:[Fuel_category]],$B183),"")</f>
        <v>0</v>
      </c>
      <c r="K183" s="28">
        <f ca="1">IFERROR(SUMIFS(Energy[2029_TWh],Energy[[Sector]:[Sector]],$A$178, Energy[[Fuel_category]:[Fuel_category]],$B183),"")</f>
        <v>0</v>
      </c>
      <c r="L183" s="28">
        <f ca="1">IFERROR(SUMIFS(Energy[2030_TWh],Energy[[Sector]:[Sector]],$A$178, Energy[[Fuel_category]:[Fuel_category]],$B183),"")</f>
        <v>0</v>
      </c>
      <c r="M183" s="28">
        <f ca="1">IFERROR(SUMIFS(Energy[2031_TWh],Energy[[Sector]:[Sector]],$A$178, Energy[[Fuel_category]:[Fuel_category]],$B183),"")</f>
        <v>0</v>
      </c>
      <c r="N183" s="28">
        <f ca="1">IFERROR(SUMIFS(Energy[2032_TWh],Energy[[Sector]:[Sector]],$A$178, Energy[[Fuel_category]:[Fuel_category]],$B183),"")</f>
        <v>0</v>
      </c>
      <c r="O183" s="28">
        <f ca="1">IFERROR(SUMIFS(Energy[2033_TWh],Energy[[Sector]:[Sector]],$A$178, Energy[[Fuel_category]:[Fuel_category]],$B183),"")</f>
        <v>0</v>
      </c>
      <c r="P183" s="28">
        <f ca="1">IFERROR(SUMIFS(Energy[2034_TWh],Energy[[Sector]:[Sector]],$A$178, Energy[[Fuel_category]:[Fuel_category]],$B183),"")</f>
        <v>0</v>
      </c>
      <c r="Q183" s="28">
        <f ca="1">IFERROR(SUMIFS(Energy[2035_TWh],Energy[[Sector]:[Sector]],$A$178, Energy[[Fuel_category]:[Fuel_category]],$B183),"")</f>
        <v>0</v>
      </c>
      <c r="R183" s="28">
        <f ca="1">IFERROR(SUMIFS(Energy[2036_TWh],Energy[[Sector]:[Sector]],$A$178, Energy[[Fuel_category]:[Fuel_category]],$B183),"")</f>
        <v>0</v>
      </c>
      <c r="S183" s="28">
        <f ca="1">IFERROR(SUMIFS(Energy[2037_TWh],Energy[[Sector]:[Sector]],$A$178, Energy[[Fuel_category]:[Fuel_category]],$B183),"")</f>
        <v>0</v>
      </c>
      <c r="T183" s="28">
        <f ca="1">IFERROR(SUMIFS(Energy[2038_TWh],Energy[[Sector]:[Sector]],$A$178, Energy[[Fuel_category]:[Fuel_category]],$B183),"")</f>
        <v>0</v>
      </c>
      <c r="U183" s="28">
        <f ca="1">IFERROR(SUMIFS(Energy[2039_TWh],Energy[[Sector]:[Sector]],$A$178, Energy[[Fuel_category]:[Fuel_category]],$B183),"")</f>
        <v>0</v>
      </c>
      <c r="V183" s="28">
        <f ca="1">IFERROR(SUMIFS(Energy[2040_TWh],Energy[[Sector]:[Sector]],$A$178, Energy[[Fuel_category]:[Fuel_category]],$B183),"")</f>
        <v>0</v>
      </c>
      <c r="W183" s="28">
        <f ca="1">IFERROR(SUMIFS(Energy[2041_TWh],Energy[[Sector]:[Sector]],$A$178, Energy[[Fuel_category]:[Fuel_category]],$B183),"")</f>
        <v>0</v>
      </c>
      <c r="X183" s="28">
        <f ca="1">IFERROR(SUMIFS(Energy[2042_TWh],Energy[[Sector]:[Sector]],$A$178, Energy[[Fuel_category]:[Fuel_category]],$B183),"")</f>
        <v>0</v>
      </c>
      <c r="Y183" s="28">
        <f ca="1">IFERROR(SUMIFS(Energy[2043_TWh],Energy[[Sector]:[Sector]],$A$178, Energy[[Fuel_category]:[Fuel_category]],$B183),"")</f>
        <v>0</v>
      </c>
      <c r="Z183" s="28">
        <f ca="1">IFERROR(SUMIFS(Energy[2044_TWh],Energy[[Sector]:[Sector]],$A$178, Energy[[Fuel_category]:[Fuel_category]],$B183),"")</f>
        <v>0</v>
      </c>
      <c r="AA183" s="28">
        <f ca="1">IFERROR(SUMIFS(Energy[2045_TWh],Energy[[Sector]:[Sector]],$A$178, Energy[[Fuel_category]:[Fuel_category]],$B183),"")</f>
        <v>0</v>
      </c>
      <c r="AB183" s="28">
        <f ca="1">IFERROR(SUMIFS(Energy[2046_TWh],Energy[[Sector]:[Sector]],$A$178, Energy[[Fuel_category]:[Fuel_category]],$B183),"")</f>
        <v>0</v>
      </c>
      <c r="AC183" s="28">
        <f ca="1">IFERROR(SUMIFS(Energy[2047_TWh],Energy[[Sector]:[Sector]],$A$178, Energy[[Fuel_category]:[Fuel_category]],$B183),"")</f>
        <v>0</v>
      </c>
      <c r="AD183" s="28">
        <f ca="1">IFERROR(SUMIFS(Energy[2048_TWh],Energy[[Sector]:[Sector]],$A$178, Energy[[Fuel_category]:[Fuel_category]],$B183),"")</f>
        <v>0</v>
      </c>
      <c r="AE183" s="28">
        <f ca="1">IFERROR(SUMIFS(Energy[2049_TWh],Energy[[Sector]:[Sector]],$A$178, Energy[[Fuel_category]:[Fuel_category]],$B183),"")</f>
        <v>0</v>
      </c>
      <c r="AF183" s="28">
        <f ca="1">IFERROR(SUMIFS(Energy[2050_TWh],Energy[[Sector]:[Sector]],$A$178, Energy[[Fuel_category]:[Fuel_category]],$B183),"")</f>
        <v>0</v>
      </c>
      <c r="AG183" s="28">
        <f ca="1">IFERROR(SUMIFS(Energy[2051_TWh],Energy[[Sector]:[Sector]],$A$178, Energy[[Fuel_category]:[Fuel_category]],$B183),"")</f>
        <v>0</v>
      </c>
    </row>
    <row r="184" spans="1:33" x14ac:dyDescent="0.45">
      <c r="B184" s="21" t="s">
        <v>111</v>
      </c>
      <c r="C184" s="28">
        <f ca="1">IFERROR(SUMIFS(Energy[2021_TWh],Energy[[Sector]:[Sector]],$A$178, Energy[[Fuel_category]:[Fuel_category]],$B184),"")</f>
        <v>0</v>
      </c>
      <c r="D184" s="28">
        <f ca="1">IFERROR(SUMIFS(Energy[2022_TWh],Energy[[Sector]:[Sector]],$A$178, Energy[[Fuel_category]:[Fuel_category]],$B184),"")</f>
        <v>0</v>
      </c>
      <c r="E184" s="28">
        <f ca="1">IFERROR(SUMIFS(Energy[2023_TWh],Energy[[Sector]:[Sector]],$A$178, Energy[[Fuel_category]:[Fuel_category]],$B184),"")</f>
        <v>0</v>
      </c>
      <c r="F184" s="28">
        <f ca="1">IFERROR(SUMIFS(Energy[2024_TWh],Energy[[Sector]:[Sector]],$A$178, Energy[[Fuel_category]:[Fuel_category]],$B184),"")</f>
        <v>0</v>
      </c>
      <c r="G184" s="28">
        <f ca="1">IFERROR(SUMIFS(Energy[2025_TWh],Energy[[Sector]:[Sector]],$A$178, Energy[[Fuel_category]:[Fuel_category]],$B184),"")</f>
        <v>0</v>
      </c>
      <c r="H184" s="28">
        <f ca="1">IFERROR(SUMIFS(Energy[2026_TWh],Energy[[Sector]:[Sector]],$A$178, Energy[[Fuel_category]:[Fuel_category]],$B184),"")</f>
        <v>0</v>
      </c>
      <c r="I184" s="28">
        <f ca="1">IFERROR(SUMIFS(Energy[2027_TWh],Energy[[Sector]:[Sector]],$A$178, Energy[[Fuel_category]:[Fuel_category]],$B184),"")</f>
        <v>0</v>
      </c>
      <c r="J184" s="28">
        <f ca="1">IFERROR(SUMIFS(Energy[2028_TWh],Energy[[Sector]:[Sector]],$A$178, Energy[[Fuel_category]:[Fuel_category]],$B184),"")</f>
        <v>0</v>
      </c>
      <c r="K184" s="28">
        <f ca="1">IFERROR(SUMIFS(Energy[2029_TWh],Energy[[Sector]:[Sector]],$A$178, Energy[[Fuel_category]:[Fuel_category]],$B184),"")</f>
        <v>0</v>
      </c>
      <c r="L184" s="28">
        <f ca="1">IFERROR(SUMIFS(Energy[2030_TWh],Energy[[Sector]:[Sector]],$A$178, Energy[[Fuel_category]:[Fuel_category]],$B184),"")</f>
        <v>0</v>
      </c>
      <c r="M184" s="28">
        <f ca="1">IFERROR(SUMIFS(Energy[2031_TWh],Energy[[Sector]:[Sector]],$A$178, Energy[[Fuel_category]:[Fuel_category]],$B184),"")</f>
        <v>0</v>
      </c>
      <c r="N184" s="28">
        <f ca="1">IFERROR(SUMIFS(Energy[2032_TWh],Energy[[Sector]:[Sector]],$A$178, Energy[[Fuel_category]:[Fuel_category]],$B184),"")</f>
        <v>0</v>
      </c>
      <c r="O184" s="28">
        <f ca="1">IFERROR(SUMIFS(Energy[2033_TWh],Energy[[Sector]:[Sector]],$A$178, Energy[[Fuel_category]:[Fuel_category]],$B184),"")</f>
        <v>0</v>
      </c>
      <c r="P184" s="28">
        <f ca="1">IFERROR(SUMIFS(Energy[2034_TWh],Energy[[Sector]:[Sector]],$A$178, Energy[[Fuel_category]:[Fuel_category]],$B184),"")</f>
        <v>0</v>
      </c>
      <c r="Q184" s="28">
        <f ca="1">IFERROR(SUMIFS(Energy[2035_TWh],Energy[[Sector]:[Sector]],$A$178, Energy[[Fuel_category]:[Fuel_category]],$B184),"")</f>
        <v>0</v>
      </c>
      <c r="R184" s="28">
        <f ca="1">IFERROR(SUMIFS(Energy[2036_TWh],Energy[[Sector]:[Sector]],$A$178, Energy[[Fuel_category]:[Fuel_category]],$B184),"")</f>
        <v>0</v>
      </c>
      <c r="S184" s="28">
        <f ca="1">IFERROR(SUMIFS(Energy[2037_TWh],Energy[[Sector]:[Sector]],$A$178, Energy[[Fuel_category]:[Fuel_category]],$B184),"")</f>
        <v>0</v>
      </c>
      <c r="T184" s="28">
        <f ca="1">IFERROR(SUMIFS(Energy[2038_TWh],Energy[[Sector]:[Sector]],$A$178, Energy[[Fuel_category]:[Fuel_category]],$B184),"")</f>
        <v>0</v>
      </c>
      <c r="U184" s="28">
        <f ca="1">IFERROR(SUMIFS(Energy[2039_TWh],Energy[[Sector]:[Sector]],$A$178, Energy[[Fuel_category]:[Fuel_category]],$B184),"")</f>
        <v>0</v>
      </c>
      <c r="V184" s="28">
        <f ca="1">IFERROR(SUMIFS(Energy[2040_TWh],Energy[[Sector]:[Sector]],$A$178, Energy[[Fuel_category]:[Fuel_category]],$B184),"")</f>
        <v>0</v>
      </c>
      <c r="W184" s="28">
        <f ca="1">IFERROR(SUMIFS(Energy[2041_TWh],Energy[[Sector]:[Sector]],$A$178, Energy[[Fuel_category]:[Fuel_category]],$B184),"")</f>
        <v>0</v>
      </c>
      <c r="X184" s="28">
        <f ca="1">IFERROR(SUMIFS(Energy[2042_TWh],Energy[[Sector]:[Sector]],$A$178, Energy[[Fuel_category]:[Fuel_category]],$B184),"")</f>
        <v>0</v>
      </c>
      <c r="Y184" s="28">
        <f ca="1">IFERROR(SUMIFS(Energy[2043_TWh],Energy[[Sector]:[Sector]],$A$178, Energy[[Fuel_category]:[Fuel_category]],$B184),"")</f>
        <v>0</v>
      </c>
      <c r="Z184" s="28">
        <f ca="1">IFERROR(SUMIFS(Energy[2044_TWh],Energy[[Sector]:[Sector]],$A$178, Energy[[Fuel_category]:[Fuel_category]],$B184),"")</f>
        <v>0</v>
      </c>
      <c r="AA184" s="28">
        <f ca="1">IFERROR(SUMIFS(Energy[2045_TWh],Energy[[Sector]:[Sector]],$A$178, Energy[[Fuel_category]:[Fuel_category]],$B184),"")</f>
        <v>0</v>
      </c>
      <c r="AB184" s="28">
        <f ca="1">IFERROR(SUMIFS(Energy[2046_TWh],Energy[[Sector]:[Sector]],$A$178, Energy[[Fuel_category]:[Fuel_category]],$B184),"")</f>
        <v>0</v>
      </c>
      <c r="AC184" s="28">
        <f ca="1">IFERROR(SUMIFS(Energy[2047_TWh],Energy[[Sector]:[Sector]],$A$178, Energy[[Fuel_category]:[Fuel_category]],$B184),"")</f>
        <v>0</v>
      </c>
      <c r="AD184" s="28">
        <f ca="1">IFERROR(SUMIFS(Energy[2048_TWh],Energy[[Sector]:[Sector]],$A$178, Energy[[Fuel_category]:[Fuel_category]],$B184),"")</f>
        <v>0</v>
      </c>
      <c r="AE184" s="28">
        <f ca="1">IFERROR(SUMIFS(Energy[2049_TWh],Energy[[Sector]:[Sector]],$A$178, Energy[[Fuel_category]:[Fuel_category]],$B184),"")</f>
        <v>0</v>
      </c>
      <c r="AF184" s="28">
        <f ca="1">IFERROR(SUMIFS(Energy[2050_TWh],Energy[[Sector]:[Sector]],$A$178, Energy[[Fuel_category]:[Fuel_category]],$B184),"")</f>
        <v>0</v>
      </c>
      <c r="AG184" s="28">
        <f ca="1">IFERROR(SUMIFS(Energy[2051_TWh],Energy[[Sector]:[Sector]],$A$178, Energy[[Fuel_category]:[Fuel_category]],$B184),"")</f>
        <v>0</v>
      </c>
    </row>
    <row r="185" spans="1:33" ht="14.65" thickBot="1" x14ac:dyDescent="0.5">
      <c r="B185" s="29" t="s">
        <v>124</v>
      </c>
      <c r="C185" s="31">
        <f ca="1">IF(C105&lt;&gt;"",SUM(C178:C183),"")</f>
        <v>0</v>
      </c>
      <c r="D185" s="31">
        <f t="shared" ref="D185:AF185" ca="1" si="38">IF(D105&lt;&gt;"",SUM(D178:D183),"")</f>
        <v>0</v>
      </c>
      <c r="E185" s="31">
        <f t="shared" ca="1" si="38"/>
        <v>0</v>
      </c>
      <c r="F185" s="31">
        <f t="shared" ca="1" si="38"/>
        <v>0</v>
      </c>
      <c r="G185" s="31">
        <f t="shared" ca="1" si="38"/>
        <v>0</v>
      </c>
      <c r="H185" s="31">
        <f t="shared" ca="1" si="38"/>
        <v>0</v>
      </c>
      <c r="I185" s="31">
        <f t="shared" ca="1" si="38"/>
        <v>0</v>
      </c>
      <c r="J185" s="31">
        <f t="shared" ca="1" si="38"/>
        <v>0</v>
      </c>
      <c r="K185" s="31">
        <f t="shared" ca="1" si="38"/>
        <v>0</v>
      </c>
      <c r="L185" s="31">
        <f t="shared" ca="1" si="38"/>
        <v>0</v>
      </c>
      <c r="M185" s="31">
        <f t="shared" ca="1" si="38"/>
        <v>0</v>
      </c>
      <c r="N185" s="31">
        <f t="shared" ca="1" si="38"/>
        <v>0</v>
      </c>
      <c r="O185" s="31">
        <f t="shared" ca="1" si="38"/>
        <v>0</v>
      </c>
      <c r="P185" s="31">
        <f t="shared" ca="1" si="38"/>
        <v>0</v>
      </c>
      <c r="Q185" s="31">
        <f t="shared" ca="1" si="38"/>
        <v>0</v>
      </c>
      <c r="R185" s="31">
        <f t="shared" ca="1" si="38"/>
        <v>0</v>
      </c>
      <c r="S185" s="31">
        <f t="shared" ca="1" si="38"/>
        <v>0</v>
      </c>
      <c r="T185" s="31">
        <f t="shared" ca="1" si="38"/>
        <v>0</v>
      </c>
      <c r="U185" s="31">
        <f t="shared" ca="1" si="38"/>
        <v>0</v>
      </c>
      <c r="V185" s="31">
        <f t="shared" ca="1" si="38"/>
        <v>0</v>
      </c>
      <c r="W185" s="31">
        <f t="shared" ca="1" si="38"/>
        <v>0</v>
      </c>
      <c r="X185" s="31">
        <f t="shared" ca="1" si="38"/>
        <v>0</v>
      </c>
      <c r="Y185" s="31">
        <f t="shared" ca="1" si="38"/>
        <v>0</v>
      </c>
      <c r="Z185" s="31">
        <f t="shared" ca="1" si="38"/>
        <v>0</v>
      </c>
      <c r="AA185" s="31">
        <f t="shared" ca="1" si="38"/>
        <v>0</v>
      </c>
      <c r="AB185" s="31">
        <f t="shared" ca="1" si="38"/>
        <v>0</v>
      </c>
      <c r="AC185" s="31">
        <f t="shared" ca="1" si="38"/>
        <v>0</v>
      </c>
      <c r="AD185" s="31">
        <f t="shared" ca="1" si="38"/>
        <v>0</v>
      </c>
      <c r="AE185" s="31">
        <f t="shared" ca="1" si="38"/>
        <v>0</v>
      </c>
      <c r="AF185" s="31">
        <f t="shared" ca="1" si="38"/>
        <v>0</v>
      </c>
      <c r="AG185" s="31">
        <f t="shared" ref="AG185" ca="1" si="39">IF(AG105&lt;&gt;"",SUM(AG178:AG183),"")</f>
        <v>0</v>
      </c>
    </row>
    <row r="186" spans="1:33" ht="14.65" thickTop="1" x14ac:dyDescent="0.45"/>
    <row r="187" spans="1:33" ht="15.75" customHeight="1" x14ac:dyDescent="0.45">
      <c r="B187" s="6"/>
      <c r="C187" s="6">
        <v>2021</v>
      </c>
      <c r="D187" s="6">
        <v>2022</v>
      </c>
      <c r="E187" s="6">
        <v>2023</v>
      </c>
      <c r="F187" s="6">
        <v>2024</v>
      </c>
      <c r="G187" s="6">
        <v>2025</v>
      </c>
      <c r="H187" s="6">
        <v>2026</v>
      </c>
      <c r="I187" s="6">
        <v>2027</v>
      </c>
      <c r="J187" s="6">
        <v>2028</v>
      </c>
      <c r="K187" s="6">
        <v>2029</v>
      </c>
      <c r="L187" s="6">
        <v>2030</v>
      </c>
      <c r="M187" s="6">
        <v>2031</v>
      </c>
      <c r="N187" s="6">
        <v>2032</v>
      </c>
      <c r="O187" s="6">
        <v>2033</v>
      </c>
      <c r="P187" s="6">
        <v>2034</v>
      </c>
      <c r="Q187" s="6">
        <v>2035</v>
      </c>
      <c r="R187" s="6">
        <v>2036</v>
      </c>
      <c r="S187" s="6">
        <v>2037</v>
      </c>
      <c r="T187" s="6">
        <v>2038</v>
      </c>
      <c r="U187" s="6">
        <v>2039</v>
      </c>
      <c r="V187" s="6">
        <v>2040</v>
      </c>
      <c r="W187" s="6">
        <v>2041</v>
      </c>
      <c r="X187" s="6">
        <v>2042</v>
      </c>
      <c r="Y187" s="6">
        <v>2043</v>
      </c>
      <c r="Z187" s="6">
        <v>2044</v>
      </c>
      <c r="AA187" s="6">
        <v>2045</v>
      </c>
      <c r="AB187" s="6">
        <v>2046</v>
      </c>
      <c r="AC187" s="6">
        <v>2047</v>
      </c>
      <c r="AD187" s="6">
        <v>2048</v>
      </c>
      <c r="AE187" s="6">
        <v>2049</v>
      </c>
      <c r="AF187" s="6">
        <v>2050</v>
      </c>
      <c r="AG187" s="6">
        <v>2051</v>
      </c>
    </row>
    <row r="188" spans="1:33" x14ac:dyDescent="0.45">
      <c r="A188" t="s">
        <v>21</v>
      </c>
      <c r="B188" s="21" t="s">
        <v>82</v>
      </c>
      <c r="C188" s="28">
        <f ca="1">IFERROR(SUMIFS(Energy[2021_TWh],Energy[[Sector]:[Sector]],$A$188, Energy[[Fuel_category]:[Fuel_category]],$B188),"")</f>
        <v>0</v>
      </c>
      <c r="D188" s="28">
        <f ca="1">IFERROR(SUMIFS(Energy[2022_TWh],Energy[[Sector]:[Sector]],$A$188, Energy[[Fuel_category]:[Fuel_category]],$B188),"")</f>
        <v>0</v>
      </c>
      <c r="E188" s="28">
        <f ca="1">IFERROR(SUMIFS(Energy[2023_TWh],Energy[[Sector]:[Sector]],$A$188, Energy[[Fuel_category]:[Fuel_category]],$B188),"")</f>
        <v>0</v>
      </c>
      <c r="F188" s="28">
        <f ca="1">IFERROR(SUMIFS(Energy[2024_TWh],Energy[[Sector]:[Sector]],$A$188, Energy[[Fuel_category]:[Fuel_category]],$B188),"")</f>
        <v>0</v>
      </c>
      <c r="G188" s="28">
        <f ca="1">IFERROR(SUMIFS(Energy[2025_TWh],Energy[[Sector]:[Sector]],$A$188, Energy[[Fuel_category]:[Fuel_category]],$B188),"")</f>
        <v>0</v>
      </c>
      <c r="H188" s="28">
        <f ca="1">IFERROR(SUMIFS(Energy[2026_TWh],Energy[[Sector]:[Sector]],$A$188, Energy[[Fuel_category]:[Fuel_category]],$B188),"")</f>
        <v>0</v>
      </c>
      <c r="I188" s="28">
        <f ca="1">IFERROR(SUMIFS(Energy[2027_TWh],Energy[[Sector]:[Sector]],$A$188, Energy[[Fuel_category]:[Fuel_category]],$B188),"")</f>
        <v>0</v>
      </c>
      <c r="J188" s="28">
        <f ca="1">IFERROR(SUMIFS(Energy[2028_TWh],Energy[[Sector]:[Sector]],$A$188, Energy[[Fuel_category]:[Fuel_category]],$B188),"")</f>
        <v>0</v>
      </c>
      <c r="K188" s="28">
        <f ca="1">IFERROR(SUMIFS(Energy[2029_TWh],Energy[[Sector]:[Sector]],$A$188, Energy[[Fuel_category]:[Fuel_category]],$B188),"")</f>
        <v>0</v>
      </c>
      <c r="L188" s="28">
        <f ca="1">IFERROR(SUMIFS(Energy[2030_TWh],Energy[[Sector]:[Sector]],$A$188, Energy[[Fuel_category]:[Fuel_category]],$B188),"")</f>
        <v>0</v>
      </c>
      <c r="M188" s="28">
        <f ca="1">IFERROR(SUMIFS(Energy[2031_TWh],Energy[[Sector]:[Sector]],$A$188, Energy[[Fuel_category]:[Fuel_category]],$B188),"")</f>
        <v>0</v>
      </c>
      <c r="N188" s="28">
        <f ca="1">IFERROR(SUMIFS(Energy[2032_TWh],Energy[[Sector]:[Sector]],$A$188, Energy[[Fuel_category]:[Fuel_category]],$B188),"")</f>
        <v>0</v>
      </c>
      <c r="O188" s="28">
        <f ca="1">IFERROR(SUMIFS(Energy[2033_TWh],Energy[[Sector]:[Sector]],$A$188, Energy[[Fuel_category]:[Fuel_category]],$B188),"")</f>
        <v>0</v>
      </c>
      <c r="P188" s="28">
        <f ca="1">IFERROR(SUMIFS(Energy[2034_TWh],Energy[[Sector]:[Sector]],$A$188, Energy[[Fuel_category]:[Fuel_category]],$B188),"")</f>
        <v>0</v>
      </c>
      <c r="Q188" s="28">
        <f ca="1">IFERROR(SUMIFS(Energy[2035_TWh],Energy[[Sector]:[Sector]],$A$188, Energy[[Fuel_category]:[Fuel_category]],$B188),"")</f>
        <v>0</v>
      </c>
      <c r="R188" s="28">
        <f ca="1">IFERROR(SUMIFS(Energy[2036_TWh],Energy[[Sector]:[Sector]],$A$188, Energy[[Fuel_category]:[Fuel_category]],$B188),"")</f>
        <v>0</v>
      </c>
      <c r="S188" s="28">
        <f ca="1">IFERROR(SUMIFS(Energy[2037_TWh],Energy[[Sector]:[Sector]],$A$188, Energy[[Fuel_category]:[Fuel_category]],$B188),"")</f>
        <v>0</v>
      </c>
      <c r="T188" s="28">
        <f ca="1">IFERROR(SUMIFS(Energy[2038_TWh],Energy[[Sector]:[Sector]],$A$188, Energy[[Fuel_category]:[Fuel_category]],$B188),"")</f>
        <v>0</v>
      </c>
      <c r="U188" s="28">
        <f ca="1">IFERROR(SUMIFS(Energy[2039_TWh],Energy[[Sector]:[Sector]],$A$188, Energy[[Fuel_category]:[Fuel_category]],$B188),"")</f>
        <v>0</v>
      </c>
      <c r="V188" s="28">
        <f ca="1">IFERROR(SUMIFS(Energy[2040_TWh],Energy[[Sector]:[Sector]],$A$188, Energy[[Fuel_category]:[Fuel_category]],$B188),"")</f>
        <v>0</v>
      </c>
      <c r="W188" s="28">
        <f ca="1">IFERROR(SUMIFS(Energy[2041_TWh],Energy[[Sector]:[Sector]],$A$188, Energy[[Fuel_category]:[Fuel_category]],$B188),"")</f>
        <v>0</v>
      </c>
      <c r="X188" s="28">
        <f ca="1">IFERROR(SUMIFS(Energy[2042_TWh],Energy[[Sector]:[Sector]],$A$188, Energy[[Fuel_category]:[Fuel_category]],$B188),"")</f>
        <v>0</v>
      </c>
      <c r="Y188" s="28">
        <f ca="1">IFERROR(SUMIFS(Energy[2043_TWh],Energy[[Sector]:[Sector]],$A$188, Energy[[Fuel_category]:[Fuel_category]],$B188),"")</f>
        <v>0</v>
      </c>
      <c r="Z188" s="28">
        <f ca="1">IFERROR(SUMIFS(Energy[2044_TWh],Energy[[Sector]:[Sector]],$A$188, Energy[[Fuel_category]:[Fuel_category]],$B188),"")</f>
        <v>0</v>
      </c>
      <c r="AA188" s="28">
        <f ca="1">IFERROR(SUMIFS(Energy[2045_TWh],Energy[[Sector]:[Sector]],$A$188, Energy[[Fuel_category]:[Fuel_category]],$B188),"")</f>
        <v>0</v>
      </c>
      <c r="AB188" s="28">
        <f ca="1">IFERROR(SUMIFS(Energy[2046_TWh],Energy[[Sector]:[Sector]],$A$188, Energy[[Fuel_category]:[Fuel_category]],$B188),"")</f>
        <v>0</v>
      </c>
      <c r="AC188" s="28">
        <f ca="1">IFERROR(SUMIFS(Energy[2047_TWh],Energy[[Sector]:[Sector]],$A$188, Energy[[Fuel_category]:[Fuel_category]],$B188),"")</f>
        <v>0</v>
      </c>
      <c r="AD188" s="28">
        <f ca="1">IFERROR(SUMIFS(Energy[2048_TWh],Energy[[Sector]:[Sector]],$A$188, Energy[[Fuel_category]:[Fuel_category]],$B188),"")</f>
        <v>0</v>
      </c>
      <c r="AE188" s="28">
        <f ca="1">IFERROR(SUMIFS(Energy[2049_TWh],Energy[[Sector]:[Sector]],$A$188, Energy[[Fuel_category]:[Fuel_category]],$B188),"")</f>
        <v>0</v>
      </c>
      <c r="AF188" s="28">
        <f ca="1">IFERROR(SUMIFS(Energy[2050_TWh],Energy[[Sector]:[Sector]],$A$188, Energy[[Fuel_category]:[Fuel_category]],$B188),"")</f>
        <v>0</v>
      </c>
      <c r="AG188" s="28">
        <f ca="1">IFERROR(SUMIFS(Energy[2051_TWh],Energy[[Sector]:[Sector]],$A$188, Energy[[Fuel_category]:[Fuel_category]],$B188),"")</f>
        <v>0</v>
      </c>
    </row>
    <row r="189" spans="1:33" x14ac:dyDescent="0.45">
      <c r="B189" s="21" t="s">
        <v>83</v>
      </c>
      <c r="C189" s="28">
        <f ca="1">IFERROR(SUMIFS(Energy[2021_TWh],Energy[[Sector]:[Sector]],$A$188, Energy[[Fuel_category]:[Fuel_category]],$B189),"")</f>
        <v>0</v>
      </c>
      <c r="D189" s="28">
        <f ca="1">IFERROR(SUMIFS(Energy[2022_TWh],Energy[[Sector]:[Sector]],$A$188, Energy[[Fuel_category]:[Fuel_category]],$B189),"")</f>
        <v>0</v>
      </c>
      <c r="E189" s="28">
        <f ca="1">IFERROR(SUMIFS(Energy[2023_TWh],Energy[[Sector]:[Sector]],$A$188, Energy[[Fuel_category]:[Fuel_category]],$B189),"")</f>
        <v>0</v>
      </c>
      <c r="F189" s="28">
        <f ca="1">IFERROR(SUMIFS(Energy[2024_TWh],Energy[[Sector]:[Sector]],$A$188, Energy[[Fuel_category]:[Fuel_category]],$B189),"")</f>
        <v>0</v>
      </c>
      <c r="G189" s="28">
        <f ca="1">IFERROR(SUMIFS(Energy[2025_TWh],Energy[[Sector]:[Sector]],$A$188, Energy[[Fuel_category]:[Fuel_category]],$B189),"")</f>
        <v>0</v>
      </c>
      <c r="H189" s="28">
        <f ca="1">IFERROR(SUMIFS(Energy[2026_TWh],Energy[[Sector]:[Sector]],$A$188, Energy[[Fuel_category]:[Fuel_category]],$B189),"")</f>
        <v>0</v>
      </c>
      <c r="I189" s="28">
        <f ca="1">IFERROR(SUMIFS(Energy[2027_TWh],Energy[[Sector]:[Sector]],$A$188, Energy[[Fuel_category]:[Fuel_category]],$B189),"")</f>
        <v>0</v>
      </c>
      <c r="J189" s="28">
        <f ca="1">IFERROR(SUMIFS(Energy[2028_TWh],Energy[[Sector]:[Sector]],$A$188, Energy[[Fuel_category]:[Fuel_category]],$B189),"")</f>
        <v>0</v>
      </c>
      <c r="K189" s="28">
        <f ca="1">IFERROR(SUMIFS(Energy[2029_TWh],Energy[[Sector]:[Sector]],$A$188, Energy[[Fuel_category]:[Fuel_category]],$B189),"")</f>
        <v>0</v>
      </c>
      <c r="L189" s="28">
        <f ca="1">IFERROR(SUMIFS(Energy[2030_TWh],Energy[[Sector]:[Sector]],$A$188, Energy[[Fuel_category]:[Fuel_category]],$B189),"")</f>
        <v>0</v>
      </c>
      <c r="M189" s="28">
        <f ca="1">IFERROR(SUMIFS(Energy[2031_TWh],Energy[[Sector]:[Sector]],$A$188, Energy[[Fuel_category]:[Fuel_category]],$B189),"")</f>
        <v>0</v>
      </c>
      <c r="N189" s="28">
        <f ca="1">IFERROR(SUMIFS(Energy[2032_TWh],Energy[[Sector]:[Sector]],$A$188, Energy[[Fuel_category]:[Fuel_category]],$B189),"")</f>
        <v>0</v>
      </c>
      <c r="O189" s="28">
        <f ca="1">IFERROR(SUMIFS(Energy[2033_TWh],Energy[[Sector]:[Sector]],$A$188, Energy[[Fuel_category]:[Fuel_category]],$B189),"")</f>
        <v>0</v>
      </c>
      <c r="P189" s="28">
        <f ca="1">IFERROR(SUMIFS(Energy[2034_TWh],Energy[[Sector]:[Sector]],$A$188, Energy[[Fuel_category]:[Fuel_category]],$B189),"")</f>
        <v>0</v>
      </c>
      <c r="Q189" s="28">
        <f ca="1">IFERROR(SUMIFS(Energy[2035_TWh],Energy[[Sector]:[Sector]],$A$188, Energy[[Fuel_category]:[Fuel_category]],$B189),"")</f>
        <v>0</v>
      </c>
      <c r="R189" s="28">
        <f ca="1">IFERROR(SUMIFS(Energy[2036_TWh],Energy[[Sector]:[Sector]],$A$188, Energy[[Fuel_category]:[Fuel_category]],$B189),"")</f>
        <v>0</v>
      </c>
      <c r="S189" s="28">
        <f ca="1">IFERROR(SUMIFS(Energy[2037_TWh],Energy[[Sector]:[Sector]],$A$188, Energy[[Fuel_category]:[Fuel_category]],$B189),"")</f>
        <v>0</v>
      </c>
      <c r="T189" s="28">
        <f ca="1">IFERROR(SUMIFS(Energy[2038_TWh],Energy[[Sector]:[Sector]],$A$188, Energy[[Fuel_category]:[Fuel_category]],$B189),"")</f>
        <v>0</v>
      </c>
      <c r="U189" s="28">
        <f ca="1">IFERROR(SUMIFS(Energy[2039_TWh],Energy[[Sector]:[Sector]],$A$188, Energy[[Fuel_category]:[Fuel_category]],$B189),"")</f>
        <v>0</v>
      </c>
      <c r="V189" s="28">
        <f ca="1">IFERROR(SUMIFS(Energy[2040_TWh],Energy[[Sector]:[Sector]],$A$188, Energy[[Fuel_category]:[Fuel_category]],$B189),"")</f>
        <v>0</v>
      </c>
      <c r="W189" s="28">
        <f ca="1">IFERROR(SUMIFS(Energy[2041_TWh],Energy[[Sector]:[Sector]],$A$188, Energy[[Fuel_category]:[Fuel_category]],$B189),"")</f>
        <v>0</v>
      </c>
      <c r="X189" s="28">
        <f ca="1">IFERROR(SUMIFS(Energy[2042_TWh],Energy[[Sector]:[Sector]],$A$188, Energy[[Fuel_category]:[Fuel_category]],$B189),"")</f>
        <v>0</v>
      </c>
      <c r="Y189" s="28">
        <f ca="1">IFERROR(SUMIFS(Energy[2043_TWh],Energy[[Sector]:[Sector]],$A$188, Energy[[Fuel_category]:[Fuel_category]],$B189),"")</f>
        <v>0</v>
      </c>
      <c r="Z189" s="28">
        <f ca="1">IFERROR(SUMIFS(Energy[2044_TWh],Energy[[Sector]:[Sector]],$A$188, Energy[[Fuel_category]:[Fuel_category]],$B189),"")</f>
        <v>0</v>
      </c>
      <c r="AA189" s="28">
        <f ca="1">IFERROR(SUMIFS(Energy[2045_TWh],Energy[[Sector]:[Sector]],$A$188, Energy[[Fuel_category]:[Fuel_category]],$B189),"")</f>
        <v>0</v>
      </c>
      <c r="AB189" s="28">
        <f ca="1">IFERROR(SUMIFS(Energy[2046_TWh],Energy[[Sector]:[Sector]],$A$188, Energy[[Fuel_category]:[Fuel_category]],$B189),"")</f>
        <v>0</v>
      </c>
      <c r="AC189" s="28">
        <f ca="1">IFERROR(SUMIFS(Energy[2047_TWh],Energy[[Sector]:[Sector]],$A$188, Energy[[Fuel_category]:[Fuel_category]],$B189),"")</f>
        <v>0</v>
      </c>
      <c r="AD189" s="28">
        <f ca="1">IFERROR(SUMIFS(Energy[2048_TWh],Energy[[Sector]:[Sector]],$A$188, Energy[[Fuel_category]:[Fuel_category]],$B189),"")</f>
        <v>0</v>
      </c>
      <c r="AE189" s="28">
        <f ca="1">IFERROR(SUMIFS(Energy[2049_TWh],Energy[[Sector]:[Sector]],$A$188, Energy[[Fuel_category]:[Fuel_category]],$B189),"")</f>
        <v>0</v>
      </c>
      <c r="AF189" s="28">
        <f ca="1">IFERROR(SUMIFS(Energy[2050_TWh],Energy[[Sector]:[Sector]],$A$188, Energy[[Fuel_category]:[Fuel_category]],$B189),"")</f>
        <v>0</v>
      </c>
      <c r="AG189" s="28">
        <f ca="1">IFERROR(SUMIFS(Energy[2051_TWh],Energy[[Sector]:[Sector]],$A$188, Energy[[Fuel_category]:[Fuel_category]],$B189),"")</f>
        <v>0</v>
      </c>
    </row>
    <row r="190" spans="1:33" x14ac:dyDescent="0.45">
      <c r="B190" s="21" t="s">
        <v>67</v>
      </c>
      <c r="C190" s="28">
        <f ca="1">IFERROR(SUMIFS(Energy[2021_TWh],Energy[[Sector]:[Sector]],$A$188, Energy[[Fuel_category]:[Fuel_category]],$B190),"")</f>
        <v>0</v>
      </c>
      <c r="D190" s="28">
        <f ca="1">IFERROR(SUMIFS(Energy[2022_TWh],Energy[[Sector]:[Sector]],$A$188, Energy[[Fuel_category]:[Fuel_category]],$B190),"")</f>
        <v>0</v>
      </c>
      <c r="E190" s="28">
        <f ca="1">IFERROR(SUMIFS(Energy[2023_TWh],Energy[[Sector]:[Sector]],$A$188, Energy[[Fuel_category]:[Fuel_category]],$B190),"")</f>
        <v>0</v>
      </c>
      <c r="F190" s="28">
        <f ca="1">IFERROR(SUMIFS(Energy[2024_TWh],Energy[[Sector]:[Sector]],$A$188, Energy[[Fuel_category]:[Fuel_category]],$B190),"")</f>
        <v>0</v>
      </c>
      <c r="G190" s="28">
        <f ca="1">IFERROR(SUMIFS(Energy[2025_TWh],Energy[[Sector]:[Sector]],$A$188, Energy[[Fuel_category]:[Fuel_category]],$B190),"")</f>
        <v>0</v>
      </c>
      <c r="H190" s="28">
        <f ca="1">IFERROR(SUMIFS(Energy[2026_TWh],Energy[[Sector]:[Sector]],$A$188, Energy[[Fuel_category]:[Fuel_category]],$B190),"")</f>
        <v>0</v>
      </c>
      <c r="I190" s="28">
        <f ca="1">IFERROR(SUMIFS(Energy[2027_TWh],Energy[[Sector]:[Sector]],$A$188, Energy[[Fuel_category]:[Fuel_category]],$B190),"")</f>
        <v>0</v>
      </c>
      <c r="J190" s="28">
        <f ca="1">IFERROR(SUMIFS(Energy[2028_TWh],Energy[[Sector]:[Sector]],$A$188, Energy[[Fuel_category]:[Fuel_category]],$B190),"")</f>
        <v>0</v>
      </c>
      <c r="K190" s="28">
        <f ca="1">IFERROR(SUMIFS(Energy[2029_TWh],Energy[[Sector]:[Sector]],$A$188, Energy[[Fuel_category]:[Fuel_category]],$B190),"")</f>
        <v>0</v>
      </c>
      <c r="L190" s="28">
        <f ca="1">IFERROR(SUMIFS(Energy[2030_TWh],Energy[[Sector]:[Sector]],$A$188, Energy[[Fuel_category]:[Fuel_category]],$B190),"")</f>
        <v>0</v>
      </c>
      <c r="M190" s="28">
        <f ca="1">IFERROR(SUMIFS(Energy[2031_TWh],Energy[[Sector]:[Sector]],$A$188, Energy[[Fuel_category]:[Fuel_category]],$B190),"")</f>
        <v>0</v>
      </c>
      <c r="N190" s="28">
        <f ca="1">IFERROR(SUMIFS(Energy[2032_TWh],Energy[[Sector]:[Sector]],$A$188, Energy[[Fuel_category]:[Fuel_category]],$B190),"")</f>
        <v>0</v>
      </c>
      <c r="O190" s="28">
        <f ca="1">IFERROR(SUMIFS(Energy[2033_TWh],Energy[[Sector]:[Sector]],$A$188, Energy[[Fuel_category]:[Fuel_category]],$B190),"")</f>
        <v>0</v>
      </c>
      <c r="P190" s="28">
        <f ca="1">IFERROR(SUMIFS(Energy[2034_TWh],Energy[[Sector]:[Sector]],$A$188, Energy[[Fuel_category]:[Fuel_category]],$B190),"")</f>
        <v>0</v>
      </c>
      <c r="Q190" s="28">
        <f ca="1">IFERROR(SUMIFS(Energy[2035_TWh],Energy[[Sector]:[Sector]],$A$188, Energy[[Fuel_category]:[Fuel_category]],$B190),"")</f>
        <v>0</v>
      </c>
      <c r="R190" s="28">
        <f ca="1">IFERROR(SUMIFS(Energy[2036_TWh],Energy[[Sector]:[Sector]],$A$188, Energy[[Fuel_category]:[Fuel_category]],$B190),"")</f>
        <v>0</v>
      </c>
      <c r="S190" s="28">
        <f ca="1">IFERROR(SUMIFS(Energy[2037_TWh],Energy[[Sector]:[Sector]],$A$188, Energy[[Fuel_category]:[Fuel_category]],$B190),"")</f>
        <v>0</v>
      </c>
      <c r="T190" s="28">
        <f ca="1">IFERROR(SUMIFS(Energy[2038_TWh],Energy[[Sector]:[Sector]],$A$188, Energy[[Fuel_category]:[Fuel_category]],$B190),"")</f>
        <v>0</v>
      </c>
      <c r="U190" s="28">
        <f ca="1">IFERROR(SUMIFS(Energy[2039_TWh],Energy[[Sector]:[Sector]],$A$188, Energy[[Fuel_category]:[Fuel_category]],$B190),"")</f>
        <v>0</v>
      </c>
      <c r="V190" s="28">
        <f ca="1">IFERROR(SUMIFS(Energy[2040_TWh],Energy[[Sector]:[Sector]],$A$188, Energy[[Fuel_category]:[Fuel_category]],$B190),"")</f>
        <v>0</v>
      </c>
      <c r="W190" s="28">
        <f ca="1">IFERROR(SUMIFS(Energy[2041_TWh],Energy[[Sector]:[Sector]],$A$188, Energy[[Fuel_category]:[Fuel_category]],$B190),"")</f>
        <v>0</v>
      </c>
      <c r="X190" s="28">
        <f ca="1">IFERROR(SUMIFS(Energy[2042_TWh],Energy[[Sector]:[Sector]],$A$188, Energy[[Fuel_category]:[Fuel_category]],$B190),"")</f>
        <v>0</v>
      </c>
      <c r="Y190" s="28">
        <f ca="1">IFERROR(SUMIFS(Energy[2043_TWh],Energy[[Sector]:[Sector]],$A$188, Energy[[Fuel_category]:[Fuel_category]],$B190),"")</f>
        <v>0</v>
      </c>
      <c r="Z190" s="28">
        <f ca="1">IFERROR(SUMIFS(Energy[2044_TWh],Energy[[Sector]:[Sector]],$A$188, Energy[[Fuel_category]:[Fuel_category]],$B190),"")</f>
        <v>0</v>
      </c>
      <c r="AA190" s="28">
        <f ca="1">IFERROR(SUMIFS(Energy[2045_TWh],Energy[[Sector]:[Sector]],$A$188, Energy[[Fuel_category]:[Fuel_category]],$B190),"")</f>
        <v>0</v>
      </c>
      <c r="AB190" s="28">
        <f ca="1">IFERROR(SUMIFS(Energy[2046_TWh],Energy[[Sector]:[Sector]],$A$188, Energy[[Fuel_category]:[Fuel_category]],$B190),"")</f>
        <v>0</v>
      </c>
      <c r="AC190" s="28">
        <f ca="1">IFERROR(SUMIFS(Energy[2047_TWh],Energy[[Sector]:[Sector]],$A$188, Energy[[Fuel_category]:[Fuel_category]],$B190),"")</f>
        <v>0</v>
      </c>
      <c r="AD190" s="28">
        <f ca="1">IFERROR(SUMIFS(Energy[2048_TWh],Energy[[Sector]:[Sector]],$A$188, Energy[[Fuel_category]:[Fuel_category]],$B190),"")</f>
        <v>0</v>
      </c>
      <c r="AE190" s="28">
        <f ca="1">IFERROR(SUMIFS(Energy[2049_TWh],Energy[[Sector]:[Sector]],$A$188, Energy[[Fuel_category]:[Fuel_category]],$B190),"")</f>
        <v>0</v>
      </c>
      <c r="AF190" s="28">
        <f ca="1">IFERROR(SUMIFS(Energy[2050_TWh],Energy[[Sector]:[Sector]],$A$188, Energy[[Fuel_category]:[Fuel_category]],$B190),"")</f>
        <v>0</v>
      </c>
      <c r="AG190" s="28">
        <f ca="1">IFERROR(SUMIFS(Energy[2051_TWh],Energy[[Sector]:[Sector]],$A$188, Energy[[Fuel_category]:[Fuel_category]],$B190),"")</f>
        <v>0</v>
      </c>
    </row>
    <row r="191" spans="1:33" x14ac:dyDescent="0.45">
      <c r="B191" s="21" t="s">
        <v>35</v>
      </c>
      <c r="C191" s="28">
        <f ca="1">IFERROR(SUMIFS(Energy[2021_TWh],Energy[[Sector]:[Sector]],$A$188, Energy[[Fuel_category]:[Fuel_category]],$B191),"")</f>
        <v>0</v>
      </c>
      <c r="D191" s="28">
        <f ca="1">IFERROR(SUMIFS(Energy[2022_TWh],Energy[[Sector]:[Sector]],$A$188, Energy[[Fuel_category]:[Fuel_category]],$B191),"")</f>
        <v>0</v>
      </c>
      <c r="E191" s="28">
        <f ca="1">IFERROR(SUMIFS(Energy[2023_TWh],Energy[[Sector]:[Sector]],$A$188, Energy[[Fuel_category]:[Fuel_category]],$B191),"")</f>
        <v>0</v>
      </c>
      <c r="F191" s="28">
        <f ca="1">IFERROR(SUMIFS(Energy[2024_TWh],Energy[[Sector]:[Sector]],$A$188, Energy[[Fuel_category]:[Fuel_category]],$B191),"")</f>
        <v>0</v>
      </c>
      <c r="G191" s="28">
        <f ca="1">IFERROR(SUMIFS(Energy[2025_TWh],Energy[[Sector]:[Sector]],$A$188, Energy[[Fuel_category]:[Fuel_category]],$B191),"")</f>
        <v>0</v>
      </c>
      <c r="H191" s="28">
        <f ca="1">IFERROR(SUMIFS(Energy[2026_TWh],Energy[[Sector]:[Sector]],$A$188, Energy[[Fuel_category]:[Fuel_category]],$B191),"")</f>
        <v>0</v>
      </c>
      <c r="I191" s="28">
        <f ca="1">IFERROR(SUMIFS(Energy[2027_TWh],Energy[[Sector]:[Sector]],$A$188, Energy[[Fuel_category]:[Fuel_category]],$B191),"")</f>
        <v>0</v>
      </c>
      <c r="J191" s="28">
        <f ca="1">IFERROR(SUMIFS(Energy[2028_TWh],Energy[[Sector]:[Sector]],$A$188, Energy[[Fuel_category]:[Fuel_category]],$B191),"")</f>
        <v>0</v>
      </c>
      <c r="K191" s="28">
        <f ca="1">IFERROR(SUMIFS(Energy[2029_TWh],Energy[[Sector]:[Sector]],$A$188, Energy[[Fuel_category]:[Fuel_category]],$B191),"")</f>
        <v>0</v>
      </c>
      <c r="L191" s="28">
        <f ca="1">IFERROR(SUMIFS(Energy[2030_TWh],Energy[[Sector]:[Sector]],$A$188, Energy[[Fuel_category]:[Fuel_category]],$B191),"")</f>
        <v>0</v>
      </c>
      <c r="M191" s="28">
        <f ca="1">IFERROR(SUMIFS(Energy[2031_TWh],Energy[[Sector]:[Sector]],$A$188, Energy[[Fuel_category]:[Fuel_category]],$B191),"")</f>
        <v>0</v>
      </c>
      <c r="N191" s="28">
        <f ca="1">IFERROR(SUMIFS(Energy[2032_TWh],Energy[[Sector]:[Sector]],$A$188, Energy[[Fuel_category]:[Fuel_category]],$B191),"")</f>
        <v>0</v>
      </c>
      <c r="O191" s="28">
        <f ca="1">IFERROR(SUMIFS(Energy[2033_TWh],Energy[[Sector]:[Sector]],$A$188, Energy[[Fuel_category]:[Fuel_category]],$B191),"")</f>
        <v>0</v>
      </c>
      <c r="P191" s="28">
        <f ca="1">IFERROR(SUMIFS(Energy[2034_TWh],Energy[[Sector]:[Sector]],$A$188, Energy[[Fuel_category]:[Fuel_category]],$B191),"")</f>
        <v>0</v>
      </c>
      <c r="Q191" s="28">
        <f ca="1">IFERROR(SUMIFS(Energy[2035_TWh],Energy[[Sector]:[Sector]],$A$188, Energy[[Fuel_category]:[Fuel_category]],$B191),"")</f>
        <v>0</v>
      </c>
      <c r="R191" s="28">
        <f ca="1">IFERROR(SUMIFS(Energy[2036_TWh],Energy[[Sector]:[Sector]],$A$188, Energy[[Fuel_category]:[Fuel_category]],$B191),"")</f>
        <v>0</v>
      </c>
      <c r="S191" s="28">
        <f ca="1">IFERROR(SUMIFS(Energy[2037_TWh],Energy[[Sector]:[Sector]],$A$188, Energy[[Fuel_category]:[Fuel_category]],$B191),"")</f>
        <v>0</v>
      </c>
      <c r="T191" s="28">
        <f ca="1">IFERROR(SUMIFS(Energy[2038_TWh],Energy[[Sector]:[Sector]],$A$188, Energy[[Fuel_category]:[Fuel_category]],$B191),"")</f>
        <v>0</v>
      </c>
      <c r="U191" s="28">
        <f ca="1">IFERROR(SUMIFS(Energy[2039_TWh],Energy[[Sector]:[Sector]],$A$188, Energy[[Fuel_category]:[Fuel_category]],$B191),"")</f>
        <v>0</v>
      </c>
      <c r="V191" s="28">
        <f ca="1">IFERROR(SUMIFS(Energy[2040_TWh],Energy[[Sector]:[Sector]],$A$188, Energy[[Fuel_category]:[Fuel_category]],$B191),"")</f>
        <v>0</v>
      </c>
      <c r="W191" s="28">
        <f ca="1">IFERROR(SUMIFS(Energy[2041_TWh],Energy[[Sector]:[Sector]],$A$188, Energy[[Fuel_category]:[Fuel_category]],$B191),"")</f>
        <v>0</v>
      </c>
      <c r="X191" s="28">
        <f ca="1">IFERROR(SUMIFS(Energy[2042_TWh],Energy[[Sector]:[Sector]],$A$188, Energy[[Fuel_category]:[Fuel_category]],$B191),"")</f>
        <v>0</v>
      </c>
      <c r="Y191" s="28">
        <f ca="1">IFERROR(SUMIFS(Energy[2043_TWh],Energy[[Sector]:[Sector]],$A$188, Energy[[Fuel_category]:[Fuel_category]],$B191),"")</f>
        <v>0</v>
      </c>
      <c r="Z191" s="28">
        <f ca="1">IFERROR(SUMIFS(Energy[2044_TWh],Energy[[Sector]:[Sector]],$A$188, Energy[[Fuel_category]:[Fuel_category]],$B191),"")</f>
        <v>0</v>
      </c>
      <c r="AA191" s="28">
        <f ca="1">IFERROR(SUMIFS(Energy[2045_TWh],Energy[[Sector]:[Sector]],$A$188, Energy[[Fuel_category]:[Fuel_category]],$B191),"")</f>
        <v>0</v>
      </c>
      <c r="AB191" s="28">
        <f ca="1">IFERROR(SUMIFS(Energy[2046_TWh],Energy[[Sector]:[Sector]],$A$188, Energy[[Fuel_category]:[Fuel_category]],$B191),"")</f>
        <v>0</v>
      </c>
      <c r="AC191" s="28">
        <f ca="1">IFERROR(SUMIFS(Energy[2047_TWh],Energy[[Sector]:[Sector]],$A$188, Energy[[Fuel_category]:[Fuel_category]],$B191),"")</f>
        <v>0</v>
      </c>
      <c r="AD191" s="28">
        <f ca="1">IFERROR(SUMIFS(Energy[2048_TWh],Energy[[Sector]:[Sector]],$A$188, Energy[[Fuel_category]:[Fuel_category]],$B191),"")</f>
        <v>0</v>
      </c>
      <c r="AE191" s="28">
        <f ca="1">IFERROR(SUMIFS(Energy[2049_TWh],Energy[[Sector]:[Sector]],$A$188, Energy[[Fuel_category]:[Fuel_category]],$B191),"")</f>
        <v>0</v>
      </c>
      <c r="AF191" s="28">
        <f ca="1">IFERROR(SUMIFS(Energy[2050_TWh],Energy[[Sector]:[Sector]],$A$188, Energy[[Fuel_category]:[Fuel_category]],$B191),"")</f>
        <v>0</v>
      </c>
      <c r="AG191" s="28">
        <f ca="1">IFERROR(SUMIFS(Energy[2051_TWh],Energy[[Sector]:[Sector]],$A$188, Energy[[Fuel_category]:[Fuel_category]],$B191),"")</f>
        <v>0</v>
      </c>
    </row>
    <row r="192" spans="1:33" x14ac:dyDescent="0.45">
      <c r="B192" s="21" t="s">
        <v>26</v>
      </c>
      <c r="C192" s="28">
        <f ca="1">IFERROR(SUMIFS(Energy[2021_TWh],Energy[[Sector]:[Sector]],$A$188, Energy[[Fuel_category]:[Fuel_category]],$B192),"")</f>
        <v>0</v>
      </c>
      <c r="D192" s="28">
        <f ca="1">IFERROR(SUMIFS(Energy[2022_TWh],Energy[[Sector]:[Sector]],$A$188, Energy[[Fuel_category]:[Fuel_category]],$B192),"")</f>
        <v>0</v>
      </c>
      <c r="E192" s="28">
        <f ca="1">IFERROR(SUMIFS(Energy[2023_TWh],Energy[[Sector]:[Sector]],$A$188, Energy[[Fuel_category]:[Fuel_category]],$B192),"")</f>
        <v>0</v>
      </c>
      <c r="F192" s="28">
        <f ca="1">IFERROR(SUMIFS(Energy[2024_TWh],Energy[[Sector]:[Sector]],$A$188, Energy[[Fuel_category]:[Fuel_category]],$B192),"")</f>
        <v>0</v>
      </c>
      <c r="G192" s="28">
        <f ca="1">IFERROR(SUMIFS(Energy[2025_TWh],Energy[[Sector]:[Sector]],$A$188, Energy[[Fuel_category]:[Fuel_category]],$B192),"")</f>
        <v>0</v>
      </c>
      <c r="H192" s="28">
        <f ca="1">IFERROR(SUMIFS(Energy[2026_TWh],Energy[[Sector]:[Sector]],$A$188, Energy[[Fuel_category]:[Fuel_category]],$B192),"")</f>
        <v>0</v>
      </c>
      <c r="I192" s="28">
        <f ca="1">IFERROR(SUMIFS(Energy[2027_TWh],Energy[[Sector]:[Sector]],$A$188, Energy[[Fuel_category]:[Fuel_category]],$B192),"")</f>
        <v>0</v>
      </c>
      <c r="J192" s="28">
        <f ca="1">IFERROR(SUMIFS(Energy[2028_TWh],Energy[[Sector]:[Sector]],$A$188, Energy[[Fuel_category]:[Fuel_category]],$B192),"")</f>
        <v>0</v>
      </c>
      <c r="K192" s="28">
        <f ca="1">IFERROR(SUMIFS(Energy[2029_TWh],Energy[[Sector]:[Sector]],$A$188, Energy[[Fuel_category]:[Fuel_category]],$B192),"")</f>
        <v>0</v>
      </c>
      <c r="L192" s="28">
        <f ca="1">IFERROR(SUMIFS(Energy[2030_TWh],Energy[[Sector]:[Sector]],$A$188, Energy[[Fuel_category]:[Fuel_category]],$B192),"")</f>
        <v>0</v>
      </c>
      <c r="M192" s="28">
        <f ca="1">IFERROR(SUMIFS(Energy[2031_TWh],Energy[[Sector]:[Sector]],$A$188, Energy[[Fuel_category]:[Fuel_category]],$B192),"")</f>
        <v>0</v>
      </c>
      <c r="N192" s="28">
        <f ca="1">IFERROR(SUMIFS(Energy[2032_TWh],Energy[[Sector]:[Sector]],$A$188, Energy[[Fuel_category]:[Fuel_category]],$B192),"")</f>
        <v>0</v>
      </c>
      <c r="O192" s="28">
        <f ca="1">IFERROR(SUMIFS(Energy[2033_TWh],Energy[[Sector]:[Sector]],$A$188, Energy[[Fuel_category]:[Fuel_category]],$B192),"")</f>
        <v>0</v>
      </c>
      <c r="P192" s="28">
        <f ca="1">IFERROR(SUMIFS(Energy[2034_TWh],Energy[[Sector]:[Sector]],$A$188, Energy[[Fuel_category]:[Fuel_category]],$B192),"")</f>
        <v>0</v>
      </c>
      <c r="Q192" s="28">
        <f ca="1">IFERROR(SUMIFS(Energy[2035_TWh],Energy[[Sector]:[Sector]],$A$188, Energy[[Fuel_category]:[Fuel_category]],$B192),"")</f>
        <v>0</v>
      </c>
      <c r="R192" s="28">
        <f ca="1">IFERROR(SUMIFS(Energy[2036_TWh],Energy[[Sector]:[Sector]],$A$188, Energy[[Fuel_category]:[Fuel_category]],$B192),"")</f>
        <v>0</v>
      </c>
      <c r="S192" s="28">
        <f ca="1">IFERROR(SUMIFS(Energy[2037_TWh],Energy[[Sector]:[Sector]],$A$188, Energy[[Fuel_category]:[Fuel_category]],$B192),"")</f>
        <v>0</v>
      </c>
      <c r="T192" s="28">
        <f ca="1">IFERROR(SUMIFS(Energy[2038_TWh],Energy[[Sector]:[Sector]],$A$188, Energy[[Fuel_category]:[Fuel_category]],$B192),"")</f>
        <v>0</v>
      </c>
      <c r="U192" s="28">
        <f ca="1">IFERROR(SUMIFS(Energy[2039_TWh],Energy[[Sector]:[Sector]],$A$188, Energy[[Fuel_category]:[Fuel_category]],$B192),"")</f>
        <v>0</v>
      </c>
      <c r="V192" s="28">
        <f ca="1">IFERROR(SUMIFS(Energy[2040_TWh],Energy[[Sector]:[Sector]],$A$188, Energy[[Fuel_category]:[Fuel_category]],$B192),"")</f>
        <v>0</v>
      </c>
      <c r="W192" s="28">
        <f ca="1">IFERROR(SUMIFS(Energy[2041_TWh],Energy[[Sector]:[Sector]],$A$188, Energy[[Fuel_category]:[Fuel_category]],$B192),"")</f>
        <v>0</v>
      </c>
      <c r="X192" s="28">
        <f ca="1">IFERROR(SUMIFS(Energy[2042_TWh],Energy[[Sector]:[Sector]],$A$188, Energy[[Fuel_category]:[Fuel_category]],$B192),"")</f>
        <v>0</v>
      </c>
      <c r="Y192" s="28">
        <f ca="1">IFERROR(SUMIFS(Energy[2043_TWh],Energy[[Sector]:[Sector]],$A$188, Energy[[Fuel_category]:[Fuel_category]],$B192),"")</f>
        <v>0</v>
      </c>
      <c r="Z192" s="28">
        <f ca="1">IFERROR(SUMIFS(Energy[2044_TWh],Energy[[Sector]:[Sector]],$A$188, Energy[[Fuel_category]:[Fuel_category]],$B192),"")</f>
        <v>0</v>
      </c>
      <c r="AA192" s="28">
        <f ca="1">IFERROR(SUMIFS(Energy[2045_TWh],Energy[[Sector]:[Sector]],$A$188, Energy[[Fuel_category]:[Fuel_category]],$B192),"")</f>
        <v>0</v>
      </c>
      <c r="AB192" s="28">
        <f ca="1">IFERROR(SUMIFS(Energy[2046_TWh],Energy[[Sector]:[Sector]],$A$188, Energy[[Fuel_category]:[Fuel_category]],$B192),"")</f>
        <v>0</v>
      </c>
      <c r="AC192" s="28">
        <f ca="1">IFERROR(SUMIFS(Energy[2047_TWh],Energy[[Sector]:[Sector]],$A$188, Energy[[Fuel_category]:[Fuel_category]],$B192),"")</f>
        <v>0</v>
      </c>
      <c r="AD192" s="28">
        <f ca="1">IFERROR(SUMIFS(Energy[2048_TWh],Energy[[Sector]:[Sector]],$A$188, Energy[[Fuel_category]:[Fuel_category]],$B192),"")</f>
        <v>0</v>
      </c>
      <c r="AE192" s="28">
        <f ca="1">IFERROR(SUMIFS(Energy[2049_TWh],Energy[[Sector]:[Sector]],$A$188, Energy[[Fuel_category]:[Fuel_category]],$B192),"")</f>
        <v>0</v>
      </c>
      <c r="AF192" s="28">
        <f ca="1">IFERROR(SUMIFS(Energy[2050_TWh],Energy[[Sector]:[Sector]],$A$188, Energy[[Fuel_category]:[Fuel_category]],$B192),"")</f>
        <v>0</v>
      </c>
      <c r="AG192" s="28">
        <f ca="1">IFERROR(SUMIFS(Energy[2051_TWh],Energy[[Sector]:[Sector]],$A$188, Energy[[Fuel_category]:[Fuel_category]],$B192),"")</f>
        <v>0</v>
      </c>
    </row>
    <row r="193" spans="1:33" x14ac:dyDescent="0.45">
      <c r="B193" s="21" t="s">
        <v>113</v>
      </c>
      <c r="C193" s="28">
        <f ca="1">IFERROR(SUMIFS(Energy[2021_TWh],Energy[[Sector]:[Sector]],$A$188, Energy[[Fuel_category]:[Fuel_category]],$B193),"")</f>
        <v>0</v>
      </c>
      <c r="D193" s="28">
        <f ca="1">IFERROR(SUMIFS(Energy[2022_TWh],Energy[[Sector]:[Sector]],$A$188, Energy[[Fuel_category]:[Fuel_category]],$B193),"")</f>
        <v>0</v>
      </c>
      <c r="E193" s="28">
        <f ca="1">IFERROR(SUMIFS(Energy[2023_TWh],Energy[[Sector]:[Sector]],$A$188, Energy[[Fuel_category]:[Fuel_category]],$B193),"")</f>
        <v>0</v>
      </c>
      <c r="F193" s="28">
        <f ca="1">IFERROR(SUMIFS(Energy[2024_TWh],Energy[[Sector]:[Sector]],$A$188, Energy[[Fuel_category]:[Fuel_category]],$B193),"")</f>
        <v>0</v>
      </c>
      <c r="G193" s="28">
        <f ca="1">IFERROR(SUMIFS(Energy[2025_TWh],Energy[[Sector]:[Sector]],$A$188, Energy[[Fuel_category]:[Fuel_category]],$B193),"")</f>
        <v>0</v>
      </c>
      <c r="H193" s="28">
        <f ca="1">IFERROR(SUMIFS(Energy[2026_TWh],Energy[[Sector]:[Sector]],$A$188, Energy[[Fuel_category]:[Fuel_category]],$B193),"")</f>
        <v>0</v>
      </c>
      <c r="I193" s="28">
        <f ca="1">IFERROR(SUMIFS(Energy[2027_TWh],Energy[[Sector]:[Sector]],$A$188, Energy[[Fuel_category]:[Fuel_category]],$B193),"")</f>
        <v>0</v>
      </c>
      <c r="J193" s="28">
        <f ca="1">IFERROR(SUMIFS(Energy[2028_TWh],Energy[[Sector]:[Sector]],$A$188, Energy[[Fuel_category]:[Fuel_category]],$B193),"")</f>
        <v>0</v>
      </c>
      <c r="K193" s="28">
        <f ca="1">IFERROR(SUMIFS(Energy[2029_TWh],Energy[[Sector]:[Sector]],$A$188, Energy[[Fuel_category]:[Fuel_category]],$B193),"")</f>
        <v>0</v>
      </c>
      <c r="L193" s="28">
        <f ca="1">IFERROR(SUMIFS(Energy[2030_TWh],Energy[[Sector]:[Sector]],$A$188, Energy[[Fuel_category]:[Fuel_category]],$B193),"")</f>
        <v>0</v>
      </c>
      <c r="M193" s="28">
        <f ca="1">IFERROR(SUMIFS(Energy[2031_TWh],Energy[[Sector]:[Sector]],$A$188, Energy[[Fuel_category]:[Fuel_category]],$B193),"")</f>
        <v>0</v>
      </c>
      <c r="N193" s="28">
        <f ca="1">IFERROR(SUMIFS(Energy[2032_TWh],Energy[[Sector]:[Sector]],$A$188, Energy[[Fuel_category]:[Fuel_category]],$B193),"")</f>
        <v>0</v>
      </c>
      <c r="O193" s="28">
        <f ca="1">IFERROR(SUMIFS(Energy[2033_TWh],Energy[[Sector]:[Sector]],$A$188, Energy[[Fuel_category]:[Fuel_category]],$B193),"")</f>
        <v>0</v>
      </c>
      <c r="P193" s="28">
        <f ca="1">IFERROR(SUMIFS(Energy[2034_TWh],Energy[[Sector]:[Sector]],$A$188, Energy[[Fuel_category]:[Fuel_category]],$B193),"")</f>
        <v>0</v>
      </c>
      <c r="Q193" s="28">
        <f ca="1">IFERROR(SUMIFS(Energy[2035_TWh],Energy[[Sector]:[Sector]],$A$188, Energy[[Fuel_category]:[Fuel_category]],$B193),"")</f>
        <v>0</v>
      </c>
      <c r="R193" s="28">
        <f ca="1">IFERROR(SUMIFS(Energy[2036_TWh],Energy[[Sector]:[Sector]],$A$188, Energy[[Fuel_category]:[Fuel_category]],$B193),"")</f>
        <v>0</v>
      </c>
      <c r="S193" s="28">
        <f ca="1">IFERROR(SUMIFS(Energy[2037_TWh],Energy[[Sector]:[Sector]],$A$188, Energy[[Fuel_category]:[Fuel_category]],$B193),"")</f>
        <v>0</v>
      </c>
      <c r="T193" s="28">
        <f ca="1">IFERROR(SUMIFS(Energy[2038_TWh],Energy[[Sector]:[Sector]],$A$188, Energy[[Fuel_category]:[Fuel_category]],$B193),"")</f>
        <v>0</v>
      </c>
      <c r="U193" s="28">
        <f ca="1">IFERROR(SUMIFS(Energy[2039_TWh],Energy[[Sector]:[Sector]],$A$188, Energy[[Fuel_category]:[Fuel_category]],$B193),"")</f>
        <v>0</v>
      </c>
      <c r="V193" s="28">
        <f ca="1">IFERROR(SUMIFS(Energy[2040_TWh],Energy[[Sector]:[Sector]],$A$188, Energy[[Fuel_category]:[Fuel_category]],$B193),"")</f>
        <v>0</v>
      </c>
      <c r="W193" s="28">
        <f ca="1">IFERROR(SUMIFS(Energy[2041_TWh],Energy[[Sector]:[Sector]],$A$188, Energy[[Fuel_category]:[Fuel_category]],$B193),"")</f>
        <v>0</v>
      </c>
      <c r="X193" s="28">
        <f ca="1">IFERROR(SUMIFS(Energy[2042_TWh],Energy[[Sector]:[Sector]],$A$188, Energy[[Fuel_category]:[Fuel_category]],$B193),"")</f>
        <v>0</v>
      </c>
      <c r="Y193" s="28">
        <f ca="1">IFERROR(SUMIFS(Energy[2043_TWh],Energy[[Sector]:[Sector]],$A$188, Energy[[Fuel_category]:[Fuel_category]],$B193),"")</f>
        <v>0</v>
      </c>
      <c r="Z193" s="28">
        <f ca="1">IFERROR(SUMIFS(Energy[2044_TWh],Energy[[Sector]:[Sector]],$A$188, Energy[[Fuel_category]:[Fuel_category]],$B193),"")</f>
        <v>0</v>
      </c>
      <c r="AA193" s="28">
        <f ca="1">IFERROR(SUMIFS(Energy[2045_TWh],Energy[[Sector]:[Sector]],$A$188, Energy[[Fuel_category]:[Fuel_category]],$B193),"")</f>
        <v>0</v>
      </c>
      <c r="AB193" s="28">
        <f ca="1">IFERROR(SUMIFS(Energy[2046_TWh],Energy[[Sector]:[Sector]],$A$188, Energy[[Fuel_category]:[Fuel_category]],$B193),"")</f>
        <v>0</v>
      </c>
      <c r="AC193" s="28">
        <f ca="1">IFERROR(SUMIFS(Energy[2047_TWh],Energy[[Sector]:[Sector]],$A$188, Energy[[Fuel_category]:[Fuel_category]],$B193),"")</f>
        <v>0</v>
      </c>
      <c r="AD193" s="28">
        <f ca="1">IFERROR(SUMIFS(Energy[2048_TWh],Energy[[Sector]:[Sector]],$A$188, Energy[[Fuel_category]:[Fuel_category]],$B193),"")</f>
        <v>0</v>
      </c>
      <c r="AE193" s="28">
        <f ca="1">IFERROR(SUMIFS(Energy[2049_TWh],Energy[[Sector]:[Sector]],$A$188, Energy[[Fuel_category]:[Fuel_category]],$B193),"")</f>
        <v>0</v>
      </c>
      <c r="AF193" s="28">
        <f ca="1">IFERROR(SUMIFS(Energy[2050_TWh],Energy[[Sector]:[Sector]],$A$188, Energy[[Fuel_category]:[Fuel_category]],$B193),"")</f>
        <v>0</v>
      </c>
      <c r="AG193" s="28">
        <f ca="1">IFERROR(SUMIFS(Energy[2051_TWh],Energy[[Sector]:[Sector]],$A$188, Energy[[Fuel_category]:[Fuel_category]],$B193),"")</f>
        <v>0</v>
      </c>
    </row>
    <row r="194" spans="1:33" x14ac:dyDescent="0.45">
      <c r="B194" s="21" t="s">
        <v>111</v>
      </c>
      <c r="C194" s="28">
        <f ca="1">IFERROR(SUMIFS(Energy[2021_TWh],Energy[[Sector]:[Sector]],$A$188, Energy[[Fuel_category]:[Fuel_category]],$B194),"")</f>
        <v>0</v>
      </c>
      <c r="D194" s="28">
        <f ca="1">IFERROR(SUMIFS(Energy[2022_TWh],Energy[[Sector]:[Sector]],$A$188, Energy[[Fuel_category]:[Fuel_category]],$B194),"")</f>
        <v>0</v>
      </c>
      <c r="E194" s="28">
        <f ca="1">IFERROR(SUMIFS(Energy[2023_TWh],Energy[[Sector]:[Sector]],$A$188, Energy[[Fuel_category]:[Fuel_category]],$B194),"")</f>
        <v>0</v>
      </c>
      <c r="F194" s="28">
        <f ca="1">IFERROR(SUMIFS(Energy[2024_TWh],Energy[[Sector]:[Sector]],$A$188, Energy[[Fuel_category]:[Fuel_category]],$B194),"")</f>
        <v>0</v>
      </c>
      <c r="G194" s="28">
        <f ca="1">IFERROR(SUMIFS(Energy[2025_TWh],Energy[[Sector]:[Sector]],$A$188, Energy[[Fuel_category]:[Fuel_category]],$B194),"")</f>
        <v>0</v>
      </c>
      <c r="H194" s="28">
        <f ca="1">IFERROR(SUMIFS(Energy[2026_TWh],Energy[[Sector]:[Sector]],$A$188, Energy[[Fuel_category]:[Fuel_category]],$B194),"")</f>
        <v>0</v>
      </c>
      <c r="I194" s="28">
        <f ca="1">IFERROR(SUMIFS(Energy[2027_TWh],Energy[[Sector]:[Sector]],$A$188, Energy[[Fuel_category]:[Fuel_category]],$B194),"")</f>
        <v>0</v>
      </c>
      <c r="J194" s="28">
        <f ca="1">IFERROR(SUMIFS(Energy[2028_TWh],Energy[[Sector]:[Sector]],$A$188, Energy[[Fuel_category]:[Fuel_category]],$B194),"")</f>
        <v>0</v>
      </c>
      <c r="K194" s="28">
        <f ca="1">IFERROR(SUMIFS(Energy[2029_TWh],Energy[[Sector]:[Sector]],$A$188, Energy[[Fuel_category]:[Fuel_category]],$B194),"")</f>
        <v>0</v>
      </c>
      <c r="L194" s="28">
        <f ca="1">IFERROR(SUMIFS(Energy[2030_TWh],Energy[[Sector]:[Sector]],$A$188, Energy[[Fuel_category]:[Fuel_category]],$B194),"")</f>
        <v>0</v>
      </c>
      <c r="M194" s="28">
        <f ca="1">IFERROR(SUMIFS(Energy[2031_TWh],Energy[[Sector]:[Sector]],$A$188, Energy[[Fuel_category]:[Fuel_category]],$B194),"")</f>
        <v>0</v>
      </c>
      <c r="N194" s="28">
        <f ca="1">IFERROR(SUMIFS(Energy[2032_TWh],Energy[[Sector]:[Sector]],$A$188, Energy[[Fuel_category]:[Fuel_category]],$B194),"")</f>
        <v>0</v>
      </c>
      <c r="O194" s="28">
        <f ca="1">IFERROR(SUMIFS(Energy[2033_TWh],Energy[[Sector]:[Sector]],$A$188, Energy[[Fuel_category]:[Fuel_category]],$B194),"")</f>
        <v>0</v>
      </c>
      <c r="P194" s="28">
        <f ca="1">IFERROR(SUMIFS(Energy[2034_TWh],Energy[[Sector]:[Sector]],$A$188, Energy[[Fuel_category]:[Fuel_category]],$B194),"")</f>
        <v>0</v>
      </c>
      <c r="Q194" s="28">
        <f ca="1">IFERROR(SUMIFS(Energy[2035_TWh],Energy[[Sector]:[Sector]],$A$188, Energy[[Fuel_category]:[Fuel_category]],$B194),"")</f>
        <v>0</v>
      </c>
      <c r="R194" s="28">
        <f ca="1">IFERROR(SUMIFS(Energy[2036_TWh],Energy[[Sector]:[Sector]],$A$188, Energy[[Fuel_category]:[Fuel_category]],$B194),"")</f>
        <v>0</v>
      </c>
      <c r="S194" s="28">
        <f ca="1">IFERROR(SUMIFS(Energy[2037_TWh],Energy[[Sector]:[Sector]],$A$188, Energy[[Fuel_category]:[Fuel_category]],$B194),"")</f>
        <v>0</v>
      </c>
      <c r="T194" s="28">
        <f ca="1">IFERROR(SUMIFS(Energy[2038_TWh],Energy[[Sector]:[Sector]],$A$188, Energy[[Fuel_category]:[Fuel_category]],$B194),"")</f>
        <v>0</v>
      </c>
      <c r="U194" s="28">
        <f ca="1">IFERROR(SUMIFS(Energy[2039_TWh],Energy[[Sector]:[Sector]],$A$188, Energy[[Fuel_category]:[Fuel_category]],$B194),"")</f>
        <v>0</v>
      </c>
      <c r="V194" s="28">
        <f ca="1">IFERROR(SUMIFS(Energy[2040_TWh],Energy[[Sector]:[Sector]],$A$188, Energy[[Fuel_category]:[Fuel_category]],$B194),"")</f>
        <v>0</v>
      </c>
      <c r="W194" s="28">
        <f ca="1">IFERROR(SUMIFS(Energy[2041_TWh],Energy[[Sector]:[Sector]],$A$188, Energy[[Fuel_category]:[Fuel_category]],$B194),"")</f>
        <v>0</v>
      </c>
      <c r="X194" s="28">
        <f ca="1">IFERROR(SUMIFS(Energy[2042_TWh],Energy[[Sector]:[Sector]],$A$188, Energy[[Fuel_category]:[Fuel_category]],$B194),"")</f>
        <v>0</v>
      </c>
      <c r="Y194" s="28">
        <f ca="1">IFERROR(SUMIFS(Energy[2043_TWh],Energy[[Sector]:[Sector]],$A$188, Energy[[Fuel_category]:[Fuel_category]],$B194),"")</f>
        <v>0</v>
      </c>
      <c r="Z194" s="28">
        <f ca="1">IFERROR(SUMIFS(Energy[2044_TWh],Energy[[Sector]:[Sector]],$A$188, Energy[[Fuel_category]:[Fuel_category]],$B194),"")</f>
        <v>0</v>
      </c>
      <c r="AA194" s="28">
        <f ca="1">IFERROR(SUMIFS(Energy[2045_TWh],Energy[[Sector]:[Sector]],$A$188, Energy[[Fuel_category]:[Fuel_category]],$B194),"")</f>
        <v>0</v>
      </c>
      <c r="AB194" s="28">
        <f ca="1">IFERROR(SUMIFS(Energy[2046_TWh],Energy[[Sector]:[Sector]],$A$188, Energy[[Fuel_category]:[Fuel_category]],$B194),"")</f>
        <v>0</v>
      </c>
      <c r="AC194" s="28">
        <f ca="1">IFERROR(SUMIFS(Energy[2047_TWh],Energy[[Sector]:[Sector]],$A$188, Energy[[Fuel_category]:[Fuel_category]],$B194),"")</f>
        <v>0</v>
      </c>
      <c r="AD194" s="28">
        <f ca="1">IFERROR(SUMIFS(Energy[2048_TWh],Energy[[Sector]:[Sector]],$A$188, Energy[[Fuel_category]:[Fuel_category]],$B194),"")</f>
        <v>0</v>
      </c>
      <c r="AE194" s="28">
        <f ca="1">IFERROR(SUMIFS(Energy[2049_TWh],Energy[[Sector]:[Sector]],$A$188, Energy[[Fuel_category]:[Fuel_category]],$B194),"")</f>
        <v>0</v>
      </c>
      <c r="AF194" s="28">
        <f ca="1">IFERROR(SUMIFS(Energy[2050_TWh],Energy[[Sector]:[Sector]],$A$188, Energy[[Fuel_category]:[Fuel_category]],$B194),"")</f>
        <v>0</v>
      </c>
      <c r="AG194" s="28">
        <f ca="1">IFERROR(SUMIFS(Energy[2051_TWh],Energy[[Sector]:[Sector]],$A$188, Energy[[Fuel_category]:[Fuel_category]],$B194),"")</f>
        <v>0</v>
      </c>
    </row>
    <row r="195" spans="1:33" ht="14.65" thickBot="1" x14ac:dyDescent="0.5">
      <c r="B195" s="29" t="s">
        <v>124</v>
      </c>
      <c r="C195" s="31">
        <f ca="1">IF(C105&lt;&gt;"",SUM(C188:C193),"")</f>
        <v>0</v>
      </c>
      <c r="D195" s="31">
        <f t="shared" ref="D195:AF195" ca="1" si="40">IF(D105&lt;&gt;"",SUM(D188:D193),"")</f>
        <v>0</v>
      </c>
      <c r="E195" s="31">
        <f t="shared" ca="1" si="40"/>
        <v>0</v>
      </c>
      <c r="F195" s="31">
        <f t="shared" ca="1" si="40"/>
        <v>0</v>
      </c>
      <c r="G195" s="31">
        <f t="shared" ca="1" si="40"/>
        <v>0</v>
      </c>
      <c r="H195" s="31">
        <f t="shared" ca="1" si="40"/>
        <v>0</v>
      </c>
      <c r="I195" s="31">
        <f t="shared" ca="1" si="40"/>
        <v>0</v>
      </c>
      <c r="J195" s="31">
        <f t="shared" ca="1" si="40"/>
        <v>0</v>
      </c>
      <c r="K195" s="31">
        <f t="shared" ca="1" si="40"/>
        <v>0</v>
      </c>
      <c r="L195" s="31">
        <f t="shared" ca="1" si="40"/>
        <v>0</v>
      </c>
      <c r="M195" s="31">
        <f t="shared" ca="1" si="40"/>
        <v>0</v>
      </c>
      <c r="N195" s="31">
        <f t="shared" ca="1" si="40"/>
        <v>0</v>
      </c>
      <c r="O195" s="31">
        <f t="shared" ca="1" si="40"/>
        <v>0</v>
      </c>
      <c r="P195" s="31">
        <f t="shared" ca="1" si="40"/>
        <v>0</v>
      </c>
      <c r="Q195" s="31">
        <f t="shared" ca="1" si="40"/>
        <v>0</v>
      </c>
      <c r="R195" s="31">
        <f t="shared" ca="1" si="40"/>
        <v>0</v>
      </c>
      <c r="S195" s="31">
        <f t="shared" ca="1" si="40"/>
        <v>0</v>
      </c>
      <c r="T195" s="31">
        <f t="shared" ca="1" si="40"/>
        <v>0</v>
      </c>
      <c r="U195" s="31">
        <f t="shared" ca="1" si="40"/>
        <v>0</v>
      </c>
      <c r="V195" s="31">
        <f t="shared" ca="1" si="40"/>
        <v>0</v>
      </c>
      <c r="W195" s="31">
        <f t="shared" ca="1" si="40"/>
        <v>0</v>
      </c>
      <c r="X195" s="31">
        <f t="shared" ca="1" si="40"/>
        <v>0</v>
      </c>
      <c r="Y195" s="31">
        <f t="shared" ca="1" si="40"/>
        <v>0</v>
      </c>
      <c r="Z195" s="31">
        <f t="shared" ca="1" si="40"/>
        <v>0</v>
      </c>
      <c r="AA195" s="31">
        <f t="shared" ca="1" si="40"/>
        <v>0</v>
      </c>
      <c r="AB195" s="31">
        <f t="shared" ca="1" si="40"/>
        <v>0</v>
      </c>
      <c r="AC195" s="31">
        <f t="shared" ca="1" si="40"/>
        <v>0</v>
      </c>
      <c r="AD195" s="31">
        <f t="shared" ca="1" si="40"/>
        <v>0</v>
      </c>
      <c r="AE195" s="31">
        <f t="shared" ca="1" si="40"/>
        <v>0</v>
      </c>
      <c r="AF195" s="31">
        <f t="shared" ca="1" si="40"/>
        <v>0</v>
      </c>
      <c r="AG195" s="31">
        <f t="shared" ref="AG195" ca="1" si="41">IF(AG105&lt;&gt;"",SUM(AG188:AG193),"")</f>
        <v>0</v>
      </c>
    </row>
    <row r="196" spans="1:33" ht="14.65" thickTop="1" x14ac:dyDescent="0.45"/>
    <row r="197" spans="1:33" ht="15.75" customHeight="1" x14ac:dyDescent="0.45">
      <c r="B197" s="6"/>
      <c r="C197" s="6">
        <v>2021</v>
      </c>
      <c r="D197" s="6">
        <v>2022</v>
      </c>
      <c r="E197" s="6">
        <v>2023</v>
      </c>
      <c r="F197" s="6">
        <v>2024</v>
      </c>
      <c r="G197" s="6">
        <v>2025</v>
      </c>
      <c r="H197" s="6">
        <v>2026</v>
      </c>
      <c r="I197" s="6">
        <v>2027</v>
      </c>
      <c r="J197" s="6">
        <v>2028</v>
      </c>
      <c r="K197" s="6">
        <v>2029</v>
      </c>
      <c r="L197" s="6">
        <v>2030</v>
      </c>
      <c r="M197" s="6">
        <v>2031</v>
      </c>
      <c r="N197" s="6">
        <v>2032</v>
      </c>
      <c r="O197" s="6">
        <v>2033</v>
      </c>
      <c r="P197" s="6">
        <v>2034</v>
      </c>
      <c r="Q197" s="6">
        <v>2035</v>
      </c>
      <c r="R197" s="6">
        <v>2036</v>
      </c>
      <c r="S197" s="6">
        <v>2037</v>
      </c>
      <c r="T197" s="6">
        <v>2038</v>
      </c>
      <c r="U197" s="6">
        <v>2039</v>
      </c>
      <c r="V197" s="6">
        <v>2040</v>
      </c>
      <c r="W197" s="6">
        <v>2041</v>
      </c>
      <c r="X197" s="6">
        <v>2042</v>
      </c>
      <c r="Y197" s="6">
        <v>2043</v>
      </c>
      <c r="Z197" s="6">
        <v>2044</v>
      </c>
      <c r="AA197" s="6">
        <v>2045</v>
      </c>
      <c r="AB197" s="6">
        <v>2046</v>
      </c>
      <c r="AC197" s="6">
        <v>2047</v>
      </c>
      <c r="AD197" s="6">
        <v>2048</v>
      </c>
      <c r="AE197" s="6">
        <v>2049</v>
      </c>
      <c r="AF197" s="6">
        <v>2050</v>
      </c>
      <c r="AG197" s="6">
        <v>2051</v>
      </c>
    </row>
    <row r="198" spans="1:33" x14ac:dyDescent="0.45">
      <c r="A198" s="60" t="s">
        <v>275</v>
      </c>
      <c r="B198" s="21" t="s">
        <v>82</v>
      </c>
      <c r="C198" s="28">
        <f ca="1">IFERROR(SUMIFS(Energy[2021_TWh],Energy[[Sector]:[Sector]],$A$198, Energy[[Fuel_category]:[Fuel_category]],$B198),"")</f>
        <v>0</v>
      </c>
      <c r="D198" s="28">
        <f ca="1">IFERROR(SUMIFS(Energy[2022_TWh],Energy[[Sector]:[Sector]],$A$198, Energy[[Fuel_category]:[Fuel_category]],$B198),"")</f>
        <v>0</v>
      </c>
      <c r="E198" s="28">
        <f ca="1">IFERROR(SUMIFS(Energy[2023_TWh],Energy[[Sector]:[Sector]],$A$198, Energy[[Fuel_category]:[Fuel_category]],$B198),"")</f>
        <v>0</v>
      </c>
      <c r="F198" s="28">
        <f ca="1">IFERROR(SUMIFS(Energy[2024_TWh],Energy[[Sector]:[Sector]],$A$198, Energy[[Fuel_category]:[Fuel_category]],$B198),"")</f>
        <v>0</v>
      </c>
      <c r="G198" s="28">
        <f ca="1">IFERROR(SUMIFS(Energy[2025_TWh],Energy[[Sector]:[Sector]],$A$198, Energy[[Fuel_category]:[Fuel_category]],$B198),"")</f>
        <v>0</v>
      </c>
      <c r="H198" s="28">
        <f ca="1">IFERROR(SUMIFS(Energy[2026_TWh],Energy[[Sector]:[Sector]],$A$198, Energy[[Fuel_category]:[Fuel_category]],$B198),"")</f>
        <v>0</v>
      </c>
      <c r="I198" s="28">
        <f ca="1">IFERROR(SUMIFS(Energy[2027_TWh],Energy[[Sector]:[Sector]],$A$198, Energy[[Fuel_category]:[Fuel_category]],$B198),"")</f>
        <v>0</v>
      </c>
      <c r="J198" s="28">
        <f ca="1">IFERROR(SUMIFS(Energy[2028_TWh],Energy[[Sector]:[Sector]],$A$198, Energy[[Fuel_category]:[Fuel_category]],$B198),"")</f>
        <v>0</v>
      </c>
      <c r="K198" s="28">
        <f ca="1">IFERROR(SUMIFS(Energy[2029_TWh],Energy[[Sector]:[Sector]],$A$198, Energy[[Fuel_category]:[Fuel_category]],$B198),"")</f>
        <v>0</v>
      </c>
      <c r="L198" s="28">
        <f ca="1">IFERROR(SUMIFS(Energy[2030_TWh],Energy[[Sector]:[Sector]],$A$198, Energy[[Fuel_category]:[Fuel_category]],$B198),"")</f>
        <v>0</v>
      </c>
      <c r="M198" s="28">
        <f ca="1">IFERROR(SUMIFS(Energy[2031_TWh],Energy[[Sector]:[Sector]],$A$198, Energy[[Fuel_category]:[Fuel_category]],$B198),"")</f>
        <v>0</v>
      </c>
      <c r="N198" s="28">
        <f ca="1">IFERROR(SUMIFS(Energy[2032_TWh],Energy[[Sector]:[Sector]],$A$198, Energy[[Fuel_category]:[Fuel_category]],$B198),"")</f>
        <v>0</v>
      </c>
      <c r="O198" s="28">
        <f ca="1">IFERROR(SUMIFS(Energy[2033_TWh],Energy[[Sector]:[Sector]],$A$198, Energy[[Fuel_category]:[Fuel_category]],$B198),"")</f>
        <v>0</v>
      </c>
      <c r="P198" s="28">
        <f ca="1">IFERROR(SUMIFS(Energy[2034_TWh],Energy[[Sector]:[Sector]],$A$198, Energy[[Fuel_category]:[Fuel_category]],$B198),"")</f>
        <v>0</v>
      </c>
      <c r="Q198" s="28">
        <f ca="1">IFERROR(SUMIFS(Energy[2035_TWh],Energy[[Sector]:[Sector]],$A$198, Energy[[Fuel_category]:[Fuel_category]],$B198),"")</f>
        <v>0</v>
      </c>
      <c r="R198" s="28">
        <f ca="1">IFERROR(SUMIFS(Energy[2036_TWh],Energy[[Sector]:[Sector]],$A$198, Energy[[Fuel_category]:[Fuel_category]],$B198),"")</f>
        <v>0</v>
      </c>
      <c r="S198" s="28">
        <f ca="1">IFERROR(SUMIFS(Energy[2037_TWh],Energy[[Sector]:[Sector]],$A$198, Energy[[Fuel_category]:[Fuel_category]],$B198),"")</f>
        <v>0</v>
      </c>
      <c r="T198" s="28">
        <f ca="1">IFERROR(SUMIFS(Energy[2038_TWh],Energy[[Sector]:[Sector]],$A$198, Energy[[Fuel_category]:[Fuel_category]],$B198),"")</f>
        <v>0</v>
      </c>
      <c r="U198" s="28">
        <f ca="1">IFERROR(SUMIFS(Energy[2039_TWh],Energy[[Sector]:[Sector]],$A$198, Energy[[Fuel_category]:[Fuel_category]],$B198),"")</f>
        <v>0</v>
      </c>
      <c r="V198" s="28">
        <f ca="1">IFERROR(SUMIFS(Energy[2040_TWh],Energy[[Sector]:[Sector]],$A$198, Energy[[Fuel_category]:[Fuel_category]],$B198),"")</f>
        <v>0</v>
      </c>
      <c r="W198" s="28">
        <f ca="1">IFERROR(SUMIFS(Energy[2041_TWh],Energy[[Sector]:[Sector]],$A$198, Energy[[Fuel_category]:[Fuel_category]],$B198),"")</f>
        <v>0</v>
      </c>
      <c r="X198" s="28">
        <f ca="1">IFERROR(SUMIFS(Energy[2042_TWh],Energy[[Sector]:[Sector]],$A$198, Energy[[Fuel_category]:[Fuel_category]],$B198),"")</f>
        <v>0</v>
      </c>
      <c r="Y198" s="28">
        <f ca="1">IFERROR(SUMIFS(Energy[2043_TWh],Energy[[Sector]:[Sector]],$A$198, Energy[[Fuel_category]:[Fuel_category]],$B198),"")</f>
        <v>0</v>
      </c>
      <c r="Z198" s="28">
        <f ca="1">IFERROR(SUMIFS(Energy[2044_TWh],Energy[[Sector]:[Sector]],$A$198, Energy[[Fuel_category]:[Fuel_category]],$B198),"")</f>
        <v>0</v>
      </c>
      <c r="AA198" s="28">
        <f ca="1">IFERROR(SUMIFS(Energy[2045_TWh],Energy[[Sector]:[Sector]],$A$198, Energy[[Fuel_category]:[Fuel_category]],$B198),"")</f>
        <v>0</v>
      </c>
      <c r="AB198" s="28">
        <f ca="1">IFERROR(SUMIFS(Energy[2046_TWh],Energy[[Sector]:[Sector]],$A$198, Energy[[Fuel_category]:[Fuel_category]],$B198),"")</f>
        <v>0</v>
      </c>
      <c r="AC198" s="28">
        <f ca="1">IFERROR(SUMIFS(Energy[2047_TWh],Energy[[Sector]:[Sector]],$A$198, Energy[[Fuel_category]:[Fuel_category]],$B198),"")</f>
        <v>0</v>
      </c>
      <c r="AD198" s="28">
        <f ca="1">IFERROR(SUMIFS(Energy[2048_TWh],Energy[[Sector]:[Sector]],$A$198, Energy[[Fuel_category]:[Fuel_category]],$B198),"")</f>
        <v>0</v>
      </c>
      <c r="AE198" s="28">
        <f ca="1">IFERROR(SUMIFS(Energy[2049_TWh],Energy[[Sector]:[Sector]],$A$198, Energy[[Fuel_category]:[Fuel_category]],$B198),"")</f>
        <v>0</v>
      </c>
      <c r="AF198" s="28">
        <f ca="1">IFERROR(SUMIFS(Energy[2050_TWh],Energy[[Sector]:[Sector]],$A$198, Energy[[Fuel_category]:[Fuel_category]],$B198),"")</f>
        <v>0</v>
      </c>
      <c r="AG198" s="28">
        <f ca="1">IFERROR(SUMIFS(Energy[2051_TWh],Energy[[Sector]:[Sector]],$A$198, Energy[[Fuel_category]:[Fuel_category]],$B198),"")</f>
        <v>0</v>
      </c>
    </row>
    <row r="199" spans="1:33" x14ac:dyDescent="0.45">
      <c r="B199" s="21" t="s">
        <v>83</v>
      </c>
      <c r="C199" s="28">
        <f ca="1">IFERROR(SUMIFS(Energy[2021_TWh],Energy[[Sector]:[Sector]],$A$198, Energy[[Fuel_category]:[Fuel_category]],$B199),"")</f>
        <v>0</v>
      </c>
      <c r="D199" s="28">
        <f ca="1">IFERROR(SUMIFS(Energy[2022_TWh],Energy[[Sector]:[Sector]],$A$198, Energy[[Fuel_category]:[Fuel_category]],$B199),"")</f>
        <v>0</v>
      </c>
      <c r="E199" s="28">
        <f ca="1">IFERROR(SUMIFS(Energy[2023_TWh],Energy[[Sector]:[Sector]],$A$198, Energy[[Fuel_category]:[Fuel_category]],$B199),"")</f>
        <v>0</v>
      </c>
      <c r="F199" s="28">
        <f ca="1">IFERROR(SUMIFS(Energy[2024_TWh],Energy[[Sector]:[Sector]],$A$198, Energy[[Fuel_category]:[Fuel_category]],$B199),"")</f>
        <v>0</v>
      </c>
      <c r="G199" s="28">
        <f ca="1">IFERROR(SUMIFS(Energy[2025_TWh],Energy[[Sector]:[Sector]],$A$198, Energy[[Fuel_category]:[Fuel_category]],$B199),"")</f>
        <v>0</v>
      </c>
      <c r="H199" s="28">
        <f ca="1">IFERROR(SUMIFS(Energy[2026_TWh],Energy[[Sector]:[Sector]],$A$198, Energy[[Fuel_category]:[Fuel_category]],$B199),"")</f>
        <v>0</v>
      </c>
      <c r="I199" s="28">
        <f ca="1">IFERROR(SUMIFS(Energy[2027_TWh],Energy[[Sector]:[Sector]],$A$198, Energy[[Fuel_category]:[Fuel_category]],$B199),"")</f>
        <v>0</v>
      </c>
      <c r="J199" s="28">
        <f ca="1">IFERROR(SUMIFS(Energy[2028_TWh],Energy[[Sector]:[Sector]],$A$198, Energy[[Fuel_category]:[Fuel_category]],$B199),"")</f>
        <v>0</v>
      </c>
      <c r="K199" s="28">
        <f ca="1">IFERROR(SUMIFS(Energy[2029_TWh],Energy[[Sector]:[Sector]],$A$198, Energy[[Fuel_category]:[Fuel_category]],$B199),"")</f>
        <v>0</v>
      </c>
      <c r="L199" s="28">
        <f ca="1">IFERROR(SUMIFS(Energy[2030_TWh],Energy[[Sector]:[Sector]],$A$198, Energy[[Fuel_category]:[Fuel_category]],$B199),"")</f>
        <v>0</v>
      </c>
      <c r="M199" s="28">
        <f ca="1">IFERROR(SUMIFS(Energy[2031_TWh],Energy[[Sector]:[Sector]],$A$198, Energy[[Fuel_category]:[Fuel_category]],$B199),"")</f>
        <v>0</v>
      </c>
      <c r="N199" s="28">
        <f ca="1">IFERROR(SUMIFS(Energy[2032_TWh],Energy[[Sector]:[Sector]],$A$198, Energy[[Fuel_category]:[Fuel_category]],$B199),"")</f>
        <v>0</v>
      </c>
      <c r="O199" s="28">
        <f ca="1">IFERROR(SUMIFS(Energy[2033_TWh],Energy[[Sector]:[Sector]],$A$198, Energy[[Fuel_category]:[Fuel_category]],$B199),"")</f>
        <v>0</v>
      </c>
      <c r="P199" s="28">
        <f ca="1">IFERROR(SUMIFS(Energy[2034_TWh],Energy[[Sector]:[Sector]],$A$198, Energy[[Fuel_category]:[Fuel_category]],$B199),"")</f>
        <v>0</v>
      </c>
      <c r="Q199" s="28">
        <f ca="1">IFERROR(SUMIFS(Energy[2035_TWh],Energy[[Sector]:[Sector]],$A$198, Energy[[Fuel_category]:[Fuel_category]],$B199),"")</f>
        <v>0</v>
      </c>
      <c r="R199" s="28">
        <f ca="1">IFERROR(SUMIFS(Energy[2036_TWh],Energy[[Sector]:[Sector]],$A$198, Energy[[Fuel_category]:[Fuel_category]],$B199),"")</f>
        <v>0</v>
      </c>
      <c r="S199" s="28">
        <f ca="1">IFERROR(SUMIFS(Energy[2037_TWh],Energy[[Sector]:[Sector]],$A$198, Energy[[Fuel_category]:[Fuel_category]],$B199),"")</f>
        <v>0</v>
      </c>
      <c r="T199" s="28">
        <f ca="1">IFERROR(SUMIFS(Energy[2038_TWh],Energy[[Sector]:[Sector]],$A$198, Energy[[Fuel_category]:[Fuel_category]],$B199),"")</f>
        <v>0</v>
      </c>
      <c r="U199" s="28">
        <f ca="1">IFERROR(SUMIFS(Energy[2039_TWh],Energy[[Sector]:[Sector]],$A$198, Energy[[Fuel_category]:[Fuel_category]],$B199),"")</f>
        <v>0</v>
      </c>
      <c r="V199" s="28">
        <f ca="1">IFERROR(SUMIFS(Energy[2040_TWh],Energy[[Sector]:[Sector]],$A$198, Energy[[Fuel_category]:[Fuel_category]],$B199),"")</f>
        <v>0</v>
      </c>
      <c r="W199" s="28">
        <f ca="1">IFERROR(SUMIFS(Energy[2041_TWh],Energy[[Sector]:[Sector]],$A$198, Energy[[Fuel_category]:[Fuel_category]],$B199),"")</f>
        <v>0</v>
      </c>
      <c r="X199" s="28">
        <f ca="1">IFERROR(SUMIFS(Energy[2042_TWh],Energy[[Sector]:[Sector]],$A$198, Energy[[Fuel_category]:[Fuel_category]],$B199),"")</f>
        <v>0</v>
      </c>
      <c r="Y199" s="28">
        <f ca="1">IFERROR(SUMIFS(Energy[2043_TWh],Energy[[Sector]:[Sector]],$A$198, Energy[[Fuel_category]:[Fuel_category]],$B199),"")</f>
        <v>0</v>
      </c>
      <c r="Z199" s="28">
        <f ca="1">IFERROR(SUMIFS(Energy[2044_TWh],Energy[[Sector]:[Sector]],$A$198, Energy[[Fuel_category]:[Fuel_category]],$B199),"")</f>
        <v>0</v>
      </c>
      <c r="AA199" s="28">
        <f ca="1">IFERROR(SUMIFS(Energy[2045_TWh],Energy[[Sector]:[Sector]],$A$198, Energy[[Fuel_category]:[Fuel_category]],$B199),"")</f>
        <v>0</v>
      </c>
      <c r="AB199" s="28">
        <f ca="1">IFERROR(SUMIFS(Energy[2046_TWh],Energy[[Sector]:[Sector]],$A$198, Energy[[Fuel_category]:[Fuel_category]],$B199),"")</f>
        <v>0</v>
      </c>
      <c r="AC199" s="28">
        <f ca="1">IFERROR(SUMIFS(Energy[2047_TWh],Energy[[Sector]:[Sector]],$A$198, Energy[[Fuel_category]:[Fuel_category]],$B199),"")</f>
        <v>0</v>
      </c>
      <c r="AD199" s="28">
        <f ca="1">IFERROR(SUMIFS(Energy[2048_TWh],Energy[[Sector]:[Sector]],$A$198, Energy[[Fuel_category]:[Fuel_category]],$B199),"")</f>
        <v>0</v>
      </c>
      <c r="AE199" s="28">
        <f ca="1">IFERROR(SUMIFS(Energy[2049_TWh],Energy[[Sector]:[Sector]],$A$198, Energy[[Fuel_category]:[Fuel_category]],$B199),"")</f>
        <v>0</v>
      </c>
      <c r="AF199" s="28">
        <f ca="1">IFERROR(SUMIFS(Energy[2050_TWh],Energy[[Sector]:[Sector]],$A$198, Energy[[Fuel_category]:[Fuel_category]],$B199),"")</f>
        <v>0</v>
      </c>
      <c r="AG199" s="28">
        <f ca="1">IFERROR(SUMIFS(Energy[2051_TWh],Energy[[Sector]:[Sector]],$A$198, Energy[[Fuel_category]:[Fuel_category]],$B199),"")</f>
        <v>0</v>
      </c>
    </row>
    <row r="200" spans="1:33" x14ac:dyDescent="0.45">
      <c r="B200" s="21" t="s">
        <v>67</v>
      </c>
      <c r="C200" s="28">
        <f ca="1">IFERROR(SUMIFS(Energy[2021_TWh],Energy[[Sector]:[Sector]],$A$198, Energy[[Fuel_category]:[Fuel_category]],$B200),"")</f>
        <v>0</v>
      </c>
      <c r="D200" s="28">
        <f ca="1">IFERROR(SUMIFS(Energy[2022_TWh],Energy[[Sector]:[Sector]],$A$198, Energy[[Fuel_category]:[Fuel_category]],$B200),"")</f>
        <v>0</v>
      </c>
      <c r="E200" s="28">
        <f ca="1">IFERROR(SUMIFS(Energy[2023_TWh],Energy[[Sector]:[Sector]],$A$198, Energy[[Fuel_category]:[Fuel_category]],$B200),"")</f>
        <v>0</v>
      </c>
      <c r="F200" s="28">
        <f ca="1">IFERROR(SUMIFS(Energy[2024_TWh],Energy[[Sector]:[Sector]],$A$198, Energy[[Fuel_category]:[Fuel_category]],$B200),"")</f>
        <v>0</v>
      </c>
      <c r="G200" s="28">
        <f ca="1">IFERROR(SUMIFS(Energy[2025_TWh],Energy[[Sector]:[Sector]],$A$198, Energy[[Fuel_category]:[Fuel_category]],$B200),"")</f>
        <v>0</v>
      </c>
      <c r="H200" s="28">
        <f ca="1">IFERROR(SUMIFS(Energy[2026_TWh],Energy[[Sector]:[Sector]],$A$198, Energy[[Fuel_category]:[Fuel_category]],$B200),"")</f>
        <v>0</v>
      </c>
      <c r="I200" s="28">
        <f ca="1">IFERROR(SUMIFS(Energy[2027_TWh],Energy[[Sector]:[Sector]],$A$198, Energy[[Fuel_category]:[Fuel_category]],$B200),"")</f>
        <v>0</v>
      </c>
      <c r="J200" s="28">
        <f ca="1">IFERROR(SUMIFS(Energy[2028_TWh],Energy[[Sector]:[Sector]],$A$198, Energy[[Fuel_category]:[Fuel_category]],$B200),"")</f>
        <v>0</v>
      </c>
      <c r="K200" s="28">
        <f ca="1">IFERROR(SUMIFS(Energy[2029_TWh],Energy[[Sector]:[Sector]],$A$198, Energy[[Fuel_category]:[Fuel_category]],$B200),"")</f>
        <v>0</v>
      </c>
      <c r="L200" s="28">
        <f ca="1">IFERROR(SUMIFS(Energy[2030_TWh],Energy[[Sector]:[Sector]],$A$198, Energy[[Fuel_category]:[Fuel_category]],$B200),"")</f>
        <v>0</v>
      </c>
      <c r="M200" s="28">
        <f ca="1">IFERROR(SUMIFS(Energy[2031_TWh],Energy[[Sector]:[Sector]],$A$198, Energy[[Fuel_category]:[Fuel_category]],$B200),"")</f>
        <v>0</v>
      </c>
      <c r="N200" s="28">
        <f ca="1">IFERROR(SUMIFS(Energy[2032_TWh],Energy[[Sector]:[Sector]],$A$198, Energy[[Fuel_category]:[Fuel_category]],$B200),"")</f>
        <v>0</v>
      </c>
      <c r="O200" s="28">
        <f ca="1">IFERROR(SUMIFS(Energy[2033_TWh],Energy[[Sector]:[Sector]],$A$198, Energy[[Fuel_category]:[Fuel_category]],$B200),"")</f>
        <v>0</v>
      </c>
      <c r="P200" s="28">
        <f ca="1">IFERROR(SUMIFS(Energy[2034_TWh],Energy[[Sector]:[Sector]],$A$198, Energy[[Fuel_category]:[Fuel_category]],$B200),"")</f>
        <v>0</v>
      </c>
      <c r="Q200" s="28">
        <f ca="1">IFERROR(SUMIFS(Energy[2035_TWh],Energy[[Sector]:[Sector]],$A$198, Energy[[Fuel_category]:[Fuel_category]],$B200),"")</f>
        <v>0</v>
      </c>
      <c r="R200" s="28">
        <f ca="1">IFERROR(SUMIFS(Energy[2036_TWh],Energy[[Sector]:[Sector]],$A$198, Energy[[Fuel_category]:[Fuel_category]],$B200),"")</f>
        <v>0</v>
      </c>
      <c r="S200" s="28">
        <f ca="1">IFERROR(SUMIFS(Energy[2037_TWh],Energy[[Sector]:[Sector]],$A$198, Energy[[Fuel_category]:[Fuel_category]],$B200),"")</f>
        <v>0</v>
      </c>
      <c r="T200" s="28">
        <f ca="1">IFERROR(SUMIFS(Energy[2038_TWh],Energy[[Sector]:[Sector]],$A$198, Energy[[Fuel_category]:[Fuel_category]],$B200),"")</f>
        <v>0</v>
      </c>
      <c r="U200" s="28">
        <f ca="1">IFERROR(SUMIFS(Energy[2039_TWh],Energy[[Sector]:[Sector]],$A$198, Energy[[Fuel_category]:[Fuel_category]],$B200),"")</f>
        <v>0</v>
      </c>
      <c r="V200" s="28">
        <f ca="1">IFERROR(SUMIFS(Energy[2040_TWh],Energy[[Sector]:[Sector]],$A$198, Energy[[Fuel_category]:[Fuel_category]],$B200),"")</f>
        <v>0</v>
      </c>
      <c r="W200" s="28">
        <f ca="1">IFERROR(SUMIFS(Energy[2041_TWh],Energy[[Sector]:[Sector]],$A$198, Energy[[Fuel_category]:[Fuel_category]],$B200),"")</f>
        <v>0</v>
      </c>
      <c r="X200" s="28">
        <f ca="1">IFERROR(SUMIFS(Energy[2042_TWh],Energy[[Sector]:[Sector]],$A$198, Energy[[Fuel_category]:[Fuel_category]],$B200),"")</f>
        <v>0</v>
      </c>
      <c r="Y200" s="28">
        <f ca="1">IFERROR(SUMIFS(Energy[2043_TWh],Energy[[Sector]:[Sector]],$A$198, Energy[[Fuel_category]:[Fuel_category]],$B200),"")</f>
        <v>0</v>
      </c>
      <c r="Z200" s="28">
        <f ca="1">IFERROR(SUMIFS(Energy[2044_TWh],Energy[[Sector]:[Sector]],$A$198, Energy[[Fuel_category]:[Fuel_category]],$B200),"")</f>
        <v>0</v>
      </c>
      <c r="AA200" s="28">
        <f ca="1">IFERROR(SUMIFS(Energy[2045_TWh],Energy[[Sector]:[Sector]],$A$198, Energy[[Fuel_category]:[Fuel_category]],$B200),"")</f>
        <v>0</v>
      </c>
      <c r="AB200" s="28">
        <f ca="1">IFERROR(SUMIFS(Energy[2046_TWh],Energy[[Sector]:[Sector]],$A$198, Energy[[Fuel_category]:[Fuel_category]],$B200),"")</f>
        <v>0</v>
      </c>
      <c r="AC200" s="28">
        <f ca="1">IFERROR(SUMIFS(Energy[2047_TWh],Energy[[Sector]:[Sector]],$A$198, Energy[[Fuel_category]:[Fuel_category]],$B200),"")</f>
        <v>0</v>
      </c>
      <c r="AD200" s="28">
        <f ca="1">IFERROR(SUMIFS(Energy[2048_TWh],Energy[[Sector]:[Sector]],$A$198, Energy[[Fuel_category]:[Fuel_category]],$B200),"")</f>
        <v>0</v>
      </c>
      <c r="AE200" s="28">
        <f ca="1">IFERROR(SUMIFS(Energy[2049_TWh],Energy[[Sector]:[Sector]],$A$198, Energy[[Fuel_category]:[Fuel_category]],$B200),"")</f>
        <v>0</v>
      </c>
      <c r="AF200" s="28">
        <f ca="1">IFERROR(SUMIFS(Energy[2050_TWh],Energy[[Sector]:[Sector]],$A$198, Energy[[Fuel_category]:[Fuel_category]],$B200),"")</f>
        <v>0</v>
      </c>
      <c r="AG200" s="28">
        <f ca="1">IFERROR(SUMIFS(Energy[2051_TWh],Energy[[Sector]:[Sector]],$A$198, Energy[[Fuel_category]:[Fuel_category]],$B200),"")</f>
        <v>0</v>
      </c>
    </row>
    <row r="201" spans="1:33" x14ac:dyDescent="0.45">
      <c r="B201" s="21" t="s">
        <v>35</v>
      </c>
      <c r="C201" s="28">
        <f ca="1">IFERROR(SUMIFS(Energy[2021_TWh],Energy[[Sector]:[Sector]],$A$198, Energy[[Fuel_category]:[Fuel_category]],$B201),"")</f>
        <v>0</v>
      </c>
      <c r="D201" s="28">
        <f ca="1">IFERROR(SUMIFS(Energy[2022_TWh],Energy[[Sector]:[Sector]],$A$198, Energy[[Fuel_category]:[Fuel_category]],$B201),"")</f>
        <v>0</v>
      </c>
      <c r="E201" s="28">
        <f ca="1">IFERROR(SUMIFS(Energy[2023_TWh],Energy[[Sector]:[Sector]],$A$198, Energy[[Fuel_category]:[Fuel_category]],$B201),"")</f>
        <v>0</v>
      </c>
      <c r="F201" s="28">
        <f ca="1">IFERROR(SUMIFS(Energy[2024_TWh],Energy[[Sector]:[Sector]],$A$198, Energy[[Fuel_category]:[Fuel_category]],$B201),"")</f>
        <v>0</v>
      </c>
      <c r="G201" s="28">
        <f ca="1">IFERROR(SUMIFS(Energy[2025_TWh],Energy[[Sector]:[Sector]],$A$198, Energy[[Fuel_category]:[Fuel_category]],$B201),"")</f>
        <v>0</v>
      </c>
      <c r="H201" s="28">
        <f ca="1">IFERROR(SUMIFS(Energy[2026_TWh],Energy[[Sector]:[Sector]],$A$198, Energy[[Fuel_category]:[Fuel_category]],$B201),"")</f>
        <v>0</v>
      </c>
      <c r="I201" s="28">
        <f ca="1">IFERROR(SUMIFS(Energy[2027_TWh],Energy[[Sector]:[Sector]],$A$198, Energy[[Fuel_category]:[Fuel_category]],$B201),"")</f>
        <v>0</v>
      </c>
      <c r="J201" s="28">
        <f ca="1">IFERROR(SUMIFS(Energy[2028_TWh],Energy[[Sector]:[Sector]],$A$198, Energy[[Fuel_category]:[Fuel_category]],$B201),"")</f>
        <v>0</v>
      </c>
      <c r="K201" s="28">
        <f ca="1">IFERROR(SUMIFS(Energy[2029_TWh],Energy[[Sector]:[Sector]],$A$198, Energy[[Fuel_category]:[Fuel_category]],$B201),"")</f>
        <v>0</v>
      </c>
      <c r="L201" s="28">
        <f ca="1">IFERROR(SUMIFS(Energy[2030_TWh],Energy[[Sector]:[Sector]],$A$198, Energy[[Fuel_category]:[Fuel_category]],$B201),"")</f>
        <v>0</v>
      </c>
      <c r="M201" s="28">
        <f ca="1">IFERROR(SUMIFS(Energy[2031_TWh],Energy[[Sector]:[Sector]],$A$198, Energy[[Fuel_category]:[Fuel_category]],$B201),"")</f>
        <v>0</v>
      </c>
      <c r="N201" s="28">
        <f ca="1">IFERROR(SUMIFS(Energy[2032_TWh],Energy[[Sector]:[Sector]],$A$198, Energy[[Fuel_category]:[Fuel_category]],$B201),"")</f>
        <v>0</v>
      </c>
      <c r="O201" s="28">
        <f ca="1">IFERROR(SUMIFS(Energy[2033_TWh],Energy[[Sector]:[Sector]],$A$198, Energy[[Fuel_category]:[Fuel_category]],$B201),"")</f>
        <v>0</v>
      </c>
      <c r="P201" s="28">
        <f ca="1">IFERROR(SUMIFS(Energy[2034_TWh],Energy[[Sector]:[Sector]],$A$198, Energy[[Fuel_category]:[Fuel_category]],$B201),"")</f>
        <v>0</v>
      </c>
      <c r="Q201" s="28">
        <f ca="1">IFERROR(SUMIFS(Energy[2035_TWh],Energy[[Sector]:[Sector]],$A$198, Energy[[Fuel_category]:[Fuel_category]],$B201),"")</f>
        <v>0</v>
      </c>
      <c r="R201" s="28">
        <f ca="1">IFERROR(SUMIFS(Energy[2036_TWh],Energy[[Sector]:[Sector]],$A$198, Energy[[Fuel_category]:[Fuel_category]],$B201),"")</f>
        <v>0</v>
      </c>
      <c r="S201" s="28">
        <f ca="1">IFERROR(SUMIFS(Energy[2037_TWh],Energy[[Sector]:[Sector]],$A$198, Energy[[Fuel_category]:[Fuel_category]],$B201),"")</f>
        <v>0</v>
      </c>
      <c r="T201" s="28">
        <f ca="1">IFERROR(SUMIFS(Energy[2038_TWh],Energy[[Sector]:[Sector]],$A$198, Energy[[Fuel_category]:[Fuel_category]],$B201),"")</f>
        <v>0</v>
      </c>
      <c r="U201" s="28">
        <f ca="1">IFERROR(SUMIFS(Energy[2039_TWh],Energy[[Sector]:[Sector]],$A$198, Energy[[Fuel_category]:[Fuel_category]],$B201),"")</f>
        <v>0</v>
      </c>
      <c r="V201" s="28">
        <f ca="1">IFERROR(SUMIFS(Energy[2040_TWh],Energy[[Sector]:[Sector]],$A$198, Energy[[Fuel_category]:[Fuel_category]],$B201),"")</f>
        <v>0</v>
      </c>
      <c r="W201" s="28">
        <f ca="1">IFERROR(SUMIFS(Energy[2041_TWh],Energy[[Sector]:[Sector]],$A$198, Energy[[Fuel_category]:[Fuel_category]],$B201),"")</f>
        <v>0</v>
      </c>
      <c r="X201" s="28">
        <f ca="1">IFERROR(SUMIFS(Energy[2042_TWh],Energy[[Sector]:[Sector]],$A$198, Energy[[Fuel_category]:[Fuel_category]],$B201),"")</f>
        <v>0</v>
      </c>
      <c r="Y201" s="28">
        <f ca="1">IFERROR(SUMIFS(Energy[2043_TWh],Energy[[Sector]:[Sector]],$A$198, Energy[[Fuel_category]:[Fuel_category]],$B201),"")</f>
        <v>0</v>
      </c>
      <c r="Z201" s="28">
        <f ca="1">IFERROR(SUMIFS(Energy[2044_TWh],Energy[[Sector]:[Sector]],$A$198, Energy[[Fuel_category]:[Fuel_category]],$B201),"")</f>
        <v>0</v>
      </c>
      <c r="AA201" s="28">
        <f ca="1">IFERROR(SUMIFS(Energy[2045_TWh],Energy[[Sector]:[Sector]],$A$198, Energy[[Fuel_category]:[Fuel_category]],$B201),"")</f>
        <v>0</v>
      </c>
      <c r="AB201" s="28">
        <f ca="1">IFERROR(SUMIFS(Energy[2046_TWh],Energy[[Sector]:[Sector]],$A$198, Energy[[Fuel_category]:[Fuel_category]],$B201),"")</f>
        <v>0</v>
      </c>
      <c r="AC201" s="28">
        <f ca="1">IFERROR(SUMIFS(Energy[2047_TWh],Energy[[Sector]:[Sector]],$A$198, Energy[[Fuel_category]:[Fuel_category]],$B201),"")</f>
        <v>0</v>
      </c>
      <c r="AD201" s="28">
        <f ca="1">IFERROR(SUMIFS(Energy[2048_TWh],Energy[[Sector]:[Sector]],$A$198, Energy[[Fuel_category]:[Fuel_category]],$B201),"")</f>
        <v>0</v>
      </c>
      <c r="AE201" s="28">
        <f ca="1">IFERROR(SUMIFS(Energy[2049_TWh],Energy[[Sector]:[Sector]],$A$198, Energy[[Fuel_category]:[Fuel_category]],$B201),"")</f>
        <v>0</v>
      </c>
      <c r="AF201" s="28">
        <f ca="1">IFERROR(SUMIFS(Energy[2050_TWh],Energy[[Sector]:[Sector]],$A$198, Energy[[Fuel_category]:[Fuel_category]],$B201),"")</f>
        <v>0</v>
      </c>
      <c r="AG201" s="28">
        <f ca="1">IFERROR(SUMIFS(Energy[2051_TWh],Energy[[Sector]:[Sector]],$A$198, Energy[[Fuel_category]:[Fuel_category]],$B201),"")</f>
        <v>0</v>
      </c>
    </row>
    <row r="202" spans="1:33" x14ac:dyDescent="0.45">
      <c r="B202" s="21" t="s">
        <v>26</v>
      </c>
      <c r="C202" s="28">
        <f ca="1">IFERROR(SUMIFS(Energy[2021_TWh],Energy[[Sector]:[Sector]],$A$198, Energy[[Fuel_category]:[Fuel_category]],$B202),"")</f>
        <v>0</v>
      </c>
      <c r="D202" s="28">
        <f ca="1">IFERROR(SUMIFS(Energy[2022_TWh],Energy[[Sector]:[Sector]],$A$198, Energy[[Fuel_category]:[Fuel_category]],$B202),"")</f>
        <v>0</v>
      </c>
      <c r="E202" s="28">
        <f ca="1">IFERROR(SUMIFS(Energy[2023_TWh],Energy[[Sector]:[Sector]],$A$198, Energy[[Fuel_category]:[Fuel_category]],$B202),"")</f>
        <v>0</v>
      </c>
      <c r="F202" s="28">
        <f ca="1">IFERROR(SUMIFS(Energy[2024_TWh],Energy[[Sector]:[Sector]],$A$198, Energy[[Fuel_category]:[Fuel_category]],$B202),"")</f>
        <v>0</v>
      </c>
      <c r="G202" s="28">
        <f ca="1">IFERROR(SUMIFS(Energy[2025_TWh],Energy[[Sector]:[Sector]],$A$198, Energy[[Fuel_category]:[Fuel_category]],$B202),"")</f>
        <v>0</v>
      </c>
      <c r="H202" s="28">
        <f ca="1">IFERROR(SUMIFS(Energy[2026_TWh],Energy[[Sector]:[Sector]],$A$198, Energy[[Fuel_category]:[Fuel_category]],$B202),"")</f>
        <v>0</v>
      </c>
      <c r="I202" s="28">
        <f ca="1">IFERROR(SUMIFS(Energy[2027_TWh],Energy[[Sector]:[Sector]],$A$198, Energy[[Fuel_category]:[Fuel_category]],$B202),"")</f>
        <v>0</v>
      </c>
      <c r="J202" s="28">
        <f ca="1">IFERROR(SUMIFS(Energy[2028_TWh],Energy[[Sector]:[Sector]],$A$198, Energy[[Fuel_category]:[Fuel_category]],$B202),"")</f>
        <v>0</v>
      </c>
      <c r="K202" s="28">
        <f ca="1">IFERROR(SUMIFS(Energy[2029_TWh],Energy[[Sector]:[Sector]],$A$198, Energy[[Fuel_category]:[Fuel_category]],$B202),"")</f>
        <v>0</v>
      </c>
      <c r="L202" s="28">
        <f ca="1">IFERROR(SUMIFS(Energy[2030_TWh],Energy[[Sector]:[Sector]],$A$198, Energy[[Fuel_category]:[Fuel_category]],$B202),"")</f>
        <v>0</v>
      </c>
      <c r="M202" s="28">
        <f ca="1">IFERROR(SUMIFS(Energy[2031_TWh],Energy[[Sector]:[Sector]],$A$198, Energy[[Fuel_category]:[Fuel_category]],$B202),"")</f>
        <v>0</v>
      </c>
      <c r="N202" s="28">
        <f ca="1">IFERROR(SUMIFS(Energy[2032_TWh],Energy[[Sector]:[Sector]],$A$198, Energy[[Fuel_category]:[Fuel_category]],$B202),"")</f>
        <v>0</v>
      </c>
      <c r="O202" s="28">
        <f ca="1">IFERROR(SUMIFS(Energy[2033_TWh],Energy[[Sector]:[Sector]],$A$198, Energy[[Fuel_category]:[Fuel_category]],$B202),"")</f>
        <v>0</v>
      </c>
      <c r="P202" s="28">
        <f ca="1">IFERROR(SUMIFS(Energy[2034_TWh],Energy[[Sector]:[Sector]],$A$198, Energy[[Fuel_category]:[Fuel_category]],$B202),"")</f>
        <v>0</v>
      </c>
      <c r="Q202" s="28">
        <f ca="1">IFERROR(SUMIFS(Energy[2035_TWh],Energy[[Sector]:[Sector]],$A$198, Energy[[Fuel_category]:[Fuel_category]],$B202),"")</f>
        <v>0</v>
      </c>
      <c r="R202" s="28">
        <f ca="1">IFERROR(SUMIFS(Energy[2036_TWh],Energy[[Sector]:[Sector]],$A$198, Energy[[Fuel_category]:[Fuel_category]],$B202),"")</f>
        <v>0</v>
      </c>
      <c r="S202" s="28">
        <f ca="1">IFERROR(SUMIFS(Energy[2037_TWh],Energy[[Sector]:[Sector]],$A$198, Energy[[Fuel_category]:[Fuel_category]],$B202),"")</f>
        <v>0</v>
      </c>
      <c r="T202" s="28">
        <f ca="1">IFERROR(SUMIFS(Energy[2038_TWh],Energy[[Sector]:[Sector]],$A$198, Energy[[Fuel_category]:[Fuel_category]],$B202),"")</f>
        <v>0</v>
      </c>
      <c r="U202" s="28">
        <f ca="1">IFERROR(SUMIFS(Energy[2039_TWh],Energy[[Sector]:[Sector]],$A$198, Energy[[Fuel_category]:[Fuel_category]],$B202),"")</f>
        <v>0</v>
      </c>
      <c r="V202" s="28">
        <f ca="1">IFERROR(SUMIFS(Energy[2040_TWh],Energy[[Sector]:[Sector]],$A$198, Energy[[Fuel_category]:[Fuel_category]],$B202),"")</f>
        <v>0</v>
      </c>
      <c r="W202" s="28">
        <f ca="1">IFERROR(SUMIFS(Energy[2041_TWh],Energy[[Sector]:[Sector]],$A$198, Energy[[Fuel_category]:[Fuel_category]],$B202),"")</f>
        <v>0</v>
      </c>
      <c r="X202" s="28">
        <f ca="1">IFERROR(SUMIFS(Energy[2042_TWh],Energy[[Sector]:[Sector]],$A$198, Energy[[Fuel_category]:[Fuel_category]],$B202),"")</f>
        <v>0</v>
      </c>
      <c r="Y202" s="28">
        <f ca="1">IFERROR(SUMIFS(Energy[2043_TWh],Energy[[Sector]:[Sector]],$A$198, Energy[[Fuel_category]:[Fuel_category]],$B202),"")</f>
        <v>0</v>
      </c>
      <c r="Z202" s="28">
        <f ca="1">IFERROR(SUMIFS(Energy[2044_TWh],Energy[[Sector]:[Sector]],$A$198, Energy[[Fuel_category]:[Fuel_category]],$B202),"")</f>
        <v>0</v>
      </c>
      <c r="AA202" s="28">
        <f ca="1">IFERROR(SUMIFS(Energy[2045_TWh],Energy[[Sector]:[Sector]],$A$198, Energy[[Fuel_category]:[Fuel_category]],$B202),"")</f>
        <v>0</v>
      </c>
      <c r="AB202" s="28">
        <f ca="1">IFERROR(SUMIFS(Energy[2046_TWh],Energy[[Sector]:[Sector]],$A$198, Energy[[Fuel_category]:[Fuel_category]],$B202),"")</f>
        <v>0</v>
      </c>
      <c r="AC202" s="28">
        <f ca="1">IFERROR(SUMIFS(Energy[2047_TWh],Energy[[Sector]:[Sector]],$A$198, Energy[[Fuel_category]:[Fuel_category]],$B202),"")</f>
        <v>0</v>
      </c>
      <c r="AD202" s="28">
        <f ca="1">IFERROR(SUMIFS(Energy[2048_TWh],Energy[[Sector]:[Sector]],$A$198, Energy[[Fuel_category]:[Fuel_category]],$B202),"")</f>
        <v>0</v>
      </c>
      <c r="AE202" s="28">
        <f ca="1">IFERROR(SUMIFS(Energy[2049_TWh],Energy[[Sector]:[Sector]],$A$198, Energy[[Fuel_category]:[Fuel_category]],$B202),"")</f>
        <v>0</v>
      </c>
      <c r="AF202" s="28">
        <f ca="1">IFERROR(SUMIFS(Energy[2050_TWh],Energy[[Sector]:[Sector]],$A$198, Energy[[Fuel_category]:[Fuel_category]],$B202),"")</f>
        <v>0</v>
      </c>
      <c r="AG202" s="28">
        <f ca="1">IFERROR(SUMIFS(Energy[2051_TWh],Energy[[Sector]:[Sector]],$A$198, Energy[[Fuel_category]:[Fuel_category]],$B202),"")</f>
        <v>0</v>
      </c>
    </row>
    <row r="203" spans="1:33" x14ac:dyDescent="0.45">
      <c r="B203" s="21" t="s">
        <v>113</v>
      </c>
      <c r="C203" s="28">
        <f ca="1">IFERROR(SUMIFS(Energy[2021_TWh],Energy[[Sector]:[Sector]],$A$198, Energy[[Fuel_category]:[Fuel_category]],$B203),"")</f>
        <v>0</v>
      </c>
      <c r="D203" s="28">
        <f ca="1">IFERROR(SUMIFS(Energy[2022_TWh],Energy[[Sector]:[Sector]],$A$198, Energy[[Fuel_category]:[Fuel_category]],$B203),"")</f>
        <v>0</v>
      </c>
      <c r="E203" s="28">
        <f ca="1">IFERROR(SUMIFS(Energy[2023_TWh],Energy[[Sector]:[Sector]],$A$198, Energy[[Fuel_category]:[Fuel_category]],$B203),"")</f>
        <v>0</v>
      </c>
      <c r="F203" s="28">
        <f ca="1">IFERROR(SUMIFS(Energy[2024_TWh],Energy[[Sector]:[Sector]],$A$198, Energy[[Fuel_category]:[Fuel_category]],$B203),"")</f>
        <v>0</v>
      </c>
      <c r="G203" s="28">
        <f ca="1">IFERROR(SUMIFS(Energy[2025_TWh],Energy[[Sector]:[Sector]],$A$198, Energy[[Fuel_category]:[Fuel_category]],$B203),"")</f>
        <v>0</v>
      </c>
      <c r="H203" s="28">
        <f ca="1">IFERROR(SUMIFS(Energy[2026_TWh],Energy[[Sector]:[Sector]],$A$198, Energy[[Fuel_category]:[Fuel_category]],$B203),"")</f>
        <v>0</v>
      </c>
      <c r="I203" s="28">
        <f ca="1">IFERROR(SUMIFS(Energy[2027_TWh],Energy[[Sector]:[Sector]],$A$198, Energy[[Fuel_category]:[Fuel_category]],$B203),"")</f>
        <v>0</v>
      </c>
      <c r="J203" s="28">
        <f ca="1">IFERROR(SUMIFS(Energy[2028_TWh],Energy[[Sector]:[Sector]],$A$198, Energy[[Fuel_category]:[Fuel_category]],$B203),"")</f>
        <v>0</v>
      </c>
      <c r="K203" s="28">
        <f ca="1">IFERROR(SUMIFS(Energy[2029_TWh],Energy[[Sector]:[Sector]],$A$198, Energy[[Fuel_category]:[Fuel_category]],$B203),"")</f>
        <v>0</v>
      </c>
      <c r="L203" s="28">
        <f ca="1">IFERROR(SUMIFS(Energy[2030_TWh],Energy[[Sector]:[Sector]],$A$198, Energy[[Fuel_category]:[Fuel_category]],$B203),"")</f>
        <v>0</v>
      </c>
      <c r="M203" s="28">
        <f ca="1">IFERROR(SUMIFS(Energy[2031_TWh],Energy[[Sector]:[Sector]],$A$198, Energy[[Fuel_category]:[Fuel_category]],$B203),"")</f>
        <v>0</v>
      </c>
      <c r="N203" s="28">
        <f ca="1">IFERROR(SUMIFS(Energy[2032_TWh],Energy[[Sector]:[Sector]],$A$198, Energy[[Fuel_category]:[Fuel_category]],$B203),"")</f>
        <v>0</v>
      </c>
      <c r="O203" s="28">
        <f ca="1">IFERROR(SUMIFS(Energy[2033_TWh],Energy[[Sector]:[Sector]],$A$198, Energy[[Fuel_category]:[Fuel_category]],$B203),"")</f>
        <v>0</v>
      </c>
      <c r="P203" s="28">
        <f ca="1">IFERROR(SUMIFS(Energy[2034_TWh],Energy[[Sector]:[Sector]],$A$198, Energy[[Fuel_category]:[Fuel_category]],$B203),"")</f>
        <v>0</v>
      </c>
      <c r="Q203" s="28">
        <f ca="1">IFERROR(SUMIFS(Energy[2035_TWh],Energy[[Sector]:[Sector]],$A$198, Energy[[Fuel_category]:[Fuel_category]],$B203),"")</f>
        <v>0</v>
      </c>
      <c r="R203" s="28">
        <f ca="1">IFERROR(SUMIFS(Energy[2036_TWh],Energy[[Sector]:[Sector]],$A$198, Energy[[Fuel_category]:[Fuel_category]],$B203),"")</f>
        <v>0</v>
      </c>
      <c r="S203" s="28">
        <f ca="1">IFERROR(SUMIFS(Energy[2037_TWh],Energy[[Sector]:[Sector]],$A$198, Energy[[Fuel_category]:[Fuel_category]],$B203),"")</f>
        <v>0</v>
      </c>
      <c r="T203" s="28">
        <f ca="1">IFERROR(SUMIFS(Energy[2038_TWh],Energy[[Sector]:[Sector]],$A$198, Energy[[Fuel_category]:[Fuel_category]],$B203),"")</f>
        <v>0</v>
      </c>
      <c r="U203" s="28">
        <f ca="1">IFERROR(SUMIFS(Energy[2039_TWh],Energy[[Sector]:[Sector]],$A$198, Energy[[Fuel_category]:[Fuel_category]],$B203),"")</f>
        <v>0</v>
      </c>
      <c r="V203" s="28">
        <f ca="1">IFERROR(SUMIFS(Energy[2040_TWh],Energy[[Sector]:[Sector]],$A$198, Energy[[Fuel_category]:[Fuel_category]],$B203),"")</f>
        <v>0</v>
      </c>
      <c r="W203" s="28">
        <f ca="1">IFERROR(SUMIFS(Energy[2041_TWh],Energy[[Sector]:[Sector]],$A$198, Energy[[Fuel_category]:[Fuel_category]],$B203),"")</f>
        <v>0</v>
      </c>
      <c r="X203" s="28">
        <f ca="1">IFERROR(SUMIFS(Energy[2042_TWh],Energy[[Sector]:[Sector]],$A$198, Energy[[Fuel_category]:[Fuel_category]],$B203),"")</f>
        <v>0</v>
      </c>
      <c r="Y203" s="28">
        <f ca="1">IFERROR(SUMIFS(Energy[2043_TWh],Energy[[Sector]:[Sector]],$A$198, Energy[[Fuel_category]:[Fuel_category]],$B203),"")</f>
        <v>0</v>
      </c>
      <c r="Z203" s="28">
        <f ca="1">IFERROR(SUMIFS(Energy[2044_TWh],Energy[[Sector]:[Sector]],$A$198, Energy[[Fuel_category]:[Fuel_category]],$B203),"")</f>
        <v>0</v>
      </c>
      <c r="AA203" s="28">
        <f ca="1">IFERROR(SUMIFS(Energy[2045_TWh],Energy[[Sector]:[Sector]],$A$198, Energy[[Fuel_category]:[Fuel_category]],$B203),"")</f>
        <v>0</v>
      </c>
      <c r="AB203" s="28">
        <f ca="1">IFERROR(SUMIFS(Energy[2046_TWh],Energy[[Sector]:[Sector]],$A$198, Energy[[Fuel_category]:[Fuel_category]],$B203),"")</f>
        <v>0</v>
      </c>
      <c r="AC203" s="28">
        <f ca="1">IFERROR(SUMIFS(Energy[2047_TWh],Energy[[Sector]:[Sector]],$A$198, Energy[[Fuel_category]:[Fuel_category]],$B203),"")</f>
        <v>0</v>
      </c>
      <c r="AD203" s="28">
        <f ca="1">IFERROR(SUMIFS(Energy[2048_TWh],Energy[[Sector]:[Sector]],$A$198, Energy[[Fuel_category]:[Fuel_category]],$B203),"")</f>
        <v>0</v>
      </c>
      <c r="AE203" s="28">
        <f ca="1">IFERROR(SUMIFS(Energy[2049_TWh],Energy[[Sector]:[Sector]],$A$198, Energy[[Fuel_category]:[Fuel_category]],$B203),"")</f>
        <v>0</v>
      </c>
      <c r="AF203" s="28">
        <f ca="1">IFERROR(SUMIFS(Energy[2050_TWh],Energy[[Sector]:[Sector]],$A$198, Energy[[Fuel_category]:[Fuel_category]],$B203),"")</f>
        <v>0</v>
      </c>
      <c r="AG203" s="28">
        <f ca="1">IFERROR(SUMIFS(Energy[2051_TWh],Energy[[Sector]:[Sector]],$A$198, Energy[[Fuel_category]:[Fuel_category]],$B203),"")</f>
        <v>0</v>
      </c>
    </row>
    <row r="204" spans="1:33" x14ac:dyDescent="0.45">
      <c r="B204" s="21" t="s">
        <v>111</v>
      </c>
      <c r="C204" s="28">
        <f ca="1">IFERROR(SUMIFS(Energy[2021_TWh],Energy[[Sector]:[Sector]],$A$198, Energy[[Fuel_category]:[Fuel_category]],$B204),"")</f>
        <v>0</v>
      </c>
      <c r="D204" s="28">
        <f ca="1">IFERROR(SUMIFS(Energy[2022_TWh],Energy[[Sector]:[Sector]],$A$198, Energy[[Fuel_category]:[Fuel_category]],$B204),"")</f>
        <v>0</v>
      </c>
      <c r="E204" s="28">
        <f ca="1">IFERROR(SUMIFS(Energy[2023_TWh],Energy[[Sector]:[Sector]],$A$198, Energy[[Fuel_category]:[Fuel_category]],$B204),"")</f>
        <v>0</v>
      </c>
      <c r="F204" s="28">
        <f ca="1">IFERROR(SUMIFS(Energy[2024_TWh],Energy[[Sector]:[Sector]],$A$198, Energy[[Fuel_category]:[Fuel_category]],$B204),"")</f>
        <v>0</v>
      </c>
      <c r="G204" s="28">
        <f ca="1">IFERROR(SUMIFS(Energy[2025_TWh],Energy[[Sector]:[Sector]],$A$198, Energy[[Fuel_category]:[Fuel_category]],$B204),"")</f>
        <v>0</v>
      </c>
      <c r="H204" s="28">
        <f ca="1">IFERROR(SUMIFS(Energy[2026_TWh],Energy[[Sector]:[Sector]],$A$198, Energy[[Fuel_category]:[Fuel_category]],$B204),"")</f>
        <v>0</v>
      </c>
      <c r="I204" s="28">
        <f ca="1">IFERROR(SUMIFS(Energy[2027_TWh],Energy[[Sector]:[Sector]],$A$198, Energy[[Fuel_category]:[Fuel_category]],$B204),"")</f>
        <v>0</v>
      </c>
      <c r="J204" s="28">
        <f ca="1">IFERROR(SUMIFS(Energy[2028_TWh],Energy[[Sector]:[Sector]],$A$198, Energy[[Fuel_category]:[Fuel_category]],$B204),"")</f>
        <v>0</v>
      </c>
      <c r="K204" s="28">
        <f ca="1">IFERROR(SUMIFS(Energy[2029_TWh],Energy[[Sector]:[Sector]],$A$198, Energy[[Fuel_category]:[Fuel_category]],$B204),"")</f>
        <v>0</v>
      </c>
      <c r="L204" s="28">
        <f ca="1">IFERROR(SUMIFS(Energy[2030_TWh],Energy[[Sector]:[Sector]],$A$198, Energy[[Fuel_category]:[Fuel_category]],$B204),"")</f>
        <v>0</v>
      </c>
      <c r="M204" s="28">
        <f ca="1">IFERROR(SUMIFS(Energy[2031_TWh],Energy[[Sector]:[Sector]],$A$198, Energy[[Fuel_category]:[Fuel_category]],$B204),"")</f>
        <v>0</v>
      </c>
      <c r="N204" s="28">
        <f ca="1">IFERROR(SUMIFS(Energy[2032_TWh],Energy[[Sector]:[Sector]],$A$198, Energy[[Fuel_category]:[Fuel_category]],$B204),"")</f>
        <v>0</v>
      </c>
      <c r="O204" s="28">
        <f ca="1">IFERROR(SUMIFS(Energy[2033_TWh],Energy[[Sector]:[Sector]],$A$198, Energy[[Fuel_category]:[Fuel_category]],$B204),"")</f>
        <v>0</v>
      </c>
      <c r="P204" s="28">
        <f ca="1">IFERROR(SUMIFS(Energy[2034_TWh],Energy[[Sector]:[Sector]],$A$198, Energy[[Fuel_category]:[Fuel_category]],$B204),"")</f>
        <v>0</v>
      </c>
      <c r="Q204" s="28">
        <f ca="1">IFERROR(SUMIFS(Energy[2035_TWh],Energy[[Sector]:[Sector]],$A$198, Energy[[Fuel_category]:[Fuel_category]],$B204),"")</f>
        <v>0</v>
      </c>
      <c r="R204" s="28">
        <f ca="1">IFERROR(SUMIFS(Energy[2036_TWh],Energy[[Sector]:[Sector]],$A$198, Energy[[Fuel_category]:[Fuel_category]],$B204),"")</f>
        <v>0</v>
      </c>
      <c r="S204" s="28">
        <f ca="1">IFERROR(SUMIFS(Energy[2037_TWh],Energy[[Sector]:[Sector]],$A$198, Energy[[Fuel_category]:[Fuel_category]],$B204),"")</f>
        <v>0</v>
      </c>
      <c r="T204" s="28">
        <f ca="1">IFERROR(SUMIFS(Energy[2038_TWh],Energy[[Sector]:[Sector]],$A$198, Energy[[Fuel_category]:[Fuel_category]],$B204),"")</f>
        <v>0</v>
      </c>
      <c r="U204" s="28">
        <f ca="1">IFERROR(SUMIFS(Energy[2039_TWh],Energy[[Sector]:[Sector]],$A$198, Energy[[Fuel_category]:[Fuel_category]],$B204),"")</f>
        <v>0</v>
      </c>
      <c r="V204" s="28">
        <f ca="1">IFERROR(SUMIFS(Energy[2040_TWh],Energy[[Sector]:[Sector]],$A$198, Energy[[Fuel_category]:[Fuel_category]],$B204),"")</f>
        <v>0</v>
      </c>
      <c r="W204" s="28">
        <f ca="1">IFERROR(SUMIFS(Energy[2041_TWh],Energy[[Sector]:[Sector]],$A$198, Energy[[Fuel_category]:[Fuel_category]],$B204),"")</f>
        <v>0</v>
      </c>
      <c r="X204" s="28">
        <f ca="1">IFERROR(SUMIFS(Energy[2042_TWh],Energy[[Sector]:[Sector]],$A$198, Energy[[Fuel_category]:[Fuel_category]],$B204),"")</f>
        <v>0</v>
      </c>
      <c r="Y204" s="28">
        <f ca="1">IFERROR(SUMIFS(Energy[2043_TWh],Energy[[Sector]:[Sector]],$A$198, Energy[[Fuel_category]:[Fuel_category]],$B204),"")</f>
        <v>0</v>
      </c>
      <c r="Z204" s="28">
        <f ca="1">IFERROR(SUMIFS(Energy[2044_TWh],Energy[[Sector]:[Sector]],$A$198, Energy[[Fuel_category]:[Fuel_category]],$B204),"")</f>
        <v>0</v>
      </c>
      <c r="AA204" s="28">
        <f ca="1">IFERROR(SUMIFS(Energy[2045_TWh],Energy[[Sector]:[Sector]],$A$198, Energy[[Fuel_category]:[Fuel_category]],$B204),"")</f>
        <v>0</v>
      </c>
      <c r="AB204" s="28">
        <f ca="1">IFERROR(SUMIFS(Energy[2046_TWh],Energy[[Sector]:[Sector]],$A$198, Energy[[Fuel_category]:[Fuel_category]],$B204),"")</f>
        <v>0</v>
      </c>
      <c r="AC204" s="28">
        <f ca="1">IFERROR(SUMIFS(Energy[2047_TWh],Energy[[Sector]:[Sector]],$A$198, Energy[[Fuel_category]:[Fuel_category]],$B204),"")</f>
        <v>0</v>
      </c>
      <c r="AD204" s="28">
        <f ca="1">IFERROR(SUMIFS(Energy[2048_TWh],Energy[[Sector]:[Sector]],$A$198, Energy[[Fuel_category]:[Fuel_category]],$B204),"")</f>
        <v>0</v>
      </c>
      <c r="AE204" s="28">
        <f ca="1">IFERROR(SUMIFS(Energy[2049_TWh],Energy[[Sector]:[Sector]],$A$198, Energy[[Fuel_category]:[Fuel_category]],$B204),"")</f>
        <v>0</v>
      </c>
      <c r="AF204" s="28">
        <f ca="1">IFERROR(SUMIFS(Energy[2050_TWh],Energy[[Sector]:[Sector]],$A$198, Energy[[Fuel_category]:[Fuel_category]],$B204),"")</f>
        <v>0</v>
      </c>
      <c r="AG204" s="28">
        <f ca="1">IFERROR(SUMIFS(Energy[2051_TWh],Energy[[Sector]:[Sector]],$A$198, Energy[[Fuel_category]:[Fuel_category]],$B204),"")</f>
        <v>0</v>
      </c>
    </row>
    <row r="205" spans="1:33" ht="14.65" thickBot="1" x14ac:dyDescent="0.5">
      <c r="B205" s="29" t="s">
        <v>124</v>
      </c>
      <c r="C205" s="31">
        <f ca="1">IF(C105&lt;&gt;"",SUM(C198:C203),"")</f>
        <v>0</v>
      </c>
      <c r="D205" s="31">
        <f t="shared" ref="D205:AF205" ca="1" si="42">IF(D105&lt;&gt;"",SUM(D198:D203),"")</f>
        <v>0</v>
      </c>
      <c r="E205" s="31">
        <f t="shared" ca="1" si="42"/>
        <v>0</v>
      </c>
      <c r="F205" s="31">
        <f t="shared" ca="1" si="42"/>
        <v>0</v>
      </c>
      <c r="G205" s="31">
        <f t="shared" ca="1" si="42"/>
        <v>0</v>
      </c>
      <c r="H205" s="31">
        <f t="shared" ca="1" si="42"/>
        <v>0</v>
      </c>
      <c r="I205" s="31">
        <f t="shared" ca="1" si="42"/>
        <v>0</v>
      </c>
      <c r="J205" s="31">
        <f t="shared" ca="1" si="42"/>
        <v>0</v>
      </c>
      <c r="K205" s="31">
        <f t="shared" ca="1" si="42"/>
        <v>0</v>
      </c>
      <c r="L205" s="31">
        <f t="shared" ca="1" si="42"/>
        <v>0</v>
      </c>
      <c r="M205" s="31">
        <f t="shared" ca="1" si="42"/>
        <v>0</v>
      </c>
      <c r="N205" s="31">
        <f t="shared" ca="1" si="42"/>
        <v>0</v>
      </c>
      <c r="O205" s="31">
        <f t="shared" ca="1" si="42"/>
        <v>0</v>
      </c>
      <c r="P205" s="31">
        <f t="shared" ca="1" si="42"/>
        <v>0</v>
      </c>
      <c r="Q205" s="31">
        <f t="shared" ca="1" si="42"/>
        <v>0</v>
      </c>
      <c r="R205" s="31">
        <f t="shared" ca="1" si="42"/>
        <v>0</v>
      </c>
      <c r="S205" s="31">
        <f t="shared" ca="1" si="42"/>
        <v>0</v>
      </c>
      <c r="T205" s="31">
        <f t="shared" ca="1" si="42"/>
        <v>0</v>
      </c>
      <c r="U205" s="31">
        <f t="shared" ca="1" si="42"/>
        <v>0</v>
      </c>
      <c r="V205" s="31">
        <f t="shared" ca="1" si="42"/>
        <v>0</v>
      </c>
      <c r="W205" s="31">
        <f t="shared" ca="1" si="42"/>
        <v>0</v>
      </c>
      <c r="X205" s="31">
        <f t="shared" ca="1" si="42"/>
        <v>0</v>
      </c>
      <c r="Y205" s="31">
        <f t="shared" ca="1" si="42"/>
        <v>0</v>
      </c>
      <c r="Z205" s="31">
        <f t="shared" ca="1" si="42"/>
        <v>0</v>
      </c>
      <c r="AA205" s="31">
        <f t="shared" ca="1" si="42"/>
        <v>0</v>
      </c>
      <c r="AB205" s="31">
        <f t="shared" ca="1" si="42"/>
        <v>0</v>
      </c>
      <c r="AC205" s="31">
        <f t="shared" ca="1" si="42"/>
        <v>0</v>
      </c>
      <c r="AD205" s="31">
        <f t="shared" ca="1" si="42"/>
        <v>0</v>
      </c>
      <c r="AE205" s="31">
        <f t="shared" ca="1" si="42"/>
        <v>0</v>
      </c>
      <c r="AF205" s="31">
        <f t="shared" ca="1" si="42"/>
        <v>0</v>
      </c>
      <c r="AG205" s="31">
        <f t="shared" ref="AG205" ca="1" si="43">IF(AG105&lt;&gt;"",SUM(AG198:AG203),"")</f>
        <v>0</v>
      </c>
    </row>
    <row r="206" spans="1:33" ht="14.65" thickTop="1" x14ac:dyDescent="0.45"/>
    <row r="207" spans="1:33" ht="15.75" customHeight="1" x14ac:dyDescent="0.45">
      <c r="B207" s="6"/>
      <c r="C207" s="6">
        <v>2021</v>
      </c>
      <c r="D207" s="6">
        <v>2022</v>
      </c>
      <c r="E207" s="6">
        <v>2023</v>
      </c>
      <c r="F207" s="6">
        <v>2024</v>
      </c>
      <c r="G207" s="6">
        <v>2025</v>
      </c>
      <c r="H207" s="6">
        <v>2026</v>
      </c>
      <c r="I207" s="6">
        <v>2027</v>
      </c>
      <c r="J207" s="6">
        <v>2028</v>
      </c>
      <c r="K207" s="6">
        <v>2029</v>
      </c>
      <c r="L207" s="6">
        <v>2030</v>
      </c>
      <c r="M207" s="6">
        <v>2031</v>
      </c>
      <c r="N207" s="6">
        <v>2032</v>
      </c>
      <c r="O207" s="6">
        <v>2033</v>
      </c>
      <c r="P207" s="6">
        <v>2034</v>
      </c>
      <c r="Q207" s="6">
        <v>2035</v>
      </c>
      <c r="R207" s="6">
        <v>2036</v>
      </c>
      <c r="S207" s="6">
        <v>2037</v>
      </c>
      <c r="T207" s="6">
        <v>2038</v>
      </c>
      <c r="U207" s="6">
        <v>2039</v>
      </c>
      <c r="V207" s="6">
        <v>2040</v>
      </c>
      <c r="W207" s="6">
        <v>2041</v>
      </c>
      <c r="X207" s="6">
        <v>2042</v>
      </c>
      <c r="Y207" s="6">
        <v>2043</v>
      </c>
      <c r="Z207" s="6">
        <v>2044</v>
      </c>
      <c r="AA207" s="6">
        <v>2045</v>
      </c>
      <c r="AB207" s="6">
        <v>2046</v>
      </c>
      <c r="AC207" s="6">
        <v>2047</v>
      </c>
      <c r="AD207" s="6">
        <v>2048</v>
      </c>
      <c r="AE207" s="6">
        <v>2049</v>
      </c>
      <c r="AF207" s="6">
        <v>2050</v>
      </c>
      <c r="AG207" s="6">
        <v>2051</v>
      </c>
    </row>
    <row r="208" spans="1:33" x14ac:dyDescent="0.45">
      <c r="A208" s="60" t="s">
        <v>22</v>
      </c>
      <c r="B208" s="21" t="s">
        <v>82</v>
      </c>
      <c r="C208" s="28">
        <f ca="1">IFERROR(SUMIFS(Energy[2021_TWh],Energy[[Sector]:[Sector]],$A$208, Energy[[Fuel_category]:[Fuel_category]],$B208),"")</f>
        <v>0</v>
      </c>
      <c r="D208" s="28">
        <f ca="1">IFERROR(SUMIFS(Energy[2022_TWh],Energy[[Sector]:[Sector]],$A$208, Energy[[Fuel_category]:[Fuel_category]],$B208),"")</f>
        <v>0</v>
      </c>
      <c r="E208" s="28">
        <f ca="1">IFERROR(SUMIFS(Energy[2023_TWh],Energy[[Sector]:[Sector]],$A$208, Energy[[Fuel_category]:[Fuel_category]],$B208),"")</f>
        <v>0</v>
      </c>
      <c r="F208" s="28">
        <f ca="1">IFERROR(SUMIFS(Energy[2024_TWh],Energy[[Sector]:[Sector]],$A$208, Energy[[Fuel_category]:[Fuel_category]],$B208),"")</f>
        <v>0</v>
      </c>
      <c r="G208" s="28">
        <f ca="1">IFERROR(SUMIFS(Energy[2025_TWh],Energy[[Sector]:[Sector]],$A$208, Energy[[Fuel_category]:[Fuel_category]],$B208),"")</f>
        <v>0</v>
      </c>
      <c r="H208" s="28">
        <f ca="1">IFERROR(SUMIFS(Energy[2026_TWh],Energy[[Sector]:[Sector]],$A$208, Energy[[Fuel_category]:[Fuel_category]],$B208),"")</f>
        <v>0</v>
      </c>
      <c r="I208" s="28">
        <f ca="1">IFERROR(SUMIFS(Energy[2027_TWh],Energy[[Sector]:[Sector]],$A$208, Energy[[Fuel_category]:[Fuel_category]],$B208),"")</f>
        <v>0</v>
      </c>
      <c r="J208" s="28">
        <f ca="1">IFERROR(SUMIFS(Energy[2028_TWh],Energy[[Sector]:[Sector]],$A$208, Energy[[Fuel_category]:[Fuel_category]],$B208),"")</f>
        <v>0</v>
      </c>
      <c r="K208" s="28">
        <f ca="1">IFERROR(SUMIFS(Energy[2029_TWh],Energy[[Sector]:[Sector]],$A$208, Energy[[Fuel_category]:[Fuel_category]],$B208),"")</f>
        <v>0</v>
      </c>
      <c r="L208" s="28">
        <f ca="1">IFERROR(SUMIFS(Energy[2030_TWh],Energy[[Sector]:[Sector]],$A$208, Energy[[Fuel_category]:[Fuel_category]],$B208),"")</f>
        <v>0</v>
      </c>
      <c r="M208" s="28">
        <f ca="1">IFERROR(SUMIFS(Energy[2031_TWh],Energy[[Sector]:[Sector]],$A$208, Energy[[Fuel_category]:[Fuel_category]],$B208),"")</f>
        <v>0</v>
      </c>
      <c r="N208" s="28">
        <f ca="1">IFERROR(SUMIFS(Energy[2032_TWh],Energy[[Sector]:[Sector]],$A$208, Energy[[Fuel_category]:[Fuel_category]],$B208),"")</f>
        <v>0</v>
      </c>
      <c r="O208" s="28">
        <f ca="1">IFERROR(SUMIFS(Energy[2033_TWh],Energy[[Sector]:[Sector]],$A$208, Energy[[Fuel_category]:[Fuel_category]],$B208),"")</f>
        <v>0</v>
      </c>
      <c r="P208" s="28">
        <f ca="1">IFERROR(SUMIFS(Energy[2034_TWh],Energy[[Sector]:[Sector]],$A$208, Energy[[Fuel_category]:[Fuel_category]],$B208),"")</f>
        <v>0</v>
      </c>
      <c r="Q208" s="28">
        <f ca="1">IFERROR(SUMIFS(Energy[2035_TWh],Energy[[Sector]:[Sector]],$A$208, Energy[[Fuel_category]:[Fuel_category]],$B208),"")</f>
        <v>0</v>
      </c>
      <c r="R208" s="28">
        <f ca="1">IFERROR(SUMIFS(Energy[2036_TWh],Energy[[Sector]:[Sector]],$A$208, Energy[[Fuel_category]:[Fuel_category]],$B208),"")</f>
        <v>0</v>
      </c>
      <c r="S208" s="28">
        <f ca="1">IFERROR(SUMIFS(Energy[2037_TWh],Energy[[Sector]:[Sector]],$A$208, Energy[[Fuel_category]:[Fuel_category]],$B208),"")</f>
        <v>0</v>
      </c>
      <c r="T208" s="28">
        <f ca="1">IFERROR(SUMIFS(Energy[2038_TWh],Energy[[Sector]:[Sector]],$A$208, Energy[[Fuel_category]:[Fuel_category]],$B208),"")</f>
        <v>0</v>
      </c>
      <c r="U208" s="28">
        <f ca="1">IFERROR(SUMIFS(Energy[2039_TWh],Energy[[Sector]:[Sector]],$A$208, Energy[[Fuel_category]:[Fuel_category]],$B208),"")</f>
        <v>0</v>
      </c>
      <c r="V208" s="28">
        <f ca="1">IFERROR(SUMIFS(Energy[2040_TWh],Energy[[Sector]:[Sector]],$A$208, Energy[[Fuel_category]:[Fuel_category]],$B208),"")</f>
        <v>0</v>
      </c>
      <c r="W208" s="28">
        <f ca="1">IFERROR(SUMIFS(Energy[2041_TWh],Energy[[Sector]:[Sector]],$A$208, Energy[[Fuel_category]:[Fuel_category]],$B208),"")</f>
        <v>0</v>
      </c>
      <c r="X208" s="28">
        <f ca="1">IFERROR(SUMIFS(Energy[2042_TWh],Energy[[Sector]:[Sector]],$A$208, Energy[[Fuel_category]:[Fuel_category]],$B208),"")</f>
        <v>0</v>
      </c>
      <c r="Y208" s="28">
        <f ca="1">IFERROR(SUMIFS(Energy[2043_TWh],Energy[[Sector]:[Sector]],$A$208, Energy[[Fuel_category]:[Fuel_category]],$B208),"")</f>
        <v>0</v>
      </c>
      <c r="Z208" s="28">
        <f ca="1">IFERROR(SUMIFS(Energy[2044_TWh],Energy[[Sector]:[Sector]],$A$208, Energy[[Fuel_category]:[Fuel_category]],$B208),"")</f>
        <v>0</v>
      </c>
      <c r="AA208" s="28">
        <f ca="1">IFERROR(SUMIFS(Energy[2045_TWh],Energy[[Sector]:[Sector]],$A$208, Energy[[Fuel_category]:[Fuel_category]],$B208),"")</f>
        <v>0</v>
      </c>
      <c r="AB208" s="28">
        <f ca="1">IFERROR(SUMIFS(Energy[2046_TWh],Energy[[Sector]:[Sector]],$A$208, Energy[[Fuel_category]:[Fuel_category]],$B208),"")</f>
        <v>0</v>
      </c>
      <c r="AC208" s="28">
        <f ca="1">IFERROR(SUMIFS(Energy[2047_TWh],Energy[[Sector]:[Sector]],$A$208, Energy[[Fuel_category]:[Fuel_category]],$B208),"")</f>
        <v>0</v>
      </c>
      <c r="AD208" s="28">
        <f ca="1">IFERROR(SUMIFS(Energy[2048_TWh],Energy[[Sector]:[Sector]],$A$208, Energy[[Fuel_category]:[Fuel_category]],$B208),"")</f>
        <v>0</v>
      </c>
      <c r="AE208" s="28">
        <f ca="1">IFERROR(SUMIFS(Energy[2049_TWh],Energy[[Sector]:[Sector]],$A$208, Energy[[Fuel_category]:[Fuel_category]],$B208),"")</f>
        <v>0</v>
      </c>
      <c r="AF208" s="28">
        <f ca="1">IFERROR(SUMIFS(Energy[2050_TWh],Energy[[Sector]:[Sector]],$A$208, Energy[[Fuel_category]:[Fuel_category]],$B208),"")</f>
        <v>0</v>
      </c>
      <c r="AG208" s="28">
        <f ca="1">IFERROR(SUMIFS(Energy[2051_TWh],Energy[[Sector]:[Sector]],$A$208, Energy[[Fuel_category]:[Fuel_category]],$B208),"")</f>
        <v>0</v>
      </c>
    </row>
    <row r="209" spans="1:34" x14ac:dyDescent="0.45">
      <c r="B209" s="21" t="s">
        <v>83</v>
      </c>
      <c r="C209" s="28">
        <f ca="1">IFERROR(SUMIFS(Energy[2021_TWh],Energy[[Sector]:[Sector]],$A$208, Energy[[Fuel_category]:[Fuel_category]],$B209),"")</f>
        <v>0</v>
      </c>
      <c r="D209" s="28">
        <f ca="1">IFERROR(SUMIFS(Energy[2022_TWh],Energy[[Sector]:[Sector]],$A$208, Energy[[Fuel_category]:[Fuel_category]],$B209),"")</f>
        <v>0</v>
      </c>
      <c r="E209" s="28">
        <f ca="1">IFERROR(SUMIFS(Energy[2023_TWh],Energy[[Sector]:[Sector]],$A$208, Energy[[Fuel_category]:[Fuel_category]],$B209),"")</f>
        <v>0</v>
      </c>
      <c r="F209" s="28">
        <f ca="1">IFERROR(SUMIFS(Energy[2024_TWh],Energy[[Sector]:[Sector]],$A$208, Energy[[Fuel_category]:[Fuel_category]],$B209),"")</f>
        <v>0</v>
      </c>
      <c r="G209" s="28">
        <f ca="1">IFERROR(SUMIFS(Energy[2025_TWh],Energy[[Sector]:[Sector]],$A$208, Energy[[Fuel_category]:[Fuel_category]],$B209),"")</f>
        <v>0</v>
      </c>
      <c r="H209" s="28">
        <f ca="1">IFERROR(SUMIFS(Energy[2026_TWh],Energy[[Sector]:[Sector]],$A$208, Energy[[Fuel_category]:[Fuel_category]],$B209),"")</f>
        <v>0</v>
      </c>
      <c r="I209" s="28">
        <f ca="1">IFERROR(SUMIFS(Energy[2027_TWh],Energy[[Sector]:[Sector]],$A$208, Energy[[Fuel_category]:[Fuel_category]],$B209),"")</f>
        <v>0</v>
      </c>
      <c r="J209" s="28">
        <f ca="1">IFERROR(SUMIFS(Energy[2028_TWh],Energy[[Sector]:[Sector]],$A$208, Energy[[Fuel_category]:[Fuel_category]],$B209),"")</f>
        <v>0</v>
      </c>
      <c r="K209" s="28">
        <f ca="1">IFERROR(SUMIFS(Energy[2029_TWh],Energy[[Sector]:[Sector]],$A$208, Energy[[Fuel_category]:[Fuel_category]],$B209),"")</f>
        <v>0</v>
      </c>
      <c r="L209" s="28">
        <f ca="1">IFERROR(SUMIFS(Energy[2030_TWh],Energy[[Sector]:[Sector]],$A$208, Energy[[Fuel_category]:[Fuel_category]],$B209),"")</f>
        <v>0</v>
      </c>
      <c r="M209" s="28">
        <f ca="1">IFERROR(SUMIFS(Energy[2031_TWh],Energy[[Sector]:[Sector]],$A$208, Energy[[Fuel_category]:[Fuel_category]],$B209),"")</f>
        <v>0</v>
      </c>
      <c r="N209" s="28">
        <f ca="1">IFERROR(SUMIFS(Energy[2032_TWh],Energy[[Sector]:[Sector]],$A$208, Energy[[Fuel_category]:[Fuel_category]],$B209),"")</f>
        <v>0</v>
      </c>
      <c r="O209" s="28">
        <f ca="1">IFERROR(SUMIFS(Energy[2033_TWh],Energy[[Sector]:[Sector]],$A$208, Energy[[Fuel_category]:[Fuel_category]],$B209),"")</f>
        <v>0</v>
      </c>
      <c r="P209" s="28">
        <f ca="1">IFERROR(SUMIFS(Energy[2034_TWh],Energy[[Sector]:[Sector]],$A$208, Energy[[Fuel_category]:[Fuel_category]],$B209),"")</f>
        <v>0</v>
      </c>
      <c r="Q209" s="28">
        <f ca="1">IFERROR(SUMIFS(Energy[2035_TWh],Energy[[Sector]:[Sector]],$A$208, Energy[[Fuel_category]:[Fuel_category]],$B209),"")</f>
        <v>0</v>
      </c>
      <c r="R209" s="28">
        <f ca="1">IFERROR(SUMIFS(Energy[2036_TWh],Energy[[Sector]:[Sector]],$A$208, Energy[[Fuel_category]:[Fuel_category]],$B209),"")</f>
        <v>0</v>
      </c>
      <c r="S209" s="28">
        <f ca="1">IFERROR(SUMIFS(Energy[2037_TWh],Energy[[Sector]:[Sector]],$A$208, Energy[[Fuel_category]:[Fuel_category]],$B209),"")</f>
        <v>0</v>
      </c>
      <c r="T209" s="28">
        <f ca="1">IFERROR(SUMIFS(Energy[2038_TWh],Energy[[Sector]:[Sector]],$A$208, Energy[[Fuel_category]:[Fuel_category]],$B209),"")</f>
        <v>0</v>
      </c>
      <c r="U209" s="28">
        <f ca="1">IFERROR(SUMIFS(Energy[2039_TWh],Energy[[Sector]:[Sector]],$A$208, Energy[[Fuel_category]:[Fuel_category]],$B209),"")</f>
        <v>0</v>
      </c>
      <c r="V209" s="28">
        <f ca="1">IFERROR(SUMIFS(Energy[2040_TWh],Energy[[Sector]:[Sector]],$A$208, Energy[[Fuel_category]:[Fuel_category]],$B209),"")</f>
        <v>0</v>
      </c>
      <c r="W209" s="28">
        <f ca="1">IFERROR(SUMIFS(Energy[2041_TWh],Energy[[Sector]:[Sector]],$A$208, Energy[[Fuel_category]:[Fuel_category]],$B209),"")</f>
        <v>0</v>
      </c>
      <c r="X209" s="28">
        <f ca="1">IFERROR(SUMIFS(Energy[2042_TWh],Energy[[Sector]:[Sector]],$A$208, Energy[[Fuel_category]:[Fuel_category]],$B209),"")</f>
        <v>0</v>
      </c>
      <c r="Y209" s="28">
        <f ca="1">IFERROR(SUMIFS(Energy[2043_TWh],Energy[[Sector]:[Sector]],$A$208, Energy[[Fuel_category]:[Fuel_category]],$B209),"")</f>
        <v>0</v>
      </c>
      <c r="Z209" s="28">
        <f ca="1">IFERROR(SUMIFS(Energy[2044_TWh],Energy[[Sector]:[Sector]],$A$208, Energy[[Fuel_category]:[Fuel_category]],$B209),"")</f>
        <v>0</v>
      </c>
      <c r="AA209" s="28">
        <f ca="1">IFERROR(SUMIFS(Energy[2045_TWh],Energy[[Sector]:[Sector]],$A$208, Energy[[Fuel_category]:[Fuel_category]],$B209),"")</f>
        <v>0</v>
      </c>
      <c r="AB209" s="28">
        <f ca="1">IFERROR(SUMIFS(Energy[2046_TWh],Energy[[Sector]:[Sector]],$A$208, Energy[[Fuel_category]:[Fuel_category]],$B209),"")</f>
        <v>0</v>
      </c>
      <c r="AC209" s="28">
        <f ca="1">IFERROR(SUMIFS(Energy[2047_TWh],Energy[[Sector]:[Sector]],$A$208, Energy[[Fuel_category]:[Fuel_category]],$B209),"")</f>
        <v>0</v>
      </c>
      <c r="AD209" s="28">
        <f ca="1">IFERROR(SUMIFS(Energy[2048_TWh],Energy[[Sector]:[Sector]],$A$208, Energy[[Fuel_category]:[Fuel_category]],$B209),"")</f>
        <v>0</v>
      </c>
      <c r="AE209" s="28">
        <f ca="1">IFERROR(SUMIFS(Energy[2049_TWh],Energy[[Sector]:[Sector]],$A$208, Energy[[Fuel_category]:[Fuel_category]],$B209),"")</f>
        <v>0</v>
      </c>
      <c r="AF209" s="28">
        <f ca="1">IFERROR(SUMIFS(Energy[2050_TWh],Energy[[Sector]:[Sector]],$A$208, Energy[[Fuel_category]:[Fuel_category]],$B209),"")</f>
        <v>0</v>
      </c>
      <c r="AG209" s="28">
        <f ca="1">IFERROR(SUMIFS(Energy[2051_TWh],Energy[[Sector]:[Sector]],$A$208, Energy[[Fuel_category]:[Fuel_category]],$B209),"")</f>
        <v>0</v>
      </c>
    </row>
    <row r="210" spans="1:34" x14ac:dyDescent="0.45">
      <c r="B210" s="21" t="s">
        <v>67</v>
      </c>
      <c r="C210" s="28">
        <f ca="1">IFERROR(SUMIFS(Energy[2021_TWh],Energy[[Sector]:[Sector]],$A$208, Energy[[Fuel_category]:[Fuel_category]],$B210),"")</f>
        <v>0</v>
      </c>
      <c r="D210" s="28">
        <f ca="1">IFERROR(SUMIFS(Energy[2022_TWh],Energy[[Sector]:[Sector]],$A$208, Energy[[Fuel_category]:[Fuel_category]],$B210),"")</f>
        <v>0</v>
      </c>
      <c r="E210" s="28">
        <f ca="1">IFERROR(SUMIFS(Energy[2023_TWh],Energy[[Sector]:[Sector]],$A$208, Energy[[Fuel_category]:[Fuel_category]],$B210),"")</f>
        <v>0</v>
      </c>
      <c r="F210" s="28">
        <f ca="1">IFERROR(SUMIFS(Energy[2024_TWh],Energy[[Sector]:[Sector]],$A$208, Energy[[Fuel_category]:[Fuel_category]],$B210),"")</f>
        <v>0</v>
      </c>
      <c r="G210" s="28">
        <f ca="1">IFERROR(SUMIFS(Energy[2025_TWh],Energy[[Sector]:[Sector]],$A$208, Energy[[Fuel_category]:[Fuel_category]],$B210),"")</f>
        <v>0</v>
      </c>
      <c r="H210" s="28">
        <f ca="1">IFERROR(SUMIFS(Energy[2026_TWh],Energy[[Sector]:[Sector]],$A$208, Energy[[Fuel_category]:[Fuel_category]],$B210),"")</f>
        <v>0</v>
      </c>
      <c r="I210" s="28">
        <f ca="1">IFERROR(SUMIFS(Energy[2027_TWh],Energy[[Sector]:[Sector]],$A$208, Energy[[Fuel_category]:[Fuel_category]],$B210),"")</f>
        <v>0</v>
      </c>
      <c r="J210" s="28">
        <f ca="1">IFERROR(SUMIFS(Energy[2028_TWh],Energy[[Sector]:[Sector]],$A$208, Energy[[Fuel_category]:[Fuel_category]],$B210),"")</f>
        <v>0</v>
      </c>
      <c r="K210" s="28">
        <f ca="1">IFERROR(SUMIFS(Energy[2029_TWh],Energy[[Sector]:[Sector]],$A$208, Energy[[Fuel_category]:[Fuel_category]],$B210),"")</f>
        <v>0</v>
      </c>
      <c r="L210" s="28">
        <f ca="1">IFERROR(SUMIFS(Energy[2030_TWh],Energy[[Sector]:[Sector]],$A$208, Energy[[Fuel_category]:[Fuel_category]],$B210),"")</f>
        <v>0</v>
      </c>
      <c r="M210" s="28">
        <f ca="1">IFERROR(SUMIFS(Energy[2031_TWh],Energy[[Sector]:[Sector]],$A$208, Energy[[Fuel_category]:[Fuel_category]],$B210),"")</f>
        <v>0</v>
      </c>
      <c r="N210" s="28">
        <f ca="1">IFERROR(SUMIFS(Energy[2032_TWh],Energy[[Sector]:[Sector]],$A$208, Energy[[Fuel_category]:[Fuel_category]],$B210),"")</f>
        <v>0</v>
      </c>
      <c r="O210" s="28">
        <f ca="1">IFERROR(SUMIFS(Energy[2033_TWh],Energy[[Sector]:[Sector]],$A$208, Energy[[Fuel_category]:[Fuel_category]],$B210),"")</f>
        <v>0</v>
      </c>
      <c r="P210" s="28">
        <f ca="1">IFERROR(SUMIFS(Energy[2034_TWh],Energy[[Sector]:[Sector]],$A$208, Energy[[Fuel_category]:[Fuel_category]],$B210),"")</f>
        <v>0</v>
      </c>
      <c r="Q210" s="28">
        <f ca="1">IFERROR(SUMIFS(Energy[2035_TWh],Energy[[Sector]:[Sector]],$A$208, Energy[[Fuel_category]:[Fuel_category]],$B210),"")</f>
        <v>0</v>
      </c>
      <c r="R210" s="28">
        <f ca="1">IFERROR(SUMIFS(Energy[2036_TWh],Energy[[Sector]:[Sector]],$A$208, Energy[[Fuel_category]:[Fuel_category]],$B210),"")</f>
        <v>0</v>
      </c>
      <c r="S210" s="28">
        <f ca="1">IFERROR(SUMIFS(Energy[2037_TWh],Energy[[Sector]:[Sector]],$A$208, Energy[[Fuel_category]:[Fuel_category]],$B210),"")</f>
        <v>0</v>
      </c>
      <c r="T210" s="28">
        <f ca="1">IFERROR(SUMIFS(Energy[2038_TWh],Energy[[Sector]:[Sector]],$A$208, Energy[[Fuel_category]:[Fuel_category]],$B210),"")</f>
        <v>0</v>
      </c>
      <c r="U210" s="28">
        <f ca="1">IFERROR(SUMIFS(Energy[2039_TWh],Energy[[Sector]:[Sector]],$A$208, Energy[[Fuel_category]:[Fuel_category]],$B210),"")</f>
        <v>0</v>
      </c>
      <c r="V210" s="28">
        <f ca="1">IFERROR(SUMIFS(Energy[2040_TWh],Energy[[Sector]:[Sector]],$A$208, Energy[[Fuel_category]:[Fuel_category]],$B210),"")</f>
        <v>0</v>
      </c>
      <c r="W210" s="28">
        <f ca="1">IFERROR(SUMIFS(Energy[2041_TWh],Energy[[Sector]:[Sector]],$A$208, Energy[[Fuel_category]:[Fuel_category]],$B210),"")</f>
        <v>0</v>
      </c>
      <c r="X210" s="28">
        <f ca="1">IFERROR(SUMIFS(Energy[2042_TWh],Energy[[Sector]:[Sector]],$A$208, Energy[[Fuel_category]:[Fuel_category]],$B210),"")</f>
        <v>0</v>
      </c>
      <c r="Y210" s="28">
        <f ca="1">IFERROR(SUMIFS(Energy[2043_TWh],Energy[[Sector]:[Sector]],$A$208, Energy[[Fuel_category]:[Fuel_category]],$B210),"")</f>
        <v>0</v>
      </c>
      <c r="Z210" s="28">
        <f ca="1">IFERROR(SUMIFS(Energy[2044_TWh],Energy[[Sector]:[Sector]],$A$208, Energy[[Fuel_category]:[Fuel_category]],$B210),"")</f>
        <v>0</v>
      </c>
      <c r="AA210" s="28">
        <f ca="1">IFERROR(SUMIFS(Energy[2045_TWh],Energy[[Sector]:[Sector]],$A$208, Energy[[Fuel_category]:[Fuel_category]],$B210),"")</f>
        <v>0</v>
      </c>
      <c r="AB210" s="28">
        <f ca="1">IFERROR(SUMIFS(Energy[2046_TWh],Energy[[Sector]:[Sector]],$A$208, Energy[[Fuel_category]:[Fuel_category]],$B210),"")</f>
        <v>0</v>
      </c>
      <c r="AC210" s="28">
        <f ca="1">IFERROR(SUMIFS(Energy[2047_TWh],Energy[[Sector]:[Sector]],$A$208, Energy[[Fuel_category]:[Fuel_category]],$B210),"")</f>
        <v>0</v>
      </c>
      <c r="AD210" s="28">
        <f ca="1">IFERROR(SUMIFS(Energy[2048_TWh],Energy[[Sector]:[Sector]],$A$208, Energy[[Fuel_category]:[Fuel_category]],$B210),"")</f>
        <v>0</v>
      </c>
      <c r="AE210" s="28">
        <f ca="1">IFERROR(SUMIFS(Energy[2049_TWh],Energy[[Sector]:[Sector]],$A$208, Energy[[Fuel_category]:[Fuel_category]],$B210),"")</f>
        <v>0</v>
      </c>
      <c r="AF210" s="28">
        <f ca="1">IFERROR(SUMIFS(Energy[2050_TWh],Energy[[Sector]:[Sector]],$A$208, Energy[[Fuel_category]:[Fuel_category]],$B210),"")</f>
        <v>0</v>
      </c>
      <c r="AG210" s="28">
        <f ca="1">IFERROR(SUMIFS(Energy[2051_TWh],Energy[[Sector]:[Sector]],$A$208, Energy[[Fuel_category]:[Fuel_category]],$B210),"")</f>
        <v>0</v>
      </c>
    </row>
    <row r="211" spans="1:34" x14ac:dyDescent="0.45">
      <c r="B211" s="21" t="s">
        <v>35</v>
      </c>
      <c r="C211" s="28">
        <f ca="1">IFERROR(SUMIFS(Energy[2021_TWh],Energy[[Sector]:[Sector]],$A$208, Energy[[Fuel_category]:[Fuel_category]],$B211),"")</f>
        <v>0</v>
      </c>
      <c r="D211" s="28">
        <f ca="1">IFERROR(SUMIFS(Energy[2022_TWh],Energy[[Sector]:[Sector]],$A$208, Energy[[Fuel_category]:[Fuel_category]],$B211),"")</f>
        <v>0</v>
      </c>
      <c r="E211" s="28">
        <f ca="1">IFERROR(SUMIFS(Energy[2023_TWh],Energy[[Sector]:[Sector]],$A$208, Energy[[Fuel_category]:[Fuel_category]],$B211),"")</f>
        <v>0</v>
      </c>
      <c r="F211" s="28">
        <f ca="1">IFERROR(SUMIFS(Energy[2024_TWh],Energy[[Sector]:[Sector]],$A$208, Energy[[Fuel_category]:[Fuel_category]],$B211),"")</f>
        <v>0</v>
      </c>
      <c r="G211" s="28">
        <f ca="1">IFERROR(SUMIFS(Energy[2025_TWh],Energy[[Sector]:[Sector]],$A$208, Energy[[Fuel_category]:[Fuel_category]],$B211),"")</f>
        <v>0</v>
      </c>
      <c r="H211" s="28">
        <f ca="1">IFERROR(SUMIFS(Energy[2026_TWh],Energy[[Sector]:[Sector]],$A$208, Energy[[Fuel_category]:[Fuel_category]],$B211),"")</f>
        <v>0</v>
      </c>
      <c r="I211" s="28">
        <f ca="1">IFERROR(SUMIFS(Energy[2027_TWh],Energy[[Sector]:[Sector]],$A$208, Energy[[Fuel_category]:[Fuel_category]],$B211),"")</f>
        <v>0</v>
      </c>
      <c r="J211" s="28">
        <f ca="1">IFERROR(SUMIFS(Energy[2028_TWh],Energy[[Sector]:[Sector]],$A$208, Energy[[Fuel_category]:[Fuel_category]],$B211),"")</f>
        <v>0</v>
      </c>
      <c r="K211" s="28">
        <f ca="1">IFERROR(SUMIFS(Energy[2029_TWh],Energy[[Sector]:[Sector]],$A$208, Energy[[Fuel_category]:[Fuel_category]],$B211),"")</f>
        <v>0</v>
      </c>
      <c r="L211" s="28">
        <f ca="1">IFERROR(SUMIFS(Energy[2030_TWh],Energy[[Sector]:[Sector]],$A$208, Energy[[Fuel_category]:[Fuel_category]],$B211),"")</f>
        <v>0</v>
      </c>
      <c r="M211" s="28">
        <f ca="1">IFERROR(SUMIFS(Energy[2031_TWh],Energy[[Sector]:[Sector]],$A$208, Energy[[Fuel_category]:[Fuel_category]],$B211),"")</f>
        <v>0</v>
      </c>
      <c r="N211" s="28">
        <f ca="1">IFERROR(SUMIFS(Energy[2032_TWh],Energy[[Sector]:[Sector]],$A$208, Energy[[Fuel_category]:[Fuel_category]],$B211),"")</f>
        <v>0</v>
      </c>
      <c r="O211" s="28">
        <f ca="1">IFERROR(SUMIFS(Energy[2033_TWh],Energy[[Sector]:[Sector]],$A$208, Energy[[Fuel_category]:[Fuel_category]],$B211),"")</f>
        <v>0</v>
      </c>
      <c r="P211" s="28">
        <f ca="1">IFERROR(SUMIFS(Energy[2034_TWh],Energy[[Sector]:[Sector]],$A$208, Energy[[Fuel_category]:[Fuel_category]],$B211),"")</f>
        <v>0</v>
      </c>
      <c r="Q211" s="28">
        <f ca="1">IFERROR(SUMIFS(Energy[2035_TWh],Energy[[Sector]:[Sector]],$A$208, Energy[[Fuel_category]:[Fuel_category]],$B211),"")</f>
        <v>0</v>
      </c>
      <c r="R211" s="28">
        <f ca="1">IFERROR(SUMIFS(Energy[2036_TWh],Energy[[Sector]:[Sector]],$A$208, Energy[[Fuel_category]:[Fuel_category]],$B211),"")</f>
        <v>0</v>
      </c>
      <c r="S211" s="28">
        <f ca="1">IFERROR(SUMIFS(Energy[2037_TWh],Energy[[Sector]:[Sector]],$A$208, Energy[[Fuel_category]:[Fuel_category]],$B211),"")</f>
        <v>0</v>
      </c>
      <c r="T211" s="28">
        <f ca="1">IFERROR(SUMIFS(Energy[2038_TWh],Energy[[Sector]:[Sector]],$A$208, Energy[[Fuel_category]:[Fuel_category]],$B211),"")</f>
        <v>0</v>
      </c>
      <c r="U211" s="28">
        <f ca="1">IFERROR(SUMIFS(Energy[2039_TWh],Energy[[Sector]:[Sector]],$A$208, Energy[[Fuel_category]:[Fuel_category]],$B211),"")</f>
        <v>0</v>
      </c>
      <c r="V211" s="28">
        <f ca="1">IFERROR(SUMIFS(Energy[2040_TWh],Energy[[Sector]:[Sector]],$A$208, Energy[[Fuel_category]:[Fuel_category]],$B211),"")</f>
        <v>0</v>
      </c>
      <c r="W211" s="28">
        <f ca="1">IFERROR(SUMIFS(Energy[2041_TWh],Energy[[Sector]:[Sector]],$A$208, Energy[[Fuel_category]:[Fuel_category]],$B211),"")</f>
        <v>0</v>
      </c>
      <c r="X211" s="28">
        <f ca="1">IFERROR(SUMIFS(Energy[2042_TWh],Energy[[Sector]:[Sector]],$A$208, Energy[[Fuel_category]:[Fuel_category]],$B211),"")</f>
        <v>0</v>
      </c>
      <c r="Y211" s="28">
        <f ca="1">IFERROR(SUMIFS(Energy[2043_TWh],Energy[[Sector]:[Sector]],$A$208, Energy[[Fuel_category]:[Fuel_category]],$B211),"")</f>
        <v>0</v>
      </c>
      <c r="Z211" s="28">
        <f ca="1">IFERROR(SUMIFS(Energy[2044_TWh],Energy[[Sector]:[Sector]],$A$208, Energy[[Fuel_category]:[Fuel_category]],$B211),"")</f>
        <v>0</v>
      </c>
      <c r="AA211" s="28">
        <f ca="1">IFERROR(SUMIFS(Energy[2045_TWh],Energy[[Sector]:[Sector]],$A$208, Energy[[Fuel_category]:[Fuel_category]],$B211),"")</f>
        <v>0</v>
      </c>
      <c r="AB211" s="28">
        <f ca="1">IFERROR(SUMIFS(Energy[2046_TWh],Energy[[Sector]:[Sector]],$A$208, Energy[[Fuel_category]:[Fuel_category]],$B211),"")</f>
        <v>0</v>
      </c>
      <c r="AC211" s="28">
        <f ca="1">IFERROR(SUMIFS(Energy[2047_TWh],Energy[[Sector]:[Sector]],$A$208, Energy[[Fuel_category]:[Fuel_category]],$B211),"")</f>
        <v>0</v>
      </c>
      <c r="AD211" s="28">
        <f ca="1">IFERROR(SUMIFS(Energy[2048_TWh],Energy[[Sector]:[Sector]],$A$208, Energy[[Fuel_category]:[Fuel_category]],$B211),"")</f>
        <v>0</v>
      </c>
      <c r="AE211" s="28">
        <f ca="1">IFERROR(SUMIFS(Energy[2049_TWh],Energy[[Sector]:[Sector]],$A$208, Energy[[Fuel_category]:[Fuel_category]],$B211),"")</f>
        <v>0</v>
      </c>
      <c r="AF211" s="28">
        <f ca="1">IFERROR(SUMIFS(Energy[2050_TWh],Energy[[Sector]:[Sector]],$A$208, Energy[[Fuel_category]:[Fuel_category]],$B211),"")</f>
        <v>0</v>
      </c>
      <c r="AG211" s="28">
        <f ca="1">IFERROR(SUMIFS(Energy[2051_TWh],Energy[[Sector]:[Sector]],$A$208, Energy[[Fuel_category]:[Fuel_category]],$B211),"")</f>
        <v>0</v>
      </c>
    </row>
    <row r="212" spans="1:34" x14ac:dyDescent="0.45">
      <c r="B212" s="21" t="s">
        <v>26</v>
      </c>
      <c r="C212" s="28">
        <f ca="1">IFERROR(SUMIFS(Energy[2021_TWh],Energy[[Sector]:[Sector]],$A$208, Energy[[Fuel_category]:[Fuel_category]],$B212),"")</f>
        <v>0</v>
      </c>
      <c r="D212" s="28">
        <f ca="1">IFERROR(SUMIFS(Energy[2022_TWh],Energy[[Sector]:[Sector]],$A$208, Energy[[Fuel_category]:[Fuel_category]],$B212),"")</f>
        <v>0</v>
      </c>
      <c r="E212" s="28">
        <f ca="1">IFERROR(SUMIFS(Energy[2023_TWh],Energy[[Sector]:[Sector]],$A$208, Energy[[Fuel_category]:[Fuel_category]],$B212),"")</f>
        <v>0</v>
      </c>
      <c r="F212" s="28">
        <f ca="1">IFERROR(SUMIFS(Energy[2024_TWh],Energy[[Sector]:[Sector]],$A$208, Energy[[Fuel_category]:[Fuel_category]],$B212),"")</f>
        <v>0</v>
      </c>
      <c r="G212" s="28">
        <f ca="1">IFERROR(SUMIFS(Energy[2025_TWh],Energy[[Sector]:[Sector]],$A$208, Energy[[Fuel_category]:[Fuel_category]],$B212),"")</f>
        <v>0</v>
      </c>
      <c r="H212" s="28">
        <f ca="1">IFERROR(SUMIFS(Energy[2026_TWh],Energy[[Sector]:[Sector]],$A$208, Energy[[Fuel_category]:[Fuel_category]],$B212),"")</f>
        <v>0</v>
      </c>
      <c r="I212" s="28">
        <f ca="1">IFERROR(SUMIFS(Energy[2027_TWh],Energy[[Sector]:[Sector]],$A$208, Energy[[Fuel_category]:[Fuel_category]],$B212),"")</f>
        <v>0</v>
      </c>
      <c r="J212" s="28">
        <f ca="1">IFERROR(SUMIFS(Energy[2028_TWh],Energy[[Sector]:[Sector]],$A$208, Energy[[Fuel_category]:[Fuel_category]],$B212),"")</f>
        <v>0</v>
      </c>
      <c r="K212" s="28">
        <f ca="1">IFERROR(SUMIFS(Energy[2029_TWh],Energy[[Sector]:[Sector]],$A$208, Energy[[Fuel_category]:[Fuel_category]],$B212),"")</f>
        <v>0</v>
      </c>
      <c r="L212" s="28">
        <f ca="1">IFERROR(SUMIFS(Energy[2030_TWh],Energy[[Sector]:[Sector]],$A$208, Energy[[Fuel_category]:[Fuel_category]],$B212),"")</f>
        <v>0</v>
      </c>
      <c r="M212" s="28">
        <f ca="1">IFERROR(SUMIFS(Energy[2031_TWh],Energy[[Sector]:[Sector]],$A$208, Energy[[Fuel_category]:[Fuel_category]],$B212),"")</f>
        <v>0</v>
      </c>
      <c r="N212" s="28">
        <f ca="1">IFERROR(SUMIFS(Energy[2032_TWh],Energy[[Sector]:[Sector]],$A$208, Energy[[Fuel_category]:[Fuel_category]],$B212),"")</f>
        <v>0</v>
      </c>
      <c r="O212" s="28">
        <f ca="1">IFERROR(SUMIFS(Energy[2033_TWh],Energy[[Sector]:[Sector]],$A$208, Energy[[Fuel_category]:[Fuel_category]],$B212),"")</f>
        <v>0</v>
      </c>
      <c r="P212" s="28">
        <f ca="1">IFERROR(SUMIFS(Energy[2034_TWh],Energy[[Sector]:[Sector]],$A$208, Energy[[Fuel_category]:[Fuel_category]],$B212),"")</f>
        <v>0</v>
      </c>
      <c r="Q212" s="28">
        <f ca="1">IFERROR(SUMIFS(Energy[2035_TWh],Energy[[Sector]:[Sector]],$A$208, Energy[[Fuel_category]:[Fuel_category]],$B212),"")</f>
        <v>0</v>
      </c>
      <c r="R212" s="28">
        <f ca="1">IFERROR(SUMIFS(Energy[2036_TWh],Energy[[Sector]:[Sector]],$A$208, Energy[[Fuel_category]:[Fuel_category]],$B212),"")</f>
        <v>0</v>
      </c>
      <c r="S212" s="28">
        <f ca="1">IFERROR(SUMIFS(Energy[2037_TWh],Energy[[Sector]:[Sector]],$A$208, Energy[[Fuel_category]:[Fuel_category]],$B212),"")</f>
        <v>0</v>
      </c>
      <c r="T212" s="28">
        <f ca="1">IFERROR(SUMIFS(Energy[2038_TWh],Energy[[Sector]:[Sector]],$A$208, Energy[[Fuel_category]:[Fuel_category]],$B212),"")</f>
        <v>0</v>
      </c>
      <c r="U212" s="28">
        <f ca="1">IFERROR(SUMIFS(Energy[2039_TWh],Energy[[Sector]:[Sector]],$A$208, Energy[[Fuel_category]:[Fuel_category]],$B212),"")</f>
        <v>0</v>
      </c>
      <c r="V212" s="28">
        <f ca="1">IFERROR(SUMIFS(Energy[2040_TWh],Energy[[Sector]:[Sector]],$A$208, Energy[[Fuel_category]:[Fuel_category]],$B212),"")</f>
        <v>0</v>
      </c>
      <c r="W212" s="28">
        <f ca="1">IFERROR(SUMIFS(Energy[2041_TWh],Energy[[Sector]:[Sector]],$A$208, Energy[[Fuel_category]:[Fuel_category]],$B212),"")</f>
        <v>0</v>
      </c>
      <c r="X212" s="28">
        <f ca="1">IFERROR(SUMIFS(Energy[2042_TWh],Energy[[Sector]:[Sector]],$A$208, Energy[[Fuel_category]:[Fuel_category]],$B212),"")</f>
        <v>0</v>
      </c>
      <c r="Y212" s="28">
        <f ca="1">IFERROR(SUMIFS(Energy[2043_TWh],Energy[[Sector]:[Sector]],$A$208, Energy[[Fuel_category]:[Fuel_category]],$B212),"")</f>
        <v>0</v>
      </c>
      <c r="Z212" s="28">
        <f ca="1">IFERROR(SUMIFS(Energy[2044_TWh],Energy[[Sector]:[Sector]],$A$208, Energy[[Fuel_category]:[Fuel_category]],$B212),"")</f>
        <v>0</v>
      </c>
      <c r="AA212" s="28">
        <f ca="1">IFERROR(SUMIFS(Energy[2045_TWh],Energy[[Sector]:[Sector]],$A$208, Energy[[Fuel_category]:[Fuel_category]],$B212),"")</f>
        <v>0</v>
      </c>
      <c r="AB212" s="28">
        <f ca="1">IFERROR(SUMIFS(Energy[2046_TWh],Energy[[Sector]:[Sector]],$A$208, Energy[[Fuel_category]:[Fuel_category]],$B212),"")</f>
        <v>0</v>
      </c>
      <c r="AC212" s="28">
        <f ca="1">IFERROR(SUMIFS(Energy[2047_TWh],Energy[[Sector]:[Sector]],$A$208, Energy[[Fuel_category]:[Fuel_category]],$B212),"")</f>
        <v>0</v>
      </c>
      <c r="AD212" s="28">
        <f ca="1">IFERROR(SUMIFS(Energy[2048_TWh],Energy[[Sector]:[Sector]],$A$208, Energy[[Fuel_category]:[Fuel_category]],$B212),"")</f>
        <v>0</v>
      </c>
      <c r="AE212" s="28">
        <f ca="1">IFERROR(SUMIFS(Energy[2049_TWh],Energy[[Sector]:[Sector]],$A$208, Energy[[Fuel_category]:[Fuel_category]],$B212),"")</f>
        <v>0</v>
      </c>
      <c r="AF212" s="28">
        <f ca="1">IFERROR(SUMIFS(Energy[2050_TWh],Energy[[Sector]:[Sector]],$A$208, Energy[[Fuel_category]:[Fuel_category]],$B212),"")</f>
        <v>0</v>
      </c>
      <c r="AG212" s="28">
        <f ca="1">IFERROR(SUMIFS(Energy[2051_TWh],Energy[[Sector]:[Sector]],$A$208, Energy[[Fuel_category]:[Fuel_category]],$B212),"")</f>
        <v>0</v>
      </c>
    </row>
    <row r="213" spans="1:34" x14ac:dyDescent="0.45">
      <c r="B213" s="21" t="s">
        <v>113</v>
      </c>
      <c r="C213" s="28">
        <f ca="1">IFERROR(SUMIFS(Energy[2021_TWh],Energy[[Sector]:[Sector]],$A$208, Energy[[Fuel_category]:[Fuel_category]],$B213),"")</f>
        <v>0</v>
      </c>
      <c r="D213" s="28">
        <f ca="1">IFERROR(SUMIFS(Energy[2022_TWh],Energy[[Sector]:[Sector]],$A$208, Energy[[Fuel_category]:[Fuel_category]],$B213),"")</f>
        <v>0</v>
      </c>
      <c r="E213" s="28">
        <f ca="1">IFERROR(SUMIFS(Energy[2023_TWh],Energy[[Sector]:[Sector]],$A$208, Energy[[Fuel_category]:[Fuel_category]],$B213),"")</f>
        <v>0</v>
      </c>
      <c r="F213" s="28">
        <f ca="1">IFERROR(SUMIFS(Energy[2024_TWh],Energy[[Sector]:[Sector]],$A$208, Energy[[Fuel_category]:[Fuel_category]],$B213),"")</f>
        <v>0</v>
      </c>
      <c r="G213" s="28">
        <f ca="1">IFERROR(SUMIFS(Energy[2025_TWh],Energy[[Sector]:[Sector]],$A$208, Energy[[Fuel_category]:[Fuel_category]],$B213),"")</f>
        <v>0</v>
      </c>
      <c r="H213" s="28">
        <f ca="1">IFERROR(SUMIFS(Energy[2026_TWh],Energy[[Sector]:[Sector]],$A$208, Energy[[Fuel_category]:[Fuel_category]],$B213),"")</f>
        <v>0</v>
      </c>
      <c r="I213" s="28">
        <f ca="1">IFERROR(SUMIFS(Energy[2027_TWh],Energy[[Sector]:[Sector]],$A$208, Energy[[Fuel_category]:[Fuel_category]],$B213),"")</f>
        <v>0</v>
      </c>
      <c r="J213" s="28">
        <f ca="1">IFERROR(SUMIFS(Energy[2028_TWh],Energy[[Sector]:[Sector]],$A$208, Energy[[Fuel_category]:[Fuel_category]],$B213),"")</f>
        <v>0</v>
      </c>
      <c r="K213" s="28">
        <f ca="1">IFERROR(SUMIFS(Energy[2029_TWh],Energy[[Sector]:[Sector]],$A$208, Energy[[Fuel_category]:[Fuel_category]],$B213),"")</f>
        <v>0</v>
      </c>
      <c r="L213" s="28">
        <f ca="1">IFERROR(SUMIFS(Energy[2030_TWh],Energy[[Sector]:[Sector]],$A$208, Energy[[Fuel_category]:[Fuel_category]],$B213),"")</f>
        <v>0</v>
      </c>
      <c r="M213" s="28">
        <f ca="1">IFERROR(SUMIFS(Energy[2031_TWh],Energy[[Sector]:[Sector]],$A$208, Energy[[Fuel_category]:[Fuel_category]],$B213),"")</f>
        <v>0</v>
      </c>
      <c r="N213" s="28">
        <f ca="1">IFERROR(SUMIFS(Energy[2032_TWh],Energy[[Sector]:[Sector]],$A$208, Energy[[Fuel_category]:[Fuel_category]],$B213),"")</f>
        <v>0</v>
      </c>
      <c r="O213" s="28">
        <f ca="1">IFERROR(SUMIFS(Energy[2033_TWh],Energy[[Sector]:[Sector]],$A$208, Energy[[Fuel_category]:[Fuel_category]],$B213),"")</f>
        <v>0</v>
      </c>
      <c r="P213" s="28">
        <f ca="1">IFERROR(SUMIFS(Energy[2034_TWh],Energy[[Sector]:[Sector]],$A$208, Energy[[Fuel_category]:[Fuel_category]],$B213),"")</f>
        <v>0</v>
      </c>
      <c r="Q213" s="28">
        <f ca="1">IFERROR(SUMIFS(Energy[2035_TWh],Energy[[Sector]:[Sector]],$A$208, Energy[[Fuel_category]:[Fuel_category]],$B213),"")</f>
        <v>0</v>
      </c>
      <c r="R213" s="28">
        <f ca="1">IFERROR(SUMIFS(Energy[2036_TWh],Energy[[Sector]:[Sector]],$A$208, Energy[[Fuel_category]:[Fuel_category]],$B213),"")</f>
        <v>0</v>
      </c>
      <c r="S213" s="28">
        <f ca="1">IFERROR(SUMIFS(Energy[2037_TWh],Energy[[Sector]:[Sector]],$A$208, Energy[[Fuel_category]:[Fuel_category]],$B213),"")</f>
        <v>0</v>
      </c>
      <c r="T213" s="28">
        <f ca="1">IFERROR(SUMIFS(Energy[2038_TWh],Energy[[Sector]:[Sector]],$A$208, Energy[[Fuel_category]:[Fuel_category]],$B213),"")</f>
        <v>0</v>
      </c>
      <c r="U213" s="28">
        <f ca="1">IFERROR(SUMIFS(Energy[2039_TWh],Energy[[Sector]:[Sector]],$A$208, Energy[[Fuel_category]:[Fuel_category]],$B213),"")</f>
        <v>0</v>
      </c>
      <c r="V213" s="28">
        <f ca="1">IFERROR(SUMIFS(Energy[2040_TWh],Energy[[Sector]:[Sector]],$A$208, Energy[[Fuel_category]:[Fuel_category]],$B213),"")</f>
        <v>0</v>
      </c>
      <c r="W213" s="28">
        <f ca="1">IFERROR(SUMIFS(Energy[2041_TWh],Energy[[Sector]:[Sector]],$A$208, Energy[[Fuel_category]:[Fuel_category]],$B213),"")</f>
        <v>0</v>
      </c>
      <c r="X213" s="28">
        <f ca="1">IFERROR(SUMIFS(Energy[2042_TWh],Energy[[Sector]:[Sector]],$A$208, Energy[[Fuel_category]:[Fuel_category]],$B213),"")</f>
        <v>0</v>
      </c>
      <c r="Y213" s="28">
        <f ca="1">IFERROR(SUMIFS(Energy[2043_TWh],Energy[[Sector]:[Sector]],$A$208, Energy[[Fuel_category]:[Fuel_category]],$B213),"")</f>
        <v>0</v>
      </c>
      <c r="Z213" s="28">
        <f ca="1">IFERROR(SUMIFS(Energy[2044_TWh],Energy[[Sector]:[Sector]],$A$208, Energy[[Fuel_category]:[Fuel_category]],$B213),"")</f>
        <v>0</v>
      </c>
      <c r="AA213" s="28">
        <f ca="1">IFERROR(SUMIFS(Energy[2045_TWh],Energy[[Sector]:[Sector]],$A$208, Energy[[Fuel_category]:[Fuel_category]],$B213),"")</f>
        <v>0</v>
      </c>
      <c r="AB213" s="28">
        <f ca="1">IFERROR(SUMIFS(Energy[2046_TWh],Energy[[Sector]:[Sector]],$A$208, Energy[[Fuel_category]:[Fuel_category]],$B213),"")</f>
        <v>0</v>
      </c>
      <c r="AC213" s="28">
        <f ca="1">IFERROR(SUMIFS(Energy[2047_TWh],Energy[[Sector]:[Sector]],$A$208, Energy[[Fuel_category]:[Fuel_category]],$B213),"")</f>
        <v>0</v>
      </c>
      <c r="AD213" s="28">
        <f ca="1">IFERROR(SUMIFS(Energy[2048_TWh],Energy[[Sector]:[Sector]],$A$208, Energy[[Fuel_category]:[Fuel_category]],$B213),"")</f>
        <v>0</v>
      </c>
      <c r="AE213" s="28">
        <f ca="1">IFERROR(SUMIFS(Energy[2049_TWh],Energy[[Sector]:[Sector]],$A$208, Energy[[Fuel_category]:[Fuel_category]],$B213),"")</f>
        <v>0</v>
      </c>
      <c r="AF213" s="28">
        <f ca="1">IFERROR(SUMIFS(Energy[2050_TWh],Energy[[Sector]:[Sector]],$A$208, Energy[[Fuel_category]:[Fuel_category]],$B213),"")</f>
        <v>0</v>
      </c>
      <c r="AG213" s="28">
        <f ca="1">IFERROR(SUMIFS(Energy[2051_TWh],Energy[[Sector]:[Sector]],$A$208, Energy[[Fuel_category]:[Fuel_category]],$B213),"")</f>
        <v>0</v>
      </c>
    </row>
    <row r="214" spans="1:34" x14ac:dyDescent="0.45">
      <c r="B214" s="21" t="s">
        <v>111</v>
      </c>
      <c r="C214" s="28">
        <f ca="1">IFERROR(SUMIFS(Energy[2021_TWh],Energy[[Sector]:[Sector]],$A$208, Energy[[Fuel_category]:[Fuel_category]],$B214),"")</f>
        <v>0</v>
      </c>
      <c r="D214" s="28">
        <f ca="1">IFERROR(SUMIFS(Energy[2022_TWh],Energy[[Sector]:[Sector]],$A$208, Energy[[Fuel_category]:[Fuel_category]],$B214),"")</f>
        <v>0</v>
      </c>
      <c r="E214" s="28">
        <f ca="1">IFERROR(SUMIFS(Energy[2023_TWh],Energy[[Sector]:[Sector]],$A$208, Energy[[Fuel_category]:[Fuel_category]],$B214),"")</f>
        <v>0</v>
      </c>
      <c r="F214" s="28">
        <f ca="1">IFERROR(SUMIFS(Energy[2024_TWh],Energy[[Sector]:[Sector]],$A$208, Energy[[Fuel_category]:[Fuel_category]],$B214),"")</f>
        <v>0</v>
      </c>
      <c r="G214" s="28">
        <f ca="1">IFERROR(SUMIFS(Energy[2025_TWh],Energy[[Sector]:[Sector]],$A$208, Energy[[Fuel_category]:[Fuel_category]],$B214),"")</f>
        <v>0</v>
      </c>
      <c r="H214" s="28">
        <f ca="1">IFERROR(SUMIFS(Energy[2026_TWh],Energy[[Sector]:[Sector]],$A$208, Energy[[Fuel_category]:[Fuel_category]],$B214),"")</f>
        <v>0</v>
      </c>
      <c r="I214" s="28">
        <f ca="1">IFERROR(SUMIFS(Energy[2027_TWh],Energy[[Sector]:[Sector]],$A$208, Energy[[Fuel_category]:[Fuel_category]],$B214),"")</f>
        <v>0</v>
      </c>
      <c r="J214" s="28">
        <f ca="1">IFERROR(SUMIFS(Energy[2028_TWh],Energy[[Sector]:[Sector]],$A$208, Energy[[Fuel_category]:[Fuel_category]],$B214),"")</f>
        <v>0</v>
      </c>
      <c r="K214" s="28">
        <f ca="1">IFERROR(SUMIFS(Energy[2029_TWh],Energy[[Sector]:[Sector]],$A$208, Energy[[Fuel_category]:[Fuel_category]],$B214),"")</f>
        <v>0</v>
      </c>
      <c r="L214" s="28">
        <f ca="1">IFERROR(SUMIFS(Energy[2030_TWh],Energy[[Sector]:[Sector]],$A$208, Energy[[Fuel_category]:[Fuel_category]],$B214),"")</f>
        <v>0</v>
      </c>
      <c r="M214" s="28">
        <f ca="1">IFERROR(SUMIFS(Energy[2031_TWh],Energy[[Sector]:[Sector]],$A$208, Energy[[Fuel_category]:[Fuel_category]],$B214),"")</f>
        <v>0</v>
      </c>
      <c r="N214" s="28">
        <f ca="1">IFERROR(SUMIFS(Energy[2032_TWh],Energy[[Sector]:[Sector]],$A$208, Energy[[Fuel_category]:[Fuel_category]],$B214),"")</f>
        <v>0</v>
      </c>
      <c r="O214" s="28">
        <f ca="1">IFERROR(SUMIFS(Energy[2033_TWh],Energy[[Sector]:[Sector]],$A$208, Energy[[Fuel_category]:[Fuel_category]],$B214),"")</f>
        <v>0</v>
      </c>
      <c r="P214" s="28">
        <f ca="1">IFERROR(SUMIFS(Energy[2034_TWh],Energy[[Sector]:[Sector]],$A$208, Energy[[Fuel_category]:[Fuel_category]],$B214),"")</f>
        <v>0</v>
      </c>
      <c r="Q214" s="28">
        <f ca="1">IFERROR(SUMIFS(Energy[2035_TWh],Energy[[Sector]:[Sector]],$A$208, Energy[[Fuel_category]:[Fuel_category]],$B214),"")</f>
        <v>0</v>
      </c>
      <c r="R214" s="28">
        <f ca="1">IFERROR(SUMIFS(Energy[2036_TWh],Energy[[Sector]:[Sector]],$A$208, Energy[[Fuel_category]:[Fuel_category]],$B214),"")</f>
        <v>0</v>
      </c>
      <c r="S214" s="28">
        <f ca="1">IFERROR(SUMIFS(Energy[2037_TWh],Energy[[Sector]:[Sector]],$A$208, Energy[[Fuel_category]:[Fuel_category]],$B214),"")</f>
        <v>0</v>
      </c>
      <c r="T214" s="28">
        <f ca="1">IFERROR(SUMIFS(Energy[2038_TWh],Energy[[Sector]:[Sector]],$A$208, Energy[[Fuel_category]:[Fuel_category]],$B214),"")</f>
        <v>0</v>
      </c>
      <c r="U214" s="28">
        <f ca="1">IFERROR(SUMIFS(Energy[2039_TWh],Energy[[Sector]:[Sector]],$A$208, Energy[[Fuel_category]:[Fuel_category]],$B214),"")</f>
        <v>0</v>
      </c>
      <c r="V214" s="28">
        <f ca="1">IFERROR(SUMIFS(Energy[2040_TWh],Energy[[Sector]:[Sector]],$A$208, Energy[[Fuel_category]:[Fuel_category]],$B214),"")</f>
        <v>0</v>
      </c>
      <c r="W214" s="28">
        <f ca="1">IFERROR(SUMIFS(Energy[2041_TWh],Energy[[Sector]:[Sector]],$A$208, Energy[[Fuel_category]:[Fuel_category]],$B214),"")</f>
        <v>0</v>
      </c>
      <c r="X214" s="28">
        <f ca="1">IFERROR(SUMIFS(Energy[2042_TWh],Energy[[Sector]:[Sector]],$A$208, Energy[[Fuel_category]:[Fuel_category]],$B214),"")</f>
        <v>0</v>
      </c>
      <c r="Y214" s="28">
        <f ca="1">IFERROR(SUMIFS(Energy[2043_TWh],Energy[[Sector]:[Sector]],$A$208, Energy[[Fuel_category]:[Fuel_category]],$B214),"")</f>
        <v>0</v>
      </c>
      <c r="Z214" s="28">
        <f ca="1">IFERROR(SUMIFS(Energy[2044_TWh],Energy[[Sector]:[Sector]],$A$208, Energy[[Fuel_category]:[Fuel_category]],$B214),"")</f>
        <v>0</v>
      </c>
      <c r="AA214" s="28">
        <f ca="1">IFERROR(SUMIFS(Energy[2045_TWh],Energy[[Sector]:[Sector]],$A$208, Energy[[Fuel_category]:[Fuel_category]],$B214),"")</f>
        <v>0</v>
      </c>
      <c r="AB214" s="28">
        <f ca="1">IFERROR(SUMIFS(Energy[2046_TWh],Energy[[Sector]:[Sector]],$A$208, Energy[[Fuel_category]:[Fuel_category]],$B214),"")</f>
        <v>0</v>
      </c>
      <c r="AC214" s="28">
        <f ca="1">IFERROR(SUMIFS(Energy[2047_TWh],Energy[[Sector]:[Sector]],$A$208, Energy[[Fuel_category]:[Fuel_category]],$B214),"")</f>
        <v>0</v>
      </c>
      <c r="AD214" s="28">
        <f ca="1">IFERROR(SUMIFS(Energy[2048_TWh],Energy[[Sector]:[Sector]],$A$208, Energy[[Fuel_category]:[Fuel_category]],$B214),"")</f>
        <v>0</v>
      </c>
      <c r="AE214" s="28">
        <f ca="1">IFERROR(SUMIFS(Energy[2049_TWh],Energy[[Sector]:[Sector]],$A$208, Energy[[Fuel_category]:[Fuel_category]],$B214),"")</f>
        <v>0</v>
      </c>
      <c r="AF214" s="28">
        <f ca="1">IFERROR(SUMIFS(Energy[2050_TWh],Energy[[Sector]:[Sector]],$A$208, Energy[[Fuel_category]:[Fuel_category]],$B214),"")</f>
        <v>0</v>
      </c>
      <c r="AG214" s="28">
        <f ca="1">IFERROR(SUMIFS(Energy[2051_TWh],Energy[[Sector]:[Sector]],$A$208, Energy[[Fuel_category]:[Fuel_category]],$B214),"")</f>
        <v>0</v>
      </c>
    </row>
    <row r="215" spans="1:34" ht="14.65" thickBot="1" x14ac:dyDescent="0.5">
      <c r="B215" s="29" t="s">
        <v>124</v>
      </c>
      <c r="C215" s="31">
        <f ca="1">IF(C105&lt;&gt;"",SUM(C208:C213),"")</f>
        <v>0</v>
      </c>
      <c r="D215" s="31">
        <f t="shared" ref="D215:AF215" ca="1" si="44">IF(D105&lt;&gt;"",SUM(D208:D213),"")</f>
        <v>0</v>
      </c>
      <c r="E215" s="31">
        <f t="shared" ca="1" si="44"/>
        <v>0</v>
      </c>
      <c r="F215" s="31">
        <f t="shared" ca="1" si="44"/>
        <v>0</v>
      </c>
      <c r="G215" s="31">
        <f t="shared" ca="1" si="44"/>
        <v>0</v>
      </c>
      <c r="H215" s="31">
        <f t="shared" ca="1" si="44"/>
        <v>0</v>
      </c>
      <c r="I215" s="31">
        <f t="shared" ca="1" si="44"/>
        <v>0</v>
      </c>
      <c r="J215" s="31">
        <f t="shared" ca="1" si="44"/>
        <v>0</v>
      </c>
      <c r="K215" s="31">
        <f t="shared" ca="1" si="44"/>
        <v>0</v>
      </c>
      <c r="L215" s="31">
        <f t="shared" ca="1" si="44"/>
        <v>0</v>
      </c>
      <c r="M215" s="31">
        <f t="shared" ca="1" si="44"/>
        <v>0</v>
      </c>
      <c r="N215" s="31">
        <f t="shared" ca="1" si="44"/>
        <v>0</v>
      </c>
      <c r="O215" s="31">
        <f t="shared" ca="1" si="44"/>
        <v>0</v>
      </c>
      <c r="P215" s="31">
        <f t="shared" ca="1" si="44"/>
        <v>0</v>
      </c>
      <c r="Q215" s="31">
        <f t="shared" ca="1" si="44"/>
        <v>0</v>
      </c>
      <c r="R215" s="31">
        <f t="shared" ca="1" si="44"/>
        <v>0</v>
      </c>
      <c r="S215" s="31">
        <f t="shared" ca="1" si="44"/>
        <v>0</v>
      </c>
      <c r="T215" s="31">
        <f t="shared" ca="1" si="44"/>
        <v>0</v>
      </c>
      <c r="U215" s="31">
        <f t="shared" ca="1" si="44"/>
        <v>0</v>
      </c>
      <c r="V215" s="31">
        <f t="shared" ca="1" si="44"/>
        <v>0</v>
      </c>
      <c r="W215" s="31">
        <f t="shared" ca="1" si="44"/>
        <v>0</v>
      </c>
      <c r="X215" s="31">
        <f t="shared" ca="1" si="44"/>
        <v>0</v>
      </c>
      <c r="Y215" s="31">
        <f t="shared" ca="1" si="44"/>
        <v>0</v>
      </c>
      <c r="Z215" s="31">
        <f t="shared" ca="1" si="44"/>
        <v>0</v>
      </c>
      <c r="AA215" s="31">
        <f t="shared" ca="1" si="44"/>
        <v>0</v>
      </c>
      <c r="AB215" s="31">
        <f t="shared" ca="1" si="44"/>
        <v>0</v>
      </c>
      <c r="AC215" s="31">
        <f t="shared" ca="1" si="44"/>
        <v>0</v>
      </c>
      <c r="AD215" s="31">
        <f t="shared" ca="1" si="44"/>
        <v>0</v>
      </c>
      <c r="AE215" s="31">
        <f t="shared" ca="1" si="44"/>
        <v>0</v>
      </c>
      <c r="AF215" s="31">
        <f t="shared" ca="1" si="44"/>
        <v>0</v>
      </c>
      <c r="AG215" s="31">
        <f t="shared" ref="AG215" ca="1" si="45">IF(AG105&lt;&gt;"",SUM(AG208:AG213),"")</f>
        <v>0</v>
      </c>
    </row>
    <row r="216" spans="1:34" s="68" customFormat="1" ht="14.65" thickTop="1" x14ac:dyDescent="0.45">
      <c r="B216" s="69"/>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row>
    <row r="217" spans="1:34" s="68" customFormat="1" x14ac:dyDescent="0.45">
      <c r="B217" s="71"/>
      <c r="C217" s="6">
        <v>2021</v>
      </c>
      <c r="D217" s="6">
        <v>2022</v>
      </c>
      <c r="E217" s="6">
        <v>2023</v>
      </c>
      <c r="F217" s="6">
        <v>2024</v>
      </c>
      <c r="G217" s="6">
        <v>2025</v>
      </c>
      <c r="H217" s="6">
        <v>2026</v>
      </c>
      <c r="I217" s="6">
        <v>2027</v>
      </c>
      <c r="J217" s="6">
        <v>2028</v>
      </c>
      <c r="K217" s="6">
        <v>2029</v>
      </c>
      <c r="L217" s="6">
        <v>2030</v>
      </c>
      <c r="M217" s="6">
        <v>2031</v>
      </c>
      <c r="N217" s="6">
        <v>2032</v>
      </c>
      <c r="O217" s="6">
        <v>2033</v>
      </c>
      <c r="P217" s="6">
        <v>2034</v>
      </c>
      <c r="Q217" s="6">
        <v>2035</v>
      </c>
      <c r="R217" s="6">
        <v>2036</v>
      </c>
      <c r="S217" s="6">
        <v>2037</v>
      </c>
      <c r="T217" s="6">
        <v>2038</v>
      </c>
      <c r="U217" s="6">
        <v>2039</v>
      </c>
      <c r="V217" s="6">
        <v>2040</v>
      </c>
      <c r="W217" s="6">
        <v>2041</v>
      </c>
      <c r="X217" s="6">
        <v>2042</v>
      </c>
      <c r="Y217" s="6">
        <v>2043</v>
      </c>
      <c r="Z217" s="6">
        <v>2044</v>
      </c>
      <c r="AA217" s="6">
        <v>2045</v>
      </c>
      <c r="AB217" s="6">
        <v>2046</v>
      </c>
      <c r="AC217" s="6">
        <v>2047</v>
      </c>
      <c r="AD217" s="6">
        <v>2048</v>
      </c>
      <c r="AE217" s="6">
        <v>2049</v>
      </c>
      <c r="AF217" s="6">
        <v>2050</v>
      </c>
      <c r="AG217" s="6">
        <v>2051</v>
      </c>
      <c r="AH217"/>
    </row>
    <row r="218" spans="1:34" x14ac:dyDescent="0.45">
      <c r="A218" t="s">
        <v>268</v>
      </c>
      <c r="B218" s="21" t="s">
        <v>82</v>
      </c>
      <c r="C218" s="28">
        <f ca="1">IFERROR(SUMIFS(Energy[2021_TWh],Energy[[Sector]:[Sector]],$A$218, Energy[[Fuel_category]:[Fuel_category]],$B218),"")</f>
        <v>0</v>
      </c>
      <c r="D218" s="28">
        <f ca="1">IFERROR(SUMIFS(Energy[2022_TWh],Energy[[Sector]:[Sector]],$A$218, Energy[[Fuel_category]:[Fuel_category]],$B218),"")</f>
        <v>0</v>
      </c>
      <c r="E218" s="28">
        <f ca="1">IFERROR(SUMIFS(Energy[2023_TWh],Energy[[Sector]:[Sector]],$A$218, Energy[[Fuel_category]:[Fuel_category]],$B218),"")</f>
        <v>0</v>
      </c>
      <c r="F218" s="28">
        <f ca="1">IFERROR(SUMIFS(Energy[2024_TWh],Energy[[Sector]:[Sector]],$A$218, Energy[[Fuel_category]:[Fuel_category]],$B218),"")</f>
        <v>0</v>
      </c>
      <c r="G218" s="28">
        <f ca="1">IFERROR(SUMIFS(Energy[2025_TWh],Energy[[Sector]:[Sector]],$A$218, Energy[[Fuel_category]:[Fuel_category]],$B218),"")</f>
        <v>0</v>
      </c>
      <c r="H218" s="28">
        <f ca="1">IFERROR(SUMIFS(Energy[2026_TWh],Energy[[Sector]:[Sector]],$A$218, Energy[[Fuel_category]:[Fuel_category]],$B218),"")</f>
        <v>0</v>
      </c>
      <c r="I218" s="28">
        <f ca="1">IFERROR(SUMIFS(Energy[2027_TWh],Energy[[Sector]:[Sector]],$A$218, Energy[[Fuel_category]:[Fuel_category]],$B218),"")</f>
        <v>0</v>
      </c>
      <c r="J218" s="28">
        <f ca="1">IFERROR(SUMIFS(Energy[2028_TWh],Energy[[Sector]:[Sector]],$A$218, Energy[[Fuel_category]:[Fuel_category]],$B218),"")</f>
        <v>0</v>
      </c>
      <c r="K218" s="28">
        <f ca="1">IFERROR(SUMIFS(Energy[2029_TWh],Energy[[Sector]:[Sector]],$A$218, Energy[[Fuel_category]:[Fuel_category]],$B218),"")</f>
        <v>0</v>
      </c>
      <c r="L218" s="28">
        <f ca="1">IFERROR(SUMIFS(Energy[2030_TWh],Energy[[Sector]:[Sector]],$A$218, Energy[[Fuel_category]:[Fuel_category]],$B218),"")</f>
        <v>0</v>
      </c>
      <c r="M218" s="28">
        <f ca="1">IFERROR(SUMIFS(Energy[2031_TWh],Energy[[Sector]:[Sector]],$A$218, Energy[[Fuel_category]:[Fuel_category]],$B218),"")</f>
        <v>0</v>
      </c>
      <c r="N218" s="28">
        <f ca="1">IFERROR(SUMIFS(Energy[2032_TWh],Energy[[Sector]:[Sector]],$A$218, Energy[[Fuel_category]:[Fuel_category]],$B218),"")</f>
        <v>0</v>
      </c>
      <c r="O218" s="28">
        <f ca="1">IFERROR(SUMIFS(Energy[2033_TWh],Energy[[Sector]:[Sector]],$A$218, Energy[[Fuel_category]:[Fuel_category]],$B218),"")</f>
        <v>0</v>
      </c>
      <c r="P218" s="28">
        <f ca="1">IFERROR(SUMIFS(Energy[2034_TWh],Energy[[Sector]:[Sector]],$A$218, Energy[[Fuel_category]:[Fuel_category]],$B218),"")</f>
        <v>0</v>
      </c>
      <c r="Q218" s="28">
        <f ca="1">IFERROR(SUMIFS(Energy[2035_TWh],Energy[[Sector]:[Sector]],$A$218, Energy[[Fuel_category]:[Fuel_category]],$B218),"")</f>
        <v>0</v>
      </c>
      <c r="R218" s="28">
        <f ca="1">IFERROR(SUMIFS(Energy[2036_TWh],Energy[[Sector]:[Sector]],$A$218, Energy[[Fuel_category]:[Fuel_category]],$B218),"")</f>
        <v>0</v>
      </c>
      <c r="S218" s="28">
        <f ca="1">IFERROR(SUMIFS(Energy[2037_TWh],Energy[[Sector]:[Sector]],$A$218, Energy[[Fuel_category]:[Fuel_category]],$B218),"")</f>
        <v>0</v>
      </c>
      <c r="T218" s="28">
        <f ca="1">IFERROR(SUMIFS(Energy[2038_TWh],Energy[[Sector]:[Sector]],$A$218, Energy[[Fuel_category]:[Fuel_category]],$B218),"")</f>
        <v>0</v>
      </c>
      <c r="U218" s="28">
        <f ca="1">IFERROR(SUMIFS(Energy[2039_TWh],Energy[[Sector]:[Sector]],$A$218, Energy[[Fuel_category]:[Fuel_category]],$B218),"")</f>
        <v>0</v>
      </c>
      <c r="V218" s="28">
        <f ca="1">IFERROR(SUMIFS(Energy[2040_TWh],Energy[[Sector]:[Sector]],$A$218, Energy[[Fuel_category]:[Fuel_category]],$B218),"")</f>
        <v>0</v>
      </c>
      <c r="W218" s="28">
        <f ca="1">IFERROR(SUMIFS(Energy[2041_TWh],Energy[[Sector]:[Sector]],$A$218, Energy[[Fuel_category]:[Fuel_category]],$B218),"")</f>
        <v>0</v>
      </c>
      <c r="X218" s="28">
        <f ca="1">IFERROR(SUMIFS(Energy[2042_TWh],Energy[[Sector]:[Sector]],$A$218, Energy[[Fuel_category]:[Fuel_category]],$B218),"")</f>
        <v>0</v>
      </c>
      <c r="Y218" s="28">
        <f ca="1">IFERROR(SUMIFS(Energy[2043_TWh],Energy[[Sector]:[Sector]],$A$218, Energy[[Fuel_category]:[Fuel_category]],$B218),"")</f>
        <v>0</v>
      </c>
      <c r="Z218" s="28">
        <f ca="1">IFERROR(SUMIFS(Energy[2044_TWh],Energy[[Sector]:[Sector]],$A$218, Energy[[Fuel_category]:[Fuel_category]],$B218),"")</f>
        <v>0</v>
      </c>
      <c r="AA218" s="28">
        <f ca="1">IFERROR(SUMIFS(Energy[2045_TWh],Energy[[Sector]:[Sector]],$A$218, Energy[[Fuel_category]:[Fuel_category]],$B218),"")</f>
        <v>0</v>
      </c>
      <c r="AB218" s="28">
        <f ca="1">IFERROR(SUMIFS(Energy[2046_TWh],Energy[[Sector]:[Sector]],$A$218, Energy[[Fuel_category]:[Fuel_category]],$B218),"")</f>
        <v>0</v>
      </c>
      <c r="AC218" s="28">
        <f ca="1">IFERROR(SUMIFS(Energy[2047_TWh],Energy[[Sector]:[Sector]],$A$218, Energy[[Fuel_category]:[Fuel_category]],$B218),"")</f>
        <v>0</v>
      </c>
      <c r="AD218" s="28">
        <f ca="1">IFERROR(SUMIFS(Energy[2048_TWh],Energy[[Sector]:[Sector]],$A$218, Energy[[Fuel_category]:[Fuel_category]],$B218),"")</f>
        <v>0</v>
      </c>
      <c r="AE218" s="28">
        <f ca="1">IFERROR(SUMIFS(Energy[2049_TWh],Energy[[Sector]:[Sector]],$A$218, Energy[[Fuel_category]:[Fuel_category]],$B218),"")</f>
        <v>0</v>
      </c>
      <c r="AF218" s="28">
        <f ca="1">IFERROR(SUMIFS(Energy[2050_TWh],Energy[[Sector]:[Sector]],$A$218, Energy[[Fuel_category]:[Fuel_category]],$B218),"")</f>
        <v>0</v>
      </c>
      <c r="AG218" s="28">
        <f ca="1">IFERROR(SUMIFS(Energy[2051_TWh],Energy[[Sector]:[Sector]],$A$218, Energy[[Fuel_category]:[Fuel_category]],$B218),"")</f>
        <v>0</v>
      </c>
    </row>
    <row r="219" spans="1:34" x14ac:dyDescent="0.45">
      <c r="B219" s="21" t="s">
        <v>83</v>
      </c>
      <c r="C219" s="28">
        <f ca="1">IFERROR(SUMIFS(Energy[2021_TWh],Energy[[Sector]:[Sector]],$A$218, Energy[[Fuel_category]:[Fuel_category]],$B219),"")</f>
        <v>0</v>
      </c>
      <c r="D219" s="28">
        <f ca="1">IFERROR(SUMIFS(Energy[2022_TWh],Energy[[Sector]:[Sector]],$A$218, Energy[[Fuel_category]:[Fuel_category]],$B219),"")</f>
        <v>0</v>
      </c>
      <c r="E219" s="28">
        <f ca="1">IFERROR(SUMIFS(Energy[2023_TWh],Energy[[Sector]:[Sector]],$A$218, Energy[[Fuel_category]:[Fuel_category]],$B219),"")</f>
        <v>0</v>
      </c>
      <c r="F219" s="28">
        <f ca="1">IFERROR(SUMIFS(Energy[2024_TWh],Energy[[Sector]:[Sector]],$A$218, Energy[[Fuel_category]:[Fuel_category]],$B219),"")</f>
        <v>0</v>
      </c>
      <c r="G219" s="28">
        <f ca="1">IFERROR(SUMIFS(Energy[2025_TWh],Energy[[Sector]:[Sector]],$A$218, Energy[[Fuel_category]:[Fuel_category]],$B219),"")</f>
        <v>0</v>
      </c>
      <c r="H219" s="28">
        <f ca="1">IFERROR(SUMIFS(Energy[2026_TWh],Energy[[Sector]:[Sector]],$A$218, Energy[[Fuel_category]:[Fuel_category]],$B219),"")</f>
        <v>0</v>
      </c>
      <c r="I219" s="28">
        <f ca="1">IFERROR(SUMIFS(Energy[2027_TWh],Energy[[Sector]:[Sector]],$A$218, Energy[[Fuel_category]:[Fuel_category]],$B219),"")</f>
        <v>0</v>
      </c>
      <c r="J219" s="28">
        <f ca="1">IFERROR(SUMIFS(Energy[2028_TWh],Energy[[Sector]:[Sector]],$A$218, Energy[[Fuel_category]:[Fuel_category]],$B219),"")</f>
        <v>0</v>
      </c>
      <c r="K219" s="28">
        <f ca="1">IFERROR(SUMIFS(Energy[2029_TWh],Energy[[Sector]:[Sector]],$A$218, Energy[[Fuel_category]:[Fuel_category]],$B219),"")</f>
        <v>0</v>
      </c>
      <c r="L219" s="28">
        <f ca="1">IFERROR(SUMIFS(Energy[2030_TWh],Energy[[Sector]:[Sector]],$A$218, Energy[[Fuel_category]:[Fuel_category]],$B219),"")</f>
        <v>0</v>
      </c>
      <c r="M219" s="28">
        <f ca="1">IFERROR(SUMIFS(Energy[2031_TWh],Energy[[Sector]:[Sector]],$A$218, Energy[[Fuel_category]:[Fuel_category]],$B219),"")</f>
        <v>0</v>
      </c>
      <c r="N219" s="28">
        <f ca="1">IFERROR(SUMIFS(Energy[2032_TWh],Energy[[Sector]:[Sector]],$A$218, Energy[[Fuel_category]:[Fuel_category]],$B219),"")</f>
        <v>0</v>
      </c>
      <c r="O219" s="28">
        <f ca="1">IFERROR(SUMIFS(Energy[2033_TWh],Energy[[Sector]:[Sector]],$A$218, Energy[[Fuel_category]:[Fuel_category]],$B219),"")</f>
        <v>0</v>
      </c>
      <c r="P219" s="28">
        <f ca="1">IFERROR(SUMIFS(Energy[2034_TWh],Energy[[Sector]:[Sector]],$A$218, Energy[[Fuel_category]:[Fuel_category]],$B219),"")</f>
        <v>0</v>
      </c>
      <c r="Q219" s="28">
        <f ca="1">IFERROR(SUMIFS(Energy[2035_TWh],Energy[[Sector]:[Sector]],$A$218, Energy[[Fuel_category]:[Fuel_category]],$B219),"")</f>
        <v>0</v>
      </c>
      <c r="R219" s="28">
        <f ca="1">IFERROR(SUMIFS(Energy[2036_TWh],Energy[[Sector]:[Sector]],$A$218, Energy[[Fuel_category]:[Fuel_category]],$B219),"")</f>
        <v>0</v>
      </c>
      <c r="S219" s="28">
        <f ca="1">IFERROR(SUMIFS(Energy[2037_TWh],Energy[[Sector]:[Sector]],$A$218, Energy[[Fuel_category]:[Fuel_category]],$B219),"")</f>
        <v>0</v>
      </c>
      <c r="T219" s="28">
        <f ca="1">IFERROR(SUMIFS(Energy[2038_TWh],Energy[[Sector]:[Sector]],$A$218, Energy[[Fuel_category]:[Fuel_category]],$B219),"")</f>
        <v>0</v>
      </c>
      <c r="U219" s="28">
        <f ca="1">IFERROR(SUMIFS(Energy[2039_TWh],Energy[[Sector]:[Sector]],$A$218, Energy[[Fuel_category]:[Fuel_category]],$B219),"")</f>
        <v>0</v>
      </c>
      <c r="V219" s="28">
        <f ca="1">IFERROR(SUMIFS(Energy[2040_TWh],Energy[[Sector]:[Sector]],$A$218, Energy[[Fuel_category]:[Fuel_category]],$B219),"")</f>
        <v>0</v>
      </c>
      <c r="W219" s="28">
        <f ca="1">IFERROR(SUMIFS(Energy[2041_TWh],Energy[[Sector]:[Sector]],$A$218, Energy[[Fuel_category]:[Fuel_category]],$B219),"")</f>
        <v>0</v>
      </c>
      <c r="X219" s="28">
        <f ca="1">IFERROR(SUMIFS(Energy[2042_TWh],Energy[[Sector]:[Sector]],$A$218, Energy[[Fuel_category]:[Fuel_category]],$B219),"")</f>
        <v>0</v>
      </c>
      <c r="Y219" s="28">
        <f ca="1">IFERROR(SUMIFS(Energy[2043_TWh],Energy[[Sector]:[Sector]],$A$218, Energy[[Fuel_category]:[Fuel_category]],$B219),"")</f>
        <v>0</v>
      </c>
      <c r="Z219" s="28">
        <f ca="1">IFERROR(SUMIFS(Energy[2044_TWh],Energy[[Sector]:[Sector]],$A$218, Energy[[Fuel_category]:[Fuel_category]],$B219),"")</f>
        <v>0</v>
      </c>
      <c r="AA219" s="28">
        <f ca="1">IFERROR(SUMIFS(Energy[2045_TWh],Energy[[Sector]:[Sector]],$A$218, Energy[[Fuel_category]:[Fuel_category]],$B219),"")</f>
        <v>0</v>
      </c>
      <c r="AB219" s="28">
        <f ca="1">IFERROR(SUMIFS(Energy[2046_TWh],Energy[[Sector]:[Sector]],$A$218, Energy[[Fuel_category]:[Fuel_category]],$B219),"")</f>
        <v>0</v>
      </c>
      <c r="AC219" s="28">
        <f ca="1">IFERROR(SUMIFS(Energy[2047_TWh],Energy[[Sector]:[Sector]],$A$218, Energy[[Fuel_category]:[Fuel_category]],$B219),"")</f>
        <v>0</v>
      </c>
      <c r="AD219" s="28">
        <f ca="1">IFERROR(SUMIFS(Energy[2048_TWh],Energy[[Sector]:[Sector]],$A$218, Energy[[Fuel_category]:[Fuel_category]],$B219),"")</f>
        <v>0</v>
      </c>
      <c r="AE219" s="28">
        <f ca="1">IFERROR(SUMIFS(Energy[2049_TWh],Energy[[Sector]:[Sector]],$A$218, Energy[[Fuel_category]:[Fuel_category]],$B219),"")</f>
        <v>0</v>
      </c>
      <c r="AF219" s="28">
        <f ca="1">IFERROR(SUMIFS(Energy[2050_TWh],Energy[[Sector]:[Sector]],$A$218, Energy[[Fuel_category]:[Fuel_category]],$B219),"")</f>
        <v>0</v>
      </c>
      <c r="AG219" s="28">
        <f ca="1">IFERROR(SUMIFS(Energy[2051_TWh],Energy[[Sector]:[Sector]],$A$218, Energy[[Fuel_category]:[Fuel_category]],$B219),"")</f>
        <v>0</v>
      </c>
    </row>
    <row r="220" spans="1:34" x14ac:dyDescent="0.45">
      <c r="B220" s="21" t="s">
        <v>67</v>
      </c>
      <c r="C220" s="28">
        <f ca="1">IFERROR(SUMIFS(Energy[2021_TWh],Energy[[Sector]:[Sector]],$A$218, Energy[[Fuel_category]:[Fuel_category]],$B220),"")</f>
        <v>0</v>
      </c>
      <c r="D220" s="28">
        <f ca="1">IFERROR(SUMIFS(Energy[2022_TWh],Energy[[Sector]:[Sector]],$A$218, Energy[[Fuel_category]:[Fuel_category]],$B220),"")</f>
        <v>0</v>
      </c>
      <c r="E220" s="28">
        <f ca="1">IFERROR(SUMIFS(Energy[2023_TWh],Energy[[Sector]:[Sector]],$A$218, Energy[[Fuel_category]:[Fuel_category]],$B220),"")</f>
        <v>0</v>
      </c>
      <c r="F220" s="28">
        <f ca="1">IFERROR(SUMIFS(Energy[2024_TWh],Energy[[Sector]:[Sector]],$A$218, Energy[[Fuel_category]:[Fuel_category]],$B220),"")</f>
        <v>0</v>
      </c>
      <c r="G220" s="28">
        <f ca="1">IFERROR(SUMIFS(Energy[2025_TWh],Energy[[Sector]:[Sector]],$A$218, Energy[[Fuel_category]:[Fuel_category]],$B220),"")</f>
        <v>0</v>
      </c>
      <c r="H220" s="28">
        <f ca="1">IFERROR(SUMIFS(Energy[2026_TWh],Energy[[Sector]:[Sector]],$A$218, Energy[[Fuel_category]:[Fuel_category]],$B220),"")</f>
        <v>0</v>
      </c>
      <c r="I220" s="28">
        <f ca="1">IFERROR(SUMIFS(Energy[2027_TWh],Energy[[Sector]:[Sector]],$A$218, Energy[[Fuel_category]:[Fuel_category]],$B220),"")</f>
        <v>0</v>
      </c>
      <c r="J220" s="28">
        <f ca="1">IFERROR(SUMIFS(Energy[2028_TWh],Energy[[Sector]:[Sector]],$A$218, Energy[[Fuel_category]:[Fuel_category]],$B220),"")</f>
        <v>0</v>
      </c>
      <c r="K220" s="28">
        <f ca="1">IFERROR(SUMIFS(Energy[2029_TWh],Energy[[Sector]:[Sector]],$A$218, Energy[[Fuel_category]:[Fuel_category]],$B220),"")</f>
        <v>0</v>
      </c>
      <c r="L220" s="28">
        <f ca="1">IFERROR(SUMIFS(Energy[2030_TWh],Energy[[Sector]:[Sector]],$A$218, Energy[[Fuel_category]:[Fuel_category]],$B220),"")</f>
        <v>0</v>
      </c>
      <c r="M220" s="28">
        <f ca="1">IFERROR(SUMIFS(Energy[2031_TWh],Energy[[Sector]:[Sector]],$A$218, Energy[[Fuel_category]:[Fuel_category]],$B220),"")</f>
        <v>0</v>
      </c>
      <c r="N220" s="28">
        <f ca="1">IFERROR(SUMIFS(Energy[2032_TWh],Energy[[Sector]:[Sector]],$A$218, Energy[[Fuel_category]:[Fuel_category]],$B220),"")</f>
        <v>0</v>
      </c>
      <c r="O220" s="28">
        <f ca="1">IFERROR(SUMIFS(Energy[2033_TWh],Energy[[Sector]:[Sector]],$A$218, Energy[[Fuel_category]:[Fuel_category]],$B220),"")</f>
        <v>0</v>
      </c>
      <c r="P220" s="28">
        <f ca="1">IFERROR(SUMIFS(Energy[2034_TWh],Energy[[Sector]:[Sector]],$A$218, Energy[[Fuel_category]:[Fuel_category]],$B220),"")</f>
        <v>0</v>
      </c>
      <c r="Q220" s="28">
        <f ca="1">IFERROR(SUMIFS(Energy[2035_TWh],Energy[[Sector]:[Sector]],$A$218, Energy[[Fuel_category]:[Fuel_category]],$B220),"")</f>
        <v>0</v>
      </c>
      <c r="R220" s="28">
        <f ca="1">IFERROR(SUMIFS(Energy[2036_TWh],Energy[[Sector]:[Sector]],$A$218, Energy[[Fuel_category]:[Fuel_category]],$B220),"")</f>
        <v>0</v>
      </c>
      <c r="S220" s="28">
        <f ca="1">IFERROR(SUMIFS(Energy[2037_TWh],Energy[[Sector]:[Sector]],$A$218, Energy[[Fuel_category]:[Fuel_category]],$B220),"")</f>
        <v>0</v>
      </c>
      <c r="T220" s="28">
        <f ca="1">IFERROR(SUMIFS(Energy[2038_TWh],Energy[[Sector]:[Sector]],$A$218, Energy[[Fuel_category]:[Fuel_category]],$B220),"")</f>
        <v>0</v>
      </c>
      <c r="U220" s="28">
        <f ca="1">IFERROR(SUMIFS(Energy[2039_TWh],Energy[[Sector]:[Sector]],$A$218, Energy[[Fuel_category]:[Fuel_category]],$B220),"")</f>
        <v>0</v>
      </c>
      <c r="V220" s="28">
        <f ca="1">IFERROR(SUMIFS(Energy[2040_TWh],Energy[[Sector]:[Sector]],$A$218, Energy[[Fuel_category]:[Fuel_category]],$B220),"")</f>
        <v>0</v>
      </c>
      <c r="W220" s="28">
        <f ca="1">IFERROR(SUMIFS(Energy[2041_TWh],Energy[[Sector]:[Sector]],$A$218, Energy[[Fuel_category]:[Fuel_category]],$B220),"")</f>
        <v>0</v>
      </c>
      <c r="X220" s="28">
        <f ca="1">IFERROR(SUMIFS(Energy[2042_TWh],Energy[[Sector]:[Sector]],$A$218, Energy[[Fuel_category]:[Fuel_category]],$B220),"")</f>
        <v>0</v>
      </c>
      <c r="Y220" s="28">
        <f ca="1">IFERROR(SUMIFS(Energy[2043_TWh],Energy[[Sector]:[Sector]],$A$218, Energy[[Fuel_category]:[Fuel_category]],$B220),"")</f>
        <v>0</v>
      </c>
      <c r="Z220" s="28">
        <f ca="1">IFERROR(SUMIFS(Energy[2044_TWh],Energy[[Sector]:[Sector]],$A$218, Energy[[Fuel_category]:[Fuel_category]],$B220),"")</f>
        <v>0</v>
      </c>
      <c r="AA220" s="28">
        <f ca="1">IFERROR(SUMIFS(Energy[2045_TWh],Energy[[Sector]:[Sector]],$A$218, Energy[[Fuel_category]:[Fuel_category]],$B220),"")</f>
        <v>0</v>
      </c>
      <c r="AB220" s="28">
        <f ca="1">IFERROR(SUMIFS(Energy[2046_TWh],Energy[[Sector]:[Sector]],$A$218, Energy[[Fuel_category]:[Fuel_category]],$B220),"")</f>
        <v>0</v>
      </c>
      <c r="AC220" s="28">
        <f ca="1">IFERROR(SUMIFS(Energy[2047_TWh],Energy[[Sector]:[Sector]],$A$218, Energy[[Fuel_category]:[Fuel_category]],$B220),"")</f>
        <v>0</v>
      </c>
      <c r="AD220" s="28">
        <f ca="1">IFERROR(SUMIFS(Energy[2048_TWh],Energy[[Sector]:[Sector]],$A$218, Energy[[Fuel_category]:[Fuel_category]],$B220),"")</f>
        <v>0</v>
      </c>
      <c r="AE220" s="28">
        <f ca="1">IFERROR(SUMIFS(Energy[2049_TWh],Energy[[Sector]:[Sector]],$A$218, Energy[[Fuel_category]:[Fuel_category]],$B220),"")</f>
        <v>0</v>
      </c>
      <c r="AF220" s="28">
        <f ca="1">IFERROR(SUMIFS(Energy[2050_TWh],Energy[[Sector]:[Sector]],$A$218, Energy[[Fuel_category]:[Fuel_category]],$B220),"")</f>
        <v>0</v>
      </c>
      <c r="AG220" s="28">
        <f ca="1">IFERROR(SUMIFS(Energy[2051_TWh],Energy[[Sector]:[Sector]],$A$218, Energy[[Fuel_category]:[Fuel_category]],$B220),"")</f>
        <v>0</v>
      </c>
    </row>
    <row r="221" spans="1:34" x14ac:dyDescent="0.45">
      <c r="B221" s="21" t="s">
        <v>35</v>
      </c>
      <c r="C221" s="28">
        <f ca="1">IFERROR(SUMIFS(Energy[2021_TWh],Energy[[Sector]:[Sector]],$A$218, Energy[[Fuel_category]:[Fuel_category]],$B221),"")</f>
        <v>0</v>
      </c>
      <c r="D221" s="28">
        <f ca="1">IFERROR(SUMIFS(Energy[2022_TWh],Energy[[Sector]:[Sector]],$A$218, Energy[[Fuel_category]:[Fuel_category]],$B221),"")</f>
        <v>0</v>
      </c>
      <c r="E221" s="28">
        <f ca="1">IFERROR(SUMIFS(Energy[2023_TWh],Energy[[Sector]:[Sector]],$A$218, Energy[[Fuel_category]:[Fuel_category]],$B221),"")</f>
        <v>0</v>
      </c>
      <c r="F221" s="28">
        <f ca="1">IFERROR(SUMIFS(Energy[2024_TWh],Energy[[Sector]:[Sector]],$A$218, Energy[[Fuel_category]:[Fuel_category]],$B221),"")</f>
        <v>0</v>
      </c>
      <c r="G221" s="28">
        <f ca="1">IFERROR(SUMIFS(Energy[2025_TWh],Energy[[Sector]:[Sector]],$A$218, Energy[[Fuel_category]:[Fuel_category]],$B221),"")</f>
        <v>0</v>
      </c>
      <c r="H221" s="28">
        <f ca="1">IFERROR(SUMIFS(Energy[2026_TWh],Energy[[Sector]:[Sector]],$A$218, Energy[[Fuel_category]:[Fuel_category]],$B221),"")</f>
        <v>0</v>
      </c>
      <c r="I221" s="28">
        <f ca="1">IFERROR(SUMIFS(Energy[2027_TWh],Energy[[Sector]:[Sector]],$A$218, Energy[[Fuel_category]:[Fuel_category]],$B221),"")</f>
        <v>0</v>
      </c>
      <c r="J221" s="28">
        <f ca="1">IFERROR(SUMIFS(Energy[2028_TWh],Energy[[Sector]:[Sector]],$A$218, Energy[[Fuel_category]:[Fuel_category]],$B221),"")</f>
        <v>0</v>
      </c>
      <c r="K221" s="28">
        <f ca="1">IFERROR(SUMIFS(Energy[2029_TWh],Energy[[Sector]:[Sector]],$A$218, Energy[[Fuel_category]:[Fuel_category]],$B221),"")</f>
        <v>0</v>
      </c>
      <c r="L221" s="28">
        <f ca="1">IFERROR(SUMIFS(Energy[2030_TWh],Energy[[Sector]:[Sector]],$A$218, Energy[[Fuel_category]:[Fuel_category]],$B221),"")</f>
        <v>0</v>
      </c>
      <c r="M221" s="28">
        <f ca="1">IFERROR(SUMIFS(Energy[2031_TWh],Energy[[Sector]:[Sector]],$A$218, Energy[[Fuel_category]:[Fuel_category]],$B221),"")</f>
        <v>0</v>
      </c>
      <c r="N221" s="28">
        <f ca="1">IFERROR(SUMIFS(Energy[2032_TWh],Energy[[Sector]:[Sector]],$A$218, Energy[[Fuel_category]:[Fuel_category]],$B221),"")</f>
        <v>0</v>
      </c>
      <c r="O221" s="28">
        <f ca="1">IFERROR(SUMIFS(Energy[2033_TWh],Energy[[Sector]:[Sector]],$A$218, Energy[[Fuel_category]:[Fuel_category]],$B221),"")</f>
        <v>0</v>
      </c>
      <c r="P221" s="28">
        <f ca="1">IFERROR(SUMIFS(Energy[2034_TWh],Energy[[Sector]:[Sector]],$A$218, Energy[[Fuel_category]:[Fuel_category]],$B221),"")</f>
        <v>0</v>
      </c>
      <c r="Q221" s="28">
        <f ca="1">IFERROR(SUMIFS(Energy[2035_TWh],Energy[[Sector]:[Sector]],$A$218, Energy[[Fuel_category]:[Fuel_category]],$B221),"")</f>
        <v>0</v>
      </c>
      <c r="R221" s="28">
        <f ca="1">IFERROR(SUMIFS(Energy[2036_TWh],Energy[[Sector]:[Sector]],$A$218, Energy[[Fuel_category]:[Fuel_category]],$B221),"")</f>
        <v>0</v>
      </c>
      <c r="S221" s="28">
        <f ca="1">IFERROR(SUMIFS(Energy[2037_TWh],Energy[[Sector]:[Sector]],$A$218, Energy[[Fuel_category]:[Fuel_category]],$B221),"")</f>
        <v>0</v>
      </c>
      <c r="T221" s="28">
        <f ca="1">IFERROR(SUMIFS(Energy[2038_TWh],Energy[[Sector]:[Sector]],$A$218, Energy[[Fuel_category]:[Fuel_category]],$B221),"")</f>
        <v>0</v>
      </c>
      <c r="U221" s="28">
        <f ca="1">IFERROR(SUMIFS(Energy[2039_TWh],Energy[[Sector]:[Sector]],$A$218, Energy[[Fuel_category]:[Fuel_category]],$B221),"")</f>
        <v>0</v>
      </c>
      <c r="V221" s="28">
        <f ca="1">IFERROR(SUMIFS(Energy[2040_TWh],Energy[[Sector]:[Sector]],$A$218, Energy[[Fuel_category]:[Fuel_category]],$B221),"")</f>
        <v>0</v>
      </c>
      <c r="W221" s="28">
        <f ca="1">IFERROR(SUMIFS(Energy[2041_TWh],Energy[[Sector]:[Sector]],$A$218, Energy[[Fuel_category]:[Fuel_category]],$B221),"")</f>
        <v>0</v>
      </c>
      <c r="X221" s="28">
        <f ca="1">IFERROR(SUMIFS(Energy[2042_TWh],Energy[[Sector]:[Sector]],$A$218, Energy[[Fuel_category]:[Fuel_category]],$B221),"")</f>
        <v>0</v>
      </c>
      <c r="Y221" s="28">
        <f ca="1">IFERROR(SUMIFS(Energy[2043_TWh],Energy[[Sector]:[Sector]],$A$218, Energy[[Fuel_category]:[Fuel_category]],$B221),"")</f>
        <v>0</v>
      </c>
      <c r="Z221" s="28">
        <f ca="1">IFERROR(SUMIFS(Energy[2044_TWh],Energy[[Sector]:[Sector]],$A$218, Energy[[Fuel_category]:[Fuel_category]],$B221),"")</f>
        <v>0</v>
      </c>
      <c r="AA221" s="28">
        <f ca="1">IFERROR(SUMIFS(Energy[2045_TWh],Energy[[Sector]:[Sector]],$A$218, Energy[[Fuel_category]:[Fuel_category]],$B221),"")</f>
        <v>0</v>
      </c>
      <c r="AB221" s="28">
        <f ca="1">IFERROR(SUMIFS(Energy[2046_TWh],Energy[[Sector]:[Sector]],$A$218, Energy[[Fuel_category]:[Fuel_category]],$B221),"")</f>
        <v>0</v>
      </c>
      <c r="AC221" s="28">
        <f ca="1">IFERROR(SUMIFS(Energy[2047_TWh],Energy[[Sector]:[Sector]],$A$218, Energy[[Fuel_category]:[Fuel_category]],$B221),"")</f>
        <v>0</v>
      </c>
      <c r="AD221" s="28">
        <f ca="1">IFERROR(SUMIFS(Energy[2048_TWh],Energy[[Sector]:[Sector]],$A$218, Energy[[Fuel_category]:[Fuel_category]],$B221),"")</f>
        <v>0</v>
      </c>
      <c r="AE221" s="28">
        <f ca="1">IFERROR(SUMIFS(Energy[2049_TWh],Energy[[Sector]:[Sector]],$A$218, Energy[[Fuel_category]:[Fuel_category]],$B221),"")</f>
        <v>0</v>
      </c>
      <c r="AF221" s="28">
        <f ca="1">IFERROR(SUMIFS(Energy[2050_TWh],Energy[[Sector]:[Sector]],$A$218, Energy[[Fuel_category]:[Fuel_category]],$B221),"")</f>
        <v>0</v>
      </c>
      <c r="AG221" s="28">
        <f ca="1">IFERROR(SUMIFS(Energy[2051_TWh],Energy[[Sector]:[Sector]],$A$218, Energy[[Fuel_category]:[Fuel_category]],$B221),"")</f>
        <v>0</v>
      </c>
    </row>
    <row r="222" spans="1:34" x14ac:dyDescent="0.45">
      <c r="B222" s="21" t="s">
        <v>26</v>
      </c>
      <c r="C222" s="28">
        <f ca="1">IFERROR(SUMIFS(Energy[2021_TWh],Energy[[Sector]:[Sector]],$A$218, Energy[[Fuel_category]:[Fuel_category]],$B222),"")</f>
        <v>0</v>
      </c>
      <c r="D222" s="28">
        <f ca="1">IFERROR(SUMIFS(Energy[2022_TWh],Energy[[Sector]:[Sector]],$A$218, Energy[[Fuel_category]:[Fuel_category]],$B222),"")</f>
        <v>0</v>
      </c>
      <c r="E222" s="28">
        <f ca="1">IFERROR(SUMIFS(Energy[2023_TWh],Energy[[Sector]:[Sector]],$A$218, Energy[[Fuel_category]:[Fuel_category]],$B222),"")</f>
        <v>0</v>
      </c>
      <c r="F222" s="28">
        <f ca="1">IFERROR(SUMIFS(Energy[2024_TWh],Energy[[Sector]:[Sector]],$A$218, Energy[[Fuel_category]:[Fuel_category]],$B222),"")</f>
        <v>0</v>
      </c>
      <c r="G222" s="28">
        <f ca="1">IFERROR(SUMIFS(Energy[2025_TWh],Energy[[Sector]:[Sector]],$A$218, Energy[[Fuel_category]:[Fuel_category]],$B222),"")</f>
        <v>0</v>
      </c>
      <c r="H222" s="28">
        <f ca="1">IFERROR(SUMIFS(Energy[2026_TWh],Energy[[Sector]:[Sector]],$A$218, Energy[[Fuel_category]:[Fuel_category]],$B222),"")</f>
        <v>0</v>
      </c>
      <c r="I222" s="28">
        <f ca="1">IFERROR(SUMIFS(Energy[2027_TWh],Energy[[Sector]:[Sector]],$A$218, Energy[[Fuel_category]:[Fuel_category]],$B222),"")</f>
        <v>0</v>
      </c>
      <c r="J222" s="28">
        <f ca="1">IFERROR(SUMIFS(Energy[2028_TWh],Energy[[Sector]:[Sector]],$A$218, Energy[[Fuel_category]:[Fuel_category]],$B222),"")</f>
        <v>0</v>
      </c>
      <c r="K222" s="28">
        <f ca="1">IFERROR(SUMIFS(Energy[2029_TWh],Energy[[Sector]:[Sector]],$A$218, Energy[[Fuel_category]:[Fuel_category]],$B222),"")</f>
        <v>0</v>
      </c>
      <c r="L222" s="28">
        <f ca="1">IFERROR(SUMIFS(Energy[2030_TWh],Energy[[Sector]:[Sector]],$A$218, Energy[[Fuel_category]:[Fuel_category]],$B222),"")</f>
        <v>0</v>
      </c>
      <c r="M222" s="28">
        <f ca="1">IFERROR(SUMIFS(Energy[2031_TWh],Energy[[Sector]:[Sector]],$A$218, Energy[[Fuel_category]:[Fuel_category]],$B222),"")</f>
        <v>0</v>
      </c>
      <c r="N222" s="28">
        <f ca="1">IFERROR(SUMIFS(Energy[2032_TWh],Energy[[Sector]:[Sector]],$A$218, Energy[[Fuel_category]:[Fuel_category]],$B222),"")</f>
        <v>0</v>
      </c>
      <c r="O222" s="28">
        <f ca="1">IFERROR(SUMIFS(Energy[2033_TWh],Energy[[Sector]:[Sector]],$A$218, Energy[[Fuel_category]:[Fuel_category]],$B222),"")</f>
        <v>0</v>
      </c>
      <c r="P222" s="28">
        <f ca="1">IFERROR(SUMIFS(Energy[2034_TWh],Energy[[Sector]:[Sector]],$A$218, Energy[[Fuel_category]:[Fuel_category]],$B222),"")</f>
        <v>0</v>
      </c>
      <c r="Q222" s="28">
        <f ca="1">IFERROR(SUMIFS(Energy[2035_TWh],Energy[[Sector]:[Sector]],$A$218, Energy[[Fuel_category]:[Fuel_category]],$B222),"")</f>
        <v>0</v>
      </c>
      <c r="R222" s="28">
        <f ca="1">IFERROR(SUMIFS(Energy[2036_TWh],Energy[[Sector]:[Sector]],$A$218, Energy[[Fuel_category]:[Fuel_category]],$B222),"")</f>
        <v>0</v>
      </c>
      <c r="S222" s="28">
        <f ca="1">IFERROR(SUMIFS(Energy[2037_TWh],Energy[[Sector]:[Sector]],$A$218, Energy[[Fuel_category]:[Fuel_category]],$B222),"")</f>
        <v>0</v>
      </c>
      <c r="T222" s="28">
        <f ca="1">IFERROR(SUMIFS(Energy[2038_TWh],Energy[[Sector]:[Sector]],$A$218, Energy[[Fuel_category]:[Fuel_category]],$B222),"")</f>
        <v>0</v>
      </c>
      <c r="U222" s="28">
        <f ca="1">IFERROR(SUMIFS(Energy[2039_TWh],Energy[[Sector]:[Sector]],$A$218, Energy[[Fuel_category]:[Fuel_category]],$B222),"")</f>
        <v>0</v>
      </c>
      <c r="V222" s="28">
        <f ca="1">IFERROR(SUMIFS(Energy[2040_TWh],Energy[[Sector]:[Sector]],$A$218, Energy[[Fuel_category]:[Fuel_category]],$B222),"")</f>
        <v>0</v>
      </c>
      <c r="W222" s="28">
        <f ca="1">IFERROR(SUMIFS(Energy[2041_TWh],Energy[[Sector]:[Sector]],$A$218, Energy[[Fuel_category]:[Fuel_category]],$B222),"")</f>
        <v>0</v>
      </c>
      <c r="X222" s="28">
        <f ca="1">IFERROR(SUMIFS(Energy[2042_TWh],Energy[[Sector]:[Sector]],$A$218, Energy[[Fuel_category]:[Fuel_category]],$B222),"")</f>
        <v>0</v>
      </c>
      <c r="Y222" s="28">
        <f ca="1">IFERROR(SUMIFS(Energy[2043_TWh],Energy[[Sector]:[Sector]],$A$218, Energy[[Fuel_category]:[Fuel_category]],$B222),"")</f>
        <v>0</v>
      </c>
      <c r="Z222" s="28">
        <f ca="1">IFERROR(SUMIFS(Energy[2044_TWh],Energy[[Sector]:[Sector]],$A$218, Energy[[Fuel_category]:[Fuel_category]],$B222),"")</f>
        <v>0</v>
      </c>
      <c r="AA222" s="28">
        <f ca="1">IFERROR(SUMIFS(Energy[2045_TWh],Energy[[Sector]:[Sector]],$A$218, Energy[[Fuel_category]:[Fuel_category]],$B222),"")</f>
        <v>0</v>
      </c>
      <c r="AB222" s="28">
        <f ca="1">IFERROR(SUMIFS(Energy[2046_TWh],Energy[[Sector]:[Sector]],$A$218, Energy[[Fuel_category]:[Fuel_category]],$B222),"")</f>
        <v>0</v>
      </c>
      <c r="AC222" s="28">
        <f ca="1">IFERROR(SUMIFS(Energy[2047_TWh],Energy[[Sector]:[Sector]],$A$218, Energy[[Fuel_category]:[Fuel_category]],$B222),"")</f>
        <v>0</v>
      </c>
      <c r="AD222" s="28">
        <f ca="1">IFERROR(SUMIFS(Energy[2048_TWh],Energy[[Sector]:[Sector]],$A$218, Energy[[Fuel_category]:[Fuel_category]],$B222),"")</f>
        <v>0</v>
      </c>
      <c r="AE222" s="28">
        <f ca="1">IFERROR(SUMIFS(Energy[2049_TWh],Energy[[Sector]:[Sector]],$A$218, Energy[[Fuel_category]:[Fuel_category]],$B222),"")</f>
        <v>0</v>
      </c>
      <c r="AF222" s="28">
        <f ca="1">IFERROR(SUMIFS(Energy[2050_TWh],Energy[[Sector]:[Sector]],$A$218, Energy[[Fuel_category]:[Fuel_category]],$B222),"")</f>
        <v>0</v>
      </c>
      <c r="AG222" s="28">
        <f ca="1">IFERROR(SUMIFS(Energy[2051_TWh],Energy[[Sector]:[Sector]],$A$218, Energy[[Fuel_category]:[Fuel_category]],$B222),"")</f>
        <v>0</v>
      </c>
    </row>
    <row r="223" spans="1:34" x14ac:dyDescent="0.45">
      <c r="B223" s="21" t="s">
        <v>113</v>
      </c>
      <c r="C223" s="28">
        <f ca="1">IFERROR(SUMIFS(Energy[2021_TWh],Energy[[Sector]:[Sector]],$A$218, Energy[[Fuel_category]:[Fuel_category]],$B223),"")</f>
        <v>0</v>
      </c>
      <c r="D223" s="28">
        <f ca="1">IFERROR(SUMIFS(Energy[2022_TWh],Energy[[Sector]:[Sector]],$A$218, Energy[[Fuel_category]:[Fuel_category]],$B223),"")</f>
        <v>0</v>
      </c>
      <c r="E223" s="28">
        <f ca="1">IFERROR(SUMIFS(Energy[2023_TWh],Energy[[Sector]:[Sector]],$A$218, Energy[[Fuel_category]:[Fuel_category]],$B223),"")</f>
        <v>0</v>
      </c>
      <c r="F223" s="28">
        <f ca="1">IFERROR(SUMIFS(Energy[2024_TWh],Energy[[Sector]:[Sector]],$A$218, Energy[[Fuel_category]:[Fuel_category]],$B223),"")</f>
        <v>0</v>
      </c>
      <c r="G223" s="28">
        <f ca="1">IFERROR(SUMIFS(Energy[2025_TWh],Energy[[Sector]:[Sector]],$A$218, Energy[[Fuel_category]:[Fuel_category]],$B223),"")</f>
        <v>0</v>
      </c>
      <c r="H223" s="28">
        <f ca="1">IFERROR(SUMIFS(Energy[2026_TWh],Energy[[Sector]:[Sector]],$A$218, Energy[[Fuel_category]:[Fuel_category]],$B223),"")</f>
        <v>0</v>
      </c>
      <c r="I223" s="28">
        <f ca="1">IFERROR(SUMIFS(Energy[2027_TWh],Energy[[Sector]:[Sector]],$A$218, Energy[[Fuel_category]:[Fuel_category]],$B223),"")</f>
        <v>0</v>
      </c>
      <c r="J223" s="28">
        <f ca="1">IFERROR(SUMIFS(Energy[2028_TWh],Energy[[Sector]:[Sector]],$A$218, Energy[[Fuel_category]:[Fuel_category]],$B223),"")</f>
        <v>0</v>
      </c>
      <c r="K223" s="28">
        <f ca="1">IFERROR(SUMIFS(Energy[2029_TWh],Energy[[Sector]:[Sector]],$A$218, Energy[[Fuel_category]:[Fuel_category]],$B223),"")</f>
        <v>0</v>
      </c>
      <c r="L223" s="28">
        <f ca="1">IFERROR(SUMIFS(Energy[2030_TWh],Energy[[Sector]:[Sector]],$A$218, Energy[[Fuel_category]:[Fuel_category]],$B223),"")</f>
        <v>0</v>
      </c>
      <c r="M223" s="28">
        <f ca="1">IFERROR(SUMIFS(Energy[2031_TWh],Energy[[Sector]:[Sector]],$A$218, Energy[[Fuel_category]:[Fuel_category]],$B223),"")</f>
        <v>0</v>
      </c>
      <c r="N223" s="28">
        <f ca="1">IFERROR(SUMIFS(Energy[2032_TWh],Energy[[Sector]:[Sector]],$A$218, Energy[[Fuel_category]:[Fuel_category]],$B223),"")</f>
        <v>0</v>
      </c>
      <c r="O223" s="28">
        <f ca="1">IFERROR(SUMIFS(Energy[2033_TWh],Energy[[Sector]:[Sector]],$A$218, Energy[[Fuel_category]:[Fuel_category]],$B223),"")</f>
        <v>0</v>
      </c>
      <c r="P223" s="28">
        <f ca="1">IFERROR(SUMIFS(Energy[2034_TWh],Energy[[Sector]:[Sector]],$A$218, Energy[[Fuel_category]:[Fuel_category]],$B223),"")</f>
        <v>0</v>
      </c>
      <c r="Q223" s="28">
        <f ca="1">IFERROR(SUMIFS(Energy[2035_TWh],Energy[[Sector]:[Sector]],$A$218, Energy[[Fuel_category]:[Fuel_category]],$B223),"")</f>
        <v>0</v>
      </c>
      <c r="R223" s="28">
        <f ca="1">IFERROR(SUMIFS(Energy[2036_TWh],Energy[[Sector]:[Sector]],$A$218, Energy[[Fuel_category]:[Fuel_category]],$B223),"")</f>
        <v>0</v>
      </c>
      <c r="S223" s="28">
        <f ca="1">IFERROR(SUMIFS(Energy[2037_TWh],Energy[[Sector]:[Sector]],$A$218, Energy[[Fuel_category]:[Fuel_category]],$B223),"")</f>
        <v>0</v>
      </c>
      <c r="T223" s="28">
        <f ca="1">IFERROR(SUMIFS(Energy[2038_TWh],Energy[[Sector]:[Sector]],$A$218, Energy[[Fuel_category]:[Fuel_category]],$B223),"")</f>
        <v>0</v>
      </c>
      <c r="U223" s="28">
        <f ca="1">IFERROR(SUMIFS(Energy[2039_TWh],Energy[[Sector]:[Sector]],$A$218, Energy[[Fuel_category]:[Fuel_category]],$B223),"")</f>
        <v>0</v>
      </c>
      <c r="V223" s="28">
        <f ca="1">IFERROR(SUMIFS(Energy[2040_TWh],Energy[[Sector]:[Sector]],$A$218, Energy[[Fuel_category]:[Fuel_category]],$B223),"")</f>
        <v>0</v>
      </c>
      <c r="W223" s="28">
        <f ca="1">IFERROR(SUMIFS(Energy[2041_TWh],Energy[[Sector]:[Sector]],$A$218, Energy[[Fuel_category]:[Fuel_category]],$B223),"")</f>
        <v>0</v>
      </c>
      <c r="X223" s="28">
        <f ca="1">IFERROR(SUMIFS(Energy[2042_TWh],Energy[[Sector]:[Sector]],$A$218, Energy[[Fuel_category]:[Fuel_category]],$B223),"")</f>
        <v>0</v>
      </c>
      <c r="Y223" s="28">
        <f ca="1">IFERROR(SUMIFS(Energy[2043_TWh],Energy[[Sector]:[Sector]],$A$218, Energy[[Fuel_category]:[Fuel_category]],$B223),"")</f>
        <v>0</v>
      </c>
      <c r="Z223" s="28">
        <f ca="1">IFERROR(SUMIFS(Energy[2044_TWh],Energy[[Sector]:[Sector]],$A$218, Energy[[Fuel_category]:[Fuel_category]],$B223),"")</f>
        <v>0</v>
      </c>
      <c r="AA223" s="28">
        <f ca="1">IFERROR(SUMIFS(Energy[2045_TWh],Energy[[Sector]:[Sector]],$A$218, Energy[[Fuel_category]:[Fuel_category]],$B223),"")</f>
        <v>0</v>
      </c>
      <c r="AB223" s="28">
        <f ca="1">IFERROR(SUMIFS(Energy[2046_TWh],Energy[[Sector]:[Sector]],$A$218, Energy[[Fuel_category]:[Fuel_category]],$B223),"")</f>
        <v>0</v>
      </c>
      <c r="AC223" s="28">
        <f ca="1">IFERROR(SUMIFS(Energy[2047_TWh],Energy[[Sector]:[Sector]],$A$218, Energy[[Fuel_category]:[Fuel_category]],$B223),"")</f>
        <v>0</v>
      </c>
      <c r="AD223" s="28">
        <f ca="1">IFERROR(SUMIFS(Energy[2048_TWh],Energy[[Sector]:[Sector]],$A$218, Energy[[Fuel_category]:[Fuel_category]],$B223),"")</f>
        <v>0</v>
      </c>
      <c r="AE223" s="28">
        <f ca="1">IFERROR(SUMIFS(Energy[2049_TWh],Energy[[Sector]:[Sector]],$A$218, Energy[[Fuel_category]:[Fuel_category]],$B223),"")</f>
        <v>0</v>
      </c>
      <c r="AF223" s="28">
        <f ca="1">IFERROR(SUMIFS(Energy[2050_TWh],Energy[[Sector]:[Sector]],$A$218, Energy[[Fuel_category]:[Fuel_category]],$B223),"")</f>
        <v>0</v>
      </c>
      <c r="AG223" s="28">
        <f ca="1">IFERROR(SUMIFS(Energy[2051_TWh],Energy[[Sector]:[Sector]],$A$218, Energy[[Fuel_category]:[Fuel_category]],$B223),"")</f>
        <v>0</v>
      </c>
    </row>
    <row r="224" spans="1:34" x14ac:dyDescent="0.45">
      <c r="B224" s="21" t="s">
        <v>111</v>
      </c>
      <c r="C224" s="28">
        <f ca="1">IFERROR(SUMIFS(Energy[2021_TWh],Energy[[Sector]:[Sector]],$A$218, Energy[[Fuel_category]:[Fuel_category]],$B224),"")</f>
        <v>0</v>
      </c>
      <c r="D224" s="28">
        <f ca="1">IFERROR(SUMIFS(Energy[2022_TWh],Energy[[Sector]:[Sector]],$A$218, Energy[[Fuel_category]:[Fuel_category]],$B224),"")</f>
        <v>0</v>
      </c>
      <c r="E224" s="28">
        <f ca="1">IFERROR(SUMIFS(Energy[2023_TWh],Energy[[Sector]:[Sector]],$A$218, Energy[[Fuel_category]:[Fuel_category]],$B224),"")</f>
        <v>0</v>
      </c>
      <c r="F224" s="28">
        <f ca="1">IFERROR(SUMIFS(Energy[2024_TWh],Energy[[Sector]:[Sector]],$A$218, Energy[[Fuel_category]:[Fuel_category]],$B224),"")</f>
        <v>0</v>
      </c>
      <c r="G224" s="28">
        <f ca="1">IFERROR(SUMIFS(Energy[2025_TWh],Energy[[Sector]:[Sector]],$A$218, Energy[[Fuel_category]:[Fuel_category]],$B224),"")</f>
        <v>0</v>
      </c>
      <c r="H224" s="28">
        <f ca="1">IFERROR(SUMIFS(Energy[2026_TWh],Energy[[Sector]:[Sector]],$A$218, Energy[[Fuel_category]:[Fuel_category]],$B224),"")</f>
        <v>0</v>
      </c>
      <c r="I224" s="28">
        <f ca="1">IFERROR(SUMIFS(Energy[2027_TWh],Energy[[Sector]:[Sector]],$A$218, Energy[[Fuel_category]:[Fuel_category]],$B224),"")</f>
        <v>0</v>
      </c>
      <c r="J224" s="28">
        <f ca="1">IFERROR(SUMIFS(Energy[2028_TWh],Energy[[Sector]:[Sector]],$A$218, Energy[[Fuel_category]:[Fuel_category]],$B224),"")</f>
        <v>0</v>
      </c>
      <c r="K224" s="28">
        <f ca="1">IFERROR(SUMIFS(Energy[2029_TWh],Energy[[Sector]:[Sector]],$A$218, Energy[[Fuel_category]:[Fuel_category]],$B224),"")</f>
        <v>0</v>
      </c>
      <c r="L224" s="28">
        <f ca="1">IFERROR(SUMIFS(Energy[2030_TWh],Energy[[Sector]:[Sector]],$A$218, Energy[[Fuel_category]:[Fuel_category]],$B224),"")</f>
        <v>0</v>
      </c>
      <c r="M224" s="28">
        <f ca="1">IFERROR(SUMIFS(Energy[2031_TWh],Energy[[Sector]:[Sector]],$A$218, Energy[[Fuel_category]:[Fuel_category]],$B224),"")</f>
        <v>0</v>
      </c>
      <c r="N224" s="28">
        <f ca="1">IFERROR(SUMIFS(Energy[2032_TWh],Energy[[Sector]:[Sector]],$A$218, Energy[[Fuel_category]:[Fuel_category]],$B224),"")</f>
        <v>0</v>
      </c>
      <c r="O224" s="28">
        <f ca="1">IFERROR(SUMIFS(Energy[2033_TWh],Energy[[Sector]:[Sector]],$A$218, Energy[[Fuel_category]:[Fuel_category]],$B224),"")</f>
        <v>0</v>
      </c>
      <c r="P224" s="28">
        <f ca="1">IFERROR(SUMIFS(Energy[2034_TWh],Energy[[Sector]:[Sector]],$A$218, Energy[[Fuel_category]:[Fuel_category]],$B224),"")</f>
        <v>0</v>
      </c>
      <c r="Q224" s="28">
        <f ca="1">IFERROR(SUMIFS(Energy[2035_TWh],Energy[[Sector]:[Sector]],$A$218, Energy[[Fuel_category]:[Fuel_category]],$B224),"")</f>
        <v>0</v>
      </c>
      <c r="R224" s="28">
        <f ca="1">IFERROR(SUMIFS(Energy[2036_TWh],Energy[[Sector]:[Sector]],$A$218, Energy[[Fuel_category]:[Fuel_category]],$B224),"")</f>
        <v>0</v>
      </c>
      <c r="S224" s="28">
        <f ca="1">IFERROR(SUMIFS(Energy[2037_TWh],Energy[[Sector]:[Sector]],$A$218, Energy[[Fuel_category]:[Fuel_category]],$B224),"")</f>
        <v>0</v>
      </c>
      <c r="T224" s="28">
        <f ca="1">IFERROR(SUMIFS(Energy[2038_TWh],Energy[[Sector]:[Sector]],$A$218, Energy[[Fuel_category]:[Fuel_category]],$B224),"")</f>
        <v>0</v>
      </c>
      <c r="U224" s="28">
        <f ca="1">IFERROR(SUMIFS(Energy[2039_TWh],Energy[[Sector]:[Sector]],$A$218, Energy[[Fuel_category]:[Fuel_category]],$B224),"")</f>
        <v>0</v>
      </c>
      <c r="V224" s="28">
        <f ca="1">IFERROR(SUMIFS(Energy[2040_TWh],Energy[[Sector]:[Sector]],$A$218, Energy[[Fuel_category]:[Fuel_category]],$B224),"")</f>
        <v>0</v>
      </c>
      <c r="W224" s="28">
        <f ca="1">IFERROR(SUMIFS(Energy[2041_TWh],Energy[[Sector]:[Sector]],$A$218, Energy[[Fuel_category]:[Fuel_category]],$B224),"")</f>
        <v>0</v>
      </c>
      <c r="X224" s="28">
        <f ca="1">IFERROR(SUMIFS(Energy[2042_TWh],Energy[[Sector]:[Sector]],$A$218, Energy[[Fuel_category]:[Fuel_category]],$B224),"")</f>
        <v>0</v>
      </c>
      <c r="Y224" s="28">
        <f ca="1">IFERROR(SUMIFS(Energy[2043_TWh],Energy[[Sector]:[Sector]],$A$218, Energy[[Fuel_category]:[Fuel_category]],$B224),"")</f>
        <v>0</v>
      </c>
      <c r="Z224" s="28">
        <f ca="1">IFERROR(SUMIFS(Energy[2044_TWh],Energy[[Sector]:[Sector]],$A$218, Energy[[Fuel_category]:[Fuel_category]],$B224),"")</f>
        <v>0</v>
      </c>
      <c r="AA224" s="28">
        <f ca="1">IFERROR(SUMIFS(Energy[2045_TWh],Energy[[Sector]:[Sector]],$A$218, Energy[[Fuel_category]:[Fuel_category]],$B224),"")</f>
        <v>0</v>
      </c>
      <c r="AB224" s="28">
        <f ca="1">IFERROR(SUMIFS(Energy[2046_TWh],Energy[[Sector]:[Sector]],$A$218, Energy[[Fuel_category]:[Fuel_category]],$B224),"")</f>
        <v>0</v>
      </c>
      <c r="AC224" s="28">
        <f ca="1">IFERROR(SUMIFS(Energy[2047_TWh],Energy[[Sector]:[Sector]],$A$218, Energy[[Fuel_category]:[Fuel_category]],$B224),"")</f>
        <v>0</v>
      </c>
      <c r="AD224" s="28">
        <f ca="1">IFERROR(SUMIFS(Energy[2048_TWh],Energy[[Sector]:[Sector]],$A$218, Energy[[Fuel_category]:[Fuel_category]],$B224),"")</f>
        <v>0</v>
      </c>
      <c r="AE224" s="28">
        <f ca="1">IFERROR(SUMIFS(Energy[2049_TWh],Energy[[Sector]:[Sector]],$A$218, Energy[[Fuel_category]:[Fuel_category]],$B224),"")</f>
        <v>0</v>
      </c>
      <c r="AF224" s="28">
        <f ca="1">IFERROR(SUMIFS(Energy[2050_TWh],Energy[[Sector]:[Sector]],$A$218, Energy[[Fuel_category]:[Fuel_category]],$B224),"")</f>
        <v>0</v>
      </c>
      <c r="AG224" s="28">
        <f ca="1">IFERROR(SUMIFS(Energy[2051_TWh],Energy[[Sector]:[Sector]],$A$218, Energy[[Fuel_category]:[Fuel_category]],$B224),"")</f>
        <v>0</v>
      </c>
    </row>
    <row r="225" spans="1:33" ht="14.65" thickBot="1" x14ac:dyDescent="0.5">
      <c r="B225" s="29" t="s">
        <v>124</v>
      </c>
      <c r="C225" s="31">
        <f ca="1">IF(C154&lt;&gt;"",SUM(C218:C223),"")</f>
        <v>0</v>
      </c>
      <c r="D225" s="31">
        <f t="shared" ref="D225:AF225" ca="1" si="46">IF(D154&lt;&gt;"",SUM(D218:D223),"")</f>
        <v>0</v>
      </c>
      <c r="E225" s="31">
        <f t="shared" ca="1" si="46"/>
        <v>0</v>
      </c>
      <c r="F225" s="31">
        <f t="shared" ca="1" si="46"/>
        <v>0</v>
      </c>
      <c r="G225" s="31">
        <f t="shared" ca="1" si="46"/>
        <v>0</v>
      </c>
      <c r="H225" s="31">
        <f t="shared" ca="1" si="46"/>
        <v>0</v>
      </c>
      <c r="I225" s="31">
        <f t="shared" ca="1" si="46"/>
        <v>0</v>
      </c>
      <c r="J225" s="31">
        <f t="shared" ca="1" si="46"/>
        <v>0</v>
      </c>
      <c r="K225" s="31">
        <f t="shared" ca="1" si="46"/>
        <v>0</v>
      </c>
      <c r="L225" s="31">
        <f t="shared" ca="1" si="46"/>
        <v>0</v>
      </c>
      <c r="M225" s="31">
        <f t="shared" ca="1" si="46"/>
        <v>0</v>
      </c>
      <c r="N225" s="31">
        <f t="shared" ca="1" si="46"/>
        <v>0</v>
      </c>
      <c r="O225" s="31">
        <f t="shared" ca="1" si="46"/>
        <v>0</v>
      </c>
      <c r="P225" s="31">
        <f t="shared" ca="1" si="46"/>
        <v>0</v>
      </c>
      <c r="Q225" s="31">
        <f t="shared" ca="1" si="46"/>
        <v>0</v>
      </c>
      <c r="R225" s="31">
        <f t="shared" ca="1" si="46"/>
        <v>0</v>
      </c>
      <c r="S225" s="31">
        <f t="shared" ca="1" si="46"/>
        <v>0</v>
      </c>
      <c r="T225" s="31">
        <f t="shared" ca="1" si="46"/>
        <v>0</v>
      </c>
      <c r="U225" s="31">
        <f t="shared" ca="1" si="46"/>
        <v>0</v>
      </c>
      <c r="V225" s="31">
        <f t="shared" ca="1" si="46"/>
        <v>0</v>
      </c>
      <c r="W225" s="31">
        <f t="shared" ca="1" si="46"/>
        <v>0</v>
      </c>
      <c r="X225" s="31">
        <f t="shared" ca="1" si="46"/>
        <v>0</v>
      </c>
      <c r="Y225" s="31">
        <f t="shared" ca="1" si="46"/>
        <v>0</v>
      </c>
      <c r="Z225" s="31">
        <f t="shared" ca="1" si="46"/>
        <v>0</v>
      </c>
      <c r="AA225" s="31">
        <f t="shared" ca="1" si="46"/>
        <v>0</v>
      </c>
      <c r="AB225" s="31">
        <f t="shared" ca="1" si="46"/>
        <v>0</v>
      </c>
      <c r="AC225" s="31">
        <f t="shared" ca="1" si="46"/>
        <v>0</v>
      </c>
      <c r="AD225" s="31">
        <f t="shared" ca="1" si="46"/>
        <v>0</v>
      </c>
      <c r="AE225" s="31">
        <f t="shared" ca="1" si="46"/>
        <v>0</v>
      </c>
      <c r="AF225" s="31">
        <f t="shared" ca="1" si="46"/>
        <v>0</v>
      </c>
      <c r="AG225" s="31">
        <f t="shared" ref="AG225" ca="1" si="47">IF(AG154&lt;&gt;"",SUM(AG218:AG223),"")</f>
        <v>0</v>
      </c>
    </row>
    <row r="226" spans="1:33" ht="14.65" thickTop="1" x14ac:dyDescent="0.45"/>
    <row r="227" spans="1:33" ht="15.75" customHeight="1" x14ac:dyDescent="0.45">
      <c r="B227" s="6"/>
      <c r="C227" s="6">
        <v>2021</v>
      </c>
      <c r="D227" s="6">
        <v>2022</v>
      </c>
      <c r="E227" s="6">
        <v>2023</v>
      </c>
      <c r="F227" s="6">
        <v>2024</v>
      </c>
      <c r="G227" s="6">
        <v>2025</v>
      </c>
      <c r="H227" s="6">
        <v>2026</v>
      </c>
      <c r="I227" s="6">
        <v>2027</v>
      </c>
      <c r="J227" s="6">
        <v>2028</v>
      </c>
      <c r="K227" s="6">
        <v>2029</v>
      </c>
      <c r="L227" s="6">
        <v>2030</v>
      </c>
      <c r="M227" s="6">
        <v>2031</v>
      </c>
      <c r="N227" s="6">
        <v>2032</v>
      </c>
      <c r="O227" s="6">
        <v>2033</v>
      </c>
      <c r="P227" s="6">
        <v>2034</v>
      </c>
      <c r="Q227" s="6">
        <v>2035</v>
      </c>
      <c r="R227" s="6">
        <v>2036</v>
      </c>
      <c r="S227" s="6">
        <v>2037</v>
      </c>
      <c r="T227" s="6">
        <v>2038</v>
      </c>
      <c r="U227" s="6">
        <v>2039</v>
      </c>
      <c r="V227" s="6">
        <v>2040</v>
      </c>
      <c r="W227" s="6">
        <v>2041</v>
      </c>
      <c r="X227" s="6">
        <v>2042</v>
      </c>
      <c r="Y227" s="6">
        <v>2043</v>
      </c>
      <c r="Z227" s="6">
        <v>2044</v>
      </c>
      <c r="AA227" s="6">
        <v>2045</v>
      </c>
      <c r="AB227" s="6">
        <v>2046</v>
      </c>
      <c r="AC227" s="6">
        <v>2047</v>
      </c>
      <c r="AD227" s="6">
        <v>2048</v>
      </c>
      <c r="AE227" s="6">
        <v>2049</v>
      </c>
      <c r="AF227" s="6">
        <v>2050</v>
      </c>
      <c r="AG227" s="6">
        <v>2051</v>
      </c>
    </row>
    <row r="228" spans="1:33" x14ac:dyDescent="0.45">
      <c r="A228" s="60" t="s">
        <v>269</v>
      </c>
      <c r="B228" s="21" t="s">
        <v>82</v>
      </c>
      <c r="C228" s="28">
        <f ca="1">IFERROR(SUMIFS(Energy[2021_TWh],Energy[[Sector]:[Sector]],$A$228, Energy[[Fuel_category]:[Fuel_category]],$B228),"")</f>
        <v>0</v>
      </c>
      <c r="D228" s="28">
        <f ca="1">IFERROR(SUMIFS(Energy[2022_TWh],Energy[[Sector]:[Sector]],$A$228, Energy[[Fuel_category]:[Fuel_category]],$B228),"")</f>
        <v>0</v>
      </c>
      <c r="E228" s="28">
        <f ca="1">IFERROR(SUMIFS(Energy[2023_TWh],Energy[[Sector]:[Sector]],$A$228, Energy[[Fuel_category]:[Fuel_category]],$B228),"")</f>
        <v>0</v>
      </c>
      <c r="F228" s="28">
        <f ca="1">IFERROR(SUMIFS(Energy[2024_TWh],Energy[[Sector]:[Sector]],$A$228, Energy[[Fuel_category]:[Fuel_category]],$B228),"")</f>
        <v>0</v>
      </c>
      <c r="G228" s="28">
        <f ca="1">IFERROR(SUMIFS(Energy[2025_TWh],Energy[[Sector]:[Sector]],$A$228, Energy[[Fuel_category]:[Fuel_category]],$B228),"")</f>
        <v>0</v>
      </c>
      <c r="H228" s="28">
        <f ca="1">IFERROR(SUMIFS(Energy[2026_TWh],Energy[[Sector]:[Sector]],$A$228, Energy[[Fuel_category]:[Fuel_category]],$B228),"")</f>
        <v>0</v>
      </c>
      <c r="I228" s="28">
        <f ca="1">IFERROR(SUMIFS(Energy[2027_TWh],Energy[[Sector]:[Sector]],$A$228, Energy[[Fuel_category]:[Fuel_category]],$B228),"")</f>
        <v>0</v>
      </c>
      <c r="J228" s="28">
        <f ca="1">IFERROR(SUMIFS(Energy[2028_TWh],Energy[[Sector]:[Sector]],$A$228, Energy[[Fuel_category]:[Fuel_category]],$B228),"")</f>
        <v>0</v>
      </c>
      <c r="K228" s="28">
        <f ca="1">IFERROR(SUMIFS(Energy[2029_TWh],Energy[[Sector]:[Sector]],$A$228, Energy[[Fuel_category]:[Fuel_category]],$B228),"")</f>
        <v>0</v>
      </c>
      <c r="L228" s="28">
        <f ca="1">IFERROR(SUMIFS(Energy[2030_TWh],Energy[[Sector]:[Sector]],$A$228, Energy[[Fuel_category]:[Fuel_category]],$B228),"")</f>
        <v>0</v>
      </c>
      <c r="M228" s="28">
        <f ca="1">IFERROR(SUMIFS(Energy[2031_TWh],Energy[[Sector]:[Sector]],$A$228, Energy[[Fuel_category]:[Fuel_category]],$B228),"")</f>
        <v>0</v>
      </c>
      <c r="N228" s="28">
        <f ca="1">IFERROR(SUMIFS(Energy[2032_TWh],Energy[[Sector]:[Sector]],$A$228, Energy[[Fuel_category]:[Fuel_category]],$B228),"")</f>
        <v>0</v>
      </c>
      <c r="O228" s="28">
        <f ca="1">IFERROR(SUMIFS(Energy[2033_TWh],Energy[[Sector]:[Sector]],$A$228, Energy[[Fuel_category]:[Fuel_category]],$B228),"")</f>
        <v>0</v>
      </c>
      <c r="P228" s="28">
        <f ca="1">IFERROR(SUMIFS(Energy[2034_TWh],Energy[[Sector]:[Sector]],$A$228, Energy[[Fuel_category]:[Fuel_category]],$B228),"")</f>
        <v>0</v>
      </c>
      <c r="Q228" s="28">
        <f ca="1">IFERROR(SUMIFS(Energy[2035_TWh],Energy[[Sector]:[Sector]],$A$228, Energy[[Fuel_category]:[Fuel_category]],$B228),"")</f>
        <v>0</v>
      </c>
      <c r="R228" s="28">
        <f ca="1">IFERROR(SUMIFS(Energy[2036_TWh],Energy[[Sector]:[Sector]],$A$228, Energy[[Fuel_category]:[Fuel_category]],$B228),"")</f>
        <v>0</v>
      </c>
      <c r="S228" s="28">
        <f ca="1">IFERROR(SUMIFS(Energy[2037_TWh],Energy[[Sector]:[Sector]],$A$228, Energy[[Fuel_category]:[Fuel_category]],$B228),"")</f>
        <v>0</v>
      </c>
      <c r="T228" s="28">
        <f ca="1">IFERROR(SUMIFS(Energy[2038_TWh],Energy[[Sector]:[Sector]],$A$228, Energy[[Fuel_category]:[Fuel_category]],$B228),"")</f>
        <v>0</v>
      </c>
      <c r="U228" s="28">
        <f ca="1">IFERROR(SUMIFS(Energy[2039_TWh],Energy[[Sector]:[Sector]],$A$228, Energy[[Fuel_category]:[Fuel_category]],$B228),"")</f>
        <v>0</v>
      </c>
      <c r="V228" s="28">
        <f ca="1">IFERROR(SUMIFS(Energy[2040_TWh],Energy[[Sector]:[Sector]],$A$228, Energy[[Fuel_category]:[Fuel_category]],$B228),"")</f>
        <v>0</v>
      </c>
      <c r="W228" s="28">
        <f ca="1">IFERROR(SUMIFS(Energy[2041_TWh],Energy[[Sector]:[Sector]],$A$228, Energy[[Fuel_category]:[Fuel_category]],$B228),"")</f>
        <v>0</v>
      </c>
      <c r="X228" s="28">
        <f ca="1">IFERROR(SUMIFS(Energy[2042_TWh],Energy[[Sector]:[Sector]],$A$228, Energy[[Fuel_category]:[Fuel_category]],$B228),"")</f>
        <v>0</v>
      </c>
      <c r="Y228" s="28">
        <f ca="1">IFERROR(SUMIFS(Energy[2043_TWh],Energy[[Sector]:[Sector]],$A$228, Energy[[Fuel_category]:[Fuel_category]],$B228),"")</f>
        <v>0</v>
      </c>
      <c r="Z228" s="28">
        <f ca="1">IFERROR(SUMIFS(Energy[2044_TWh],Energy[[Sector]:[Sector]],$A$228, Energy[[Fuel_category]:[Fuel_category]],$B228),"")</f>
        <v>0</v>
      </c>
      <c r="AA228" s="28">
        <f ca="1">IFERROR(SUMIFS(Energy[2045_TWh],Energy[[Sector]:[Sector]],$A$228, Energy[[Fuel_category]:[Fuel_category]],$B228),"")</f>
        <v>0</v>
      </c>
      <c r="AB228" s="28">
        <f ca="1">IFERROR(SUMIFS(Energy[2046_TWh],Energy[[Sector]:[Sector]],$A$228, Energy[[Fuel_category]:[Fuel_category]],$B228),"")</f>
        <v>0</v>
      </c>
      <c r="AC228" s="28">
        <f ca="1">IFERROR(SUMIFS(Energy[2047_TWh],Energy[[Sector]:[Sector]],$A$228, Energy[[Fuel_category]:[Fuel_category]],$B228),"")</f>
        <v>0</v>
      </c>
      <c r="AD228" s="28">
        <f ca="1">IFERROR(SUMIFS(Energy[2048_TWh],Energy[[Sector]:[Sector]],$A$228, Energy[[Fuel_category]:[Fuel_category]],$B228),"")</f>
        <v>0</v>
      </c>
      <c r="AE228" s="28">
        <f ca="1">IFERROR(SUMIFS(Energy[2049_TWh],Energy[[Sector]:[Sector]],$A$228, Energy[[Fuel_category]:[Fuel_category]],$B228),"")</f>
        <v>0</v>
      </c>
      <c r="AF228" s="28">
        <f ca="1">IFERROR(SUMIFS(Energy[2050_TWh],Energy[[Sector]:[Sector]],$A$228, Energy[[Fuel_category]:[Fuel_category]],$B228),"")</f>
        <v>0</v>
      </c>
      <c r="AG228" s="28">
        <f ca="1">IFERROR(SUMIFS(Energy[2051_TWh],Energy[[Sector]:[Sector]],$A$228, Energy[[Fuel_category]:[Fuel_category]],$B228),"")</f>
        <v>0</v>
      </c>
    </row>
    <row r="229" spans="1:33" x14ac:dyDescent="0.45">
      <c r="B229" s="21" t="s">
        <v>83</v>
      </c>
      <c r="C229" s="28">
        <f ca="1">IFERROR(SUMIFS(Energy[2021_TWh],Energy[[Sector]:[Sector]],$A$228, Energy[[Fuel_category]:[Fuel_category]],$B229),"")</f>
        <v>0</v>
      </c>
      <c r="D229" s="28">
        <f ca="1">IFERROR(SUMIFS(Energy[2022_TWh],Energy[[Sector]:[Sector]],$A$228, Energy[[Fuel_category]:[Fuel_category]],$B229),"")</f>
        <v>0</v>
      </c>
      <c r="E229" s="28">
        <f ca="1">IFERROR(SUMIFS(Energy[2023_TWh],Energy[[Sector]:[Sector]],$A$228, Energy[[Fuel_category]:[Fuel_category]],$B229),"")</f>
        <v>0</v>
      </c>
      <c r="F229" s="28">
        <f ca="1">IFERROR(SUMIFS(Energy[2024_TWh],Energy[[Sector]:[Sector]],$A$228, Energy[[Fuel_category]:[Fuel_category]],$B229),"")</f>
        <v>0</v>
      </c>
      <c r="G229" s="28">
        <f ca="1">IFERROR(SUMIFS(Energy[2025_TWh],Energy[[Sector]:[Sector]],$A$228, Energy[[Fuel_category]:[Fuel_category]],$B229),"")</f>
        <v>0</v>
      </c>
      <c r="H229" s="28">
        <f ca="1">IFERROR(SUMIFS(Energy[2026_TWh],Energy[[Sector]:[Sector]],$A$228, Energy[[Fuel_category]:[Fuel_category]],$B229),"")</f>
        <v>0</v>
      </c>
      <c r="I229" s="28">
        <f ca="1">IFERROR(SUMIFS(Energy[2027_TWh],Energy[[Sector]:[Sector]],$A$228, Energy[[Fuel_category]:[Fuel_category]],$B229),"")</f>
        <v>0</v>
      </c>
      <c r="J229" s="28">
        <f ca="1">IFERROR(SUMIFS(Energy[2028_TWh],Energy[[Sector]:[Sector]],$A$228, Energy[[Fuel_category]:[Fuel_category]],$B229),"")</f>
        <v>0</v>
      </c>
      <c r="K229" s="28">
        <f ca="1">IFERROR(SUMIFS(Energy[2029_TWh],Energy[[Sector]:[Sector]],$A$228, Energy[[Fuel_category]:[Fuel_category]],$B229),"")</f>
        <v>0</v>
      </c>
      <c r="L229" s="28">
        <f ca="1">IFERROR(SUMIFS(Energy[2030_TWh],Energy[[Sector]:[Sector]],$A$228, Energy[[Fuel_category]:[Fuel_category]],$B229),"")</f>
        <v>0</v>
      </c>
      <c r="M229" s="28">
        <f ca="1">IFERROR(SUMIFS(Energy[2031_TWh],Energy[[Sector]:[Sector]],$A$228, Energy[[Fuel_category]:[Fuel_category]],$B229),"")</f>
        <v>0</v>
      </c>
      <c r="N229" s="28">
        <f ca="1">IFERROR(SUMIFS(Energy[2032_TWh],Energy[[Sector]:[Sector]],$A$228, Energy[[Fuel_category]:[Fuel_category]],$B229),"")</f>
        <v>0</v>
      </c>
      <c r="O229" s="28">
        <f ca="1">IFERROR(SUMIFS(Energy[2033_TWh],Energy[[Sector]:[Sector]],$A$228, Energy[[Fuel_category]:[Fuel_category]],$B229),"")</f>
        <v>0</v>
      </c>
      <c r="P229" s="28">
        <f ca="1">IFERROR(SUMIFS(Energy[2034_TWh],Energy[[Sector]:[Sector]],$A$228, Energy[[Fuel_category]:[Fuel_category]],$B229),"")</f>
        <v>0</v>
      </c>
      <c r="Q229" s="28">
        <f ca="1">IFERROR(SUMIFS(Energy[2035_TWh],Energy[[Sector]:[Sector]],$A$228, Energy[[Fuel_category]:[Fuel_category]],$B229),"")</f>
        <v>0</v>
      </c>
      <c r="R229" s="28">
        <f ca="1">IFERROR(SUMIFS(Energy[2036_TWh],Energy[[Sector]:[Sector]],$A$228, Energy[[Fuel_category]:[Fuel_category]],$B229),"")</f>
        <v>0</v>
      </c>
      <c r="S229" s="28">
        <f ca="1">IFERROR(SUMIFS(Energy[2037_TWh],Energy[[Sector]:[Sector]],$A$228, Energy[[Fuel_category]:[Fuel_category]],$B229),"")</f>
        <v>0</v>
      </c>
      <c r="T229" s="28">
        <f ca="1">IFERROR(SUMIFS(Energy[2038_TWh],Energy[[Sector]:[Sector]],$A$228, Energy[[Fuel_category]:[Fuel_category]],$B229),"")</f>
        <v>0</v>
      </c>
      <c r="U229" s="28">
        <f ca="1">IFERROR(SUMIFS(Energy[2039_TWh],Energy[[Sector]:[Sector]],$A$228, Energy[[Fuel_category]:[Fuel_category]],$B229),"")</f>
        <v>0</v>
      </c>
      <c r="V229" s="28">
        <f ca="1">IFERROR(SUMIFS(Energy[2040_TWh],Energy[[Sector]:[Sector]],$A$228, Energy[[Fuel_category]:[Fuel_category]],$B229),"")</f>
        <v>0</v>
      </c>
      <c r="W229" s="28">
        <f ca="1">IFERROR(SUMIFS(Energy[2041_TWh],Energy[[Sector]:[Sector]],$A$228, Energy[[Fuel_category]:[Fuel_category]],$B229),"")</f>
        <v>0</v>
      </c>
      <c r="X229" s="28">
        <f ca="1">IFERROR(SUMIFS(Energy[2042_TWh],Energy[[Sector]:[Sector]],$A$228, Energy[[Fuel_category]:[Fuel_category]],$B229),"")</f>
        <v>0</v>
      </c>
      <c r="Y229" s="28">
        <f ca="1">IFERROR(SUMIFS(Energy[2043_TWh],Energy[[Sector]:[Sector]],$A$228, Energy[[Fuel_category]:[Fuel_category]],$B229),"")</f>
        <v>0</v>
      </c>
      <c r="Z229" s="28">
        <f ca="1">IFERROR(SUMIFS(Energy[2044_TWh],Energy[[Sector]:[Sector]],$A$228, Energy[[Fuel_category]:[Fuel_category]],$B229),"")</f>
        <v>0</v>
      </c>
      <c r="AA229" s="28">
        <f ca="1">IFERROR(SUMIFS(Energy[2045_TWh],Energy[[Sector]:[Sector]],$A$228, Energy[[Fuel_category]:[Fuel_category]],$B229),"")</f>
        <v>0</v>
      </c>
      <c r="AB229" s="28">
        <f ca="1">IFERROR(SUMIFS(Energy[2046_TWh],Energy[[Sector]:[Sector]],$A$228, Energy[[Fuel_category]:[Fuel_category]],$B229),"")</f>
        <v>0</v>
      </c>
      <c r="AC229" s="28">
        <f ca="1">IFERROR(SUMIFS(Energy[2047_TWh],Energy[[Sector]:[Sector]],$A$228, Energy[[Fuel_category]:[Fuel_category]],$B229),"")</f>
        <v>0</v>
      </c>
      <c r="AD229" s="28">
        <f ca="1">IFERROR(SUMIFS(Energy[2048_TWh],Energy[[Sector]:[Sector]],$A$228, Energy[[Fuel_category]:[Fuel_category]],$B229),"")</f>
        <v>0</v>
      </c>
      <c r="AE229" s="28">
        <f ca="1">IFERROR(SUMIFS(Energy[2049_TWh],Energy[[Sector]:[Sector]],$A$228, Energy[[Fuel_category]:[Fuel_category]],$B229),"")</f>
        <v>0</v>
      </c>
      <c r="AF229" s="28">
        <f ca="1">IFERROR(SUMIFS(Energy[2050_TWh],Energy[[Sector]:[Sector]],$A$228, Energy[[Fuel_category]:[Fuel_category]],$B229),"")</f>
        <v>0</v>
      </c>
      <c r="AG229" s="28">
        <f ca="1">IFERROR(SUMIFS(Energy[2051_TWh],Energy[[Sector]:[Sector]],$A$228, Energy[[Fuel_category]:[Fuel_category]],$B229),"")</f>
        <v>0</v>
      </c>
    </row>
    <row r="230" spans="1:33" x14ac:dyDescent="0.45">
      <c r="B230" s="21" t="s">
        <v>67</v>
      </c>
      <c r="C230" s="28">
        <f ca="1">IFERROR(SUMIFS(Energy[2021_TWh],Energy[[Sector]:[Sector]],$A$228, Energy[[Fuel_category]:[Fuel_category]],$B230),"")</f>
        <v>0</v>
      </c>
      <c r="D230" s="28">
        <f ca="1">IFERROR(SUMIFS(Energy[2022_TWh],Energy[[Sector]:[Sector]],$A$228, Energy[[Fuel_category]:[Fuel_category]],$B230),"")</f>
        <v>0</v>
      </c>
      <c r="E230" s="28">
        <f ca="1">IFERROR(SUMIFS(Energy[2023_TWh],Energy[[Sector]:[Sector]],$A$228, Energy[[Fuel_category]:[Fuel_category]],$B230),"")</f>
        <v>0</v>
      </c>
      <c r="F230" s="28">
        <f ca="1">IFERROR(SUMIFS(Energy[2024_TWh],Energy[[Sector]:[Sector]],$A$228, Energy[[Fuel_category]:[Fuel_category]],$B230),"")</f>
        <v>0</v>
      </c>
      <c r="G230" s="28">
        <f ca="1">IFERROR(SUMIFS(Energy[2025_TWh],Energy[[Sector]:[Sector]],$A$228, Energy[[Fuel_category]:[Fuel_category]],$B230),"")</f>
        <v>0</v>
      </c>
      <c r="H230" s="28">
        <f ca="1">IFERROR(SUMIFS(Energy[2026_TWh],Energy[[Sector]:[Sector]],$A$228, Energy[[Fuel_category]:[Fuel_category]],$B230),"")</f>
        <v>0</v>
      </c>
      <c r="I230" s="28">
        <f ca="1">IFERROR(SUMIFS(Energy[2027_TWh],Energy[[Sector]:[Sector]],$A$228, Energy[[Fuel_category]:[Fuel_category]],$B230),"")</f>
        <v>0</v>
      </c>
      <c r="J230" s="28">
        <f ca="1">IFERROR(SUMIFS(Energy[2028_TWh],Energy[[Sector]:[Sector]],$A$228, Energy[[Fuel_category]:[Fuel_category]],$B230),"")</f>
        <v>0</v>
      </c>
      <c r="K230" s="28">
        <f ca="1">IFERROR(SUMIFS(Energy[2029_TWh],Energy[[Sector]:[Sector]],$A$228, Energy[[Fuel_category]:[Fuel_category]],$B230),"")</f>
        <v>0</v>
      </c>
      <c r="L230" s="28">
        <f ca="1">IFERROR(SUMIFS(Energy[2030_TWh],Energy[[Sector]:[Sector]],$A$228, Energy[[Fuel_category]:[Fuel_category]],$B230),"")</f>
        <v>0</v>
      </c>
      <c r="M230" s="28">
        <f ca="1">IFERROR(SUMIFS(Energy[2031_TWh],Energy[[Sector]:[Sector]],$A$228, Energy[[Fuel_category]:[Fuel_category]],$B230),"")</f>
        <v>0</v>
      </c>
      <c r="N230" s="28">
        <f ca="1">IFERROR(SUMIFS(Energy[2032_TWh],Energy[[Sector]:[Sector]],$A$228, Energy[[Fuel_category]:[Fuel_category]],$B230),"")</f>
        <v>0</v>
      </c>
      <c r="O230" s="28">
        <f ca="1">IFERROR(SUMIFS(Energy[2033_TWh],Energy[[Sector]:[Sector]],$A$228, Energy[[Fuel_category]:[Fuel_category]],$B230),"")</f>
        <v>0</v>
      </c>
      <c r="P230" s="28">
        <f ca="1">IFERROR(SUMIFS(Energy[2034_TWh],Energy[[Sector]:[Sector]],$A$228, Energy[[Fuel_category]:[Fuel_category]],$B230),"")</f>
        <v>0</v>
      </c>
      <c r="Q230" s="28">
        <f ca="1">IFERROR(SUMIFS(Energy[2035_TWh],Energy[[Sector]:[Sector]],$A$228, Energy[[Fuel_category]:[Fuel_category]],$B230),"")</f>
        <v>0</v>
      </c>
      <c r="R230" s="28">
        <f ca="1">IFERROR(SUMIFS(Energy[2036_TWh],Energy[[Sector]:[Sector]],$A$228, Energy[[Fuel_category]:[Fuel_category]],$B230),"")</f>
        <v>0</v>
      </c>
      <c r="S230" s="28">
        <f ca="1">IFERROR(SUMIFS(Energy[2037_TWh],Energy[[Sector]:[Sector]],$A$228, Energy[[Fuel_category]:[Fuel_category]],$B230),"")</f>
        <v>0</v>
      </c>
      <c r="T230" s="28">
        <f ca="1">IFERROR(SUMIFS(Energy[2038_TWh],Energy[[Sector]:[Sector]],$A$228, Energy[[Fuel_category]:[Fuel_category]],$B230),"")</f>
        <v>0</v>
      </c>
      <c r="U230" s="28">
        <f ca="1">IFERROR(SUMIFS(Energy[2039_TWh],Energy[[Sector]:[Sector]],$A$228, Energy[[Fuel_category]:[Fuel_category]],$B230),"")</f>
        <v>0</v>
      </c>
      <c r="V230" s="28">
        <f ca="1">IFERROR(SUMIFS(Energy[2040_TWh],Energy[[Sector]:[Sector]],$A$228, Energy[[Fuel_category]:[Fuel_category]],$B230),"")</f>
        <v>0</v>
      </c>
      <c r="W230" s="28">
        <f ca="1">IFERROR(SUMIFS(Energy[2041_TWh],Energy[[Sector]:[Sector]],$A$228, Energy[[Fuel_category]:[Fuel_category]],$B230),"")</f>
        <v>0</v>
      </c>
      <c r="X230" s="28">
        <f ca="1">IFERROR(SUMIFS(Energy[2042_TWh],Energy[[Sector]:[Sector]],$A$228, Energy[[Fuel_category]:[Fuel_category]],$B230),"")</f>
        <v>0</v>
      </c>
      <c r="Y230" s="28">
        <f ca="1">IFERROR(SUMIFS(Energy[2043_TWh],Energy[[Sector]:[Sector]],$A$228, Energy[[Fuel_category]:[Fuel_category]],$B230),"")</f>
        <v>0</v>
      </c>
      <c r="Z230" s="28">
        <f ca="1">IFERROR(SUMIFS(Energy[2044_TWh],Energy[[Sector]:[Sector]],$A$228, Energy[[Fuel_category]:[Fuel_category]],$B230),"")</f>
        <v>0</v>
      </c>
      <c r="AA230" s="28">
        <f ca="1">IFERROR(SUMIFS(Energy[2045_TWh],Energy[[Sector]:[Sector]],$A$228, Energy[[Fuel_category]:[Fuel_category]],$B230),"")</f>
        <v>0</v>
      </c>
      <c r="AB230" s="28">
        <f ca="1">IFERROR(SUMIFS(Energy[2046_TWh],Energy[[Sector]:[Sector]],$A$228, Energy[[Fuel_category]:[Fuel_category]],$B230),"")</f>
        <v>0</v>
      </c>
      <c r="AC230" s="28">
        <f ca="1">IFERROR(SUMIFS(Energy[2047_TWh],Energy[[Sector]:[Sector]],$A$228, Energy[[Fuel_category]:[Fuel_category]],$B230),"")</f>
        <v>0</v>
      </c>
      <c r="AD230" s="28">
        <f ca="1">IFERROR(SUMIFS(Energy[2048_TWh],Energy[[Sector]:[Sector]],$A$228, Energy[[Fuel_category]:[Fuel_category]],$B230),"")</f>
        <v>0</v>
      </c>
      <c r="AE230" s="28">
        <f ca="1">IFERROR(SUMIFS(Energy[2049_TWh],Energy[[Sector]:[Sector]],$A$228, Energy[[Fuel_category]:[Fuel_category]],$B230),"")</f>
        <v>0</v>
      </c>
      <c r="AF230" s="28">
        <f ca="1">IFERROR(SUMIFS(Energy[2050_TWh],Energy[[Sector]:[Sector]],$A$228, Energy[[Fuel_category]:[Fuel_category]],$B230),"")</f>
        <v>0</v>
      </c>
      <c r="AG230" s="28">
        <f ca="1">IFERROR(SUMIFS(Energy[2051_TWh],Energy[[Sector]:[Sector]],$A$228, Energy[[Fuel_category]:[Fuel_category]],$B230),"")</f>
        <v>0</v>
      </c>
    </row>
    <row r="231" spans="1:33" x14ac:dyDescent="0.45">
      <c r="B231" s="21" t="s">
        <v>35</v>
      </c>
      <c r="C231" s="28">
        <f ca="1">IFERROR(SUMIFS(Energy[2021_TWh],Energy[[Sector]:[Sector]],$A$228, Energy[[Fuel_category]:[Fuel_category]],$B231),"")</f>
        <v>0</v>
      </c>
      <c r="D231" s="28">
        <f ca="1">IFERROR(SUMIFS(Energy[2022_TWh],Energy[[Sector]:[Sector]],$A$228, Energy[[Fuel_category]:[Fuel_category]],$B231),"")</f>
        <v>0</v>
      </c>
      <c r="E231" s="28">
        <f ca="1">IFERROR(SUMIFS(Energy[2023_TWh],Energy[[Sector]:[Sector]],$A$228, Energy[[Fuel_category]:[Fuel_category]],$B231),"")</f>
        <v>0</v>
      </c>
      <c r="F231" s="28">
        <f ca="1">IFERROR(SUMIFS(Energy[2024_TWh],Energy[[Sector]:[Sector]],$A$228, Energy[[Fuel_category]:[Fuel_category]],$B231),"")</f>
        <v>0</v>
      </c>
      <c r="G231" s="28">
        <f ca="1">IFERROR(SUMIFS(Energy[2025_TWh],Energy[[Sector]:[Sector]],$A$228, Energy[[Fuel_category]:[Fuel_category]],$B231),"")</f>
        <v>0</v>
      </c>
      <c r="H231" s="28">
        <f ca="1">IFERROR(SUMIFS(Energy[2026_TWh],Energy[[Sector]:[Sector]],$A$228, Energy[[Fuel_category]:[Fuel_category]],$B231),"")</f>
        <v>0</v>
      </c>
      <c r="I231" s="28">
        <f ca="1">IFERROR(SUMIFS(Energy[2027_TWh],Energy[[Sector]:[Sector]],$A$228, Energy[[Fuel_category]:[Fuel_category]],$B231),"")</f>
        <v>0</v>
      </c>
      <c r="J231" s="28">
        <f ca="1">IFERROR(SUMIFS(Energy[2028_TWh],Energy[[Sector]:[Sector]],$A$228, Energy[[Fuel_category]:[Fuel_category]],$B231),"")</f>
        <v>0</v>
      </c>
      <c r="K231" s="28">
        <f ca="1">IFERROR(SUMIFS(Energy[2029_TWh],Energy[[Sector]:[Sector]],$A$228, Energy[[Fuel_category]:[Fuel_category]],$B231),"")</f>
        <v>0</v>
      </c>
      <c r="L231" s="28">
        <f ca="1">IFERROR(SUMIFS(Energy[2030_TWh],Energy[[Sector]:[Sector]],$A$228, Energy[[Fuel_category]:[Fuel_category]],$B231),"")</f>
        <v>0</v>
      </c>
      <c r="M231" s="28">
        <f ca="1">IFERROR(SUMIFS(Energy[2031_TWh],Energy[[Sector]:[Sector]],$A$228, Energy[[Fuel_category]:[Fuel_category]],$B231),"")</f>
        <v>0</v>
      </c>
      <c r="N231" s="28">
        <f ca="1">IFERROR(SUMIFS(Energy[2032_TWh],Energy[[Sector]:[Sector]],$A$228, Energy[[Fuel_category]:[Fuel_category]],$B231),"")</f>
        <v>0</v>
      </c>
      <c r="O231" s="28">
        <f ca="1">IFERROR(SUMIFS(Energy[2033_TWh],Energy[[Sector]:[Sector]],$A$228, Energy[[Fuel_category]:[Fuel_category]],$B231),"")</f>
        <v>0</v>
      </c>
      <c r="P231" s="28">
        <f ca="1">IFERROR(SUMIFS(Energy[2034_TWh],Energy[[Sector]:[Sector]],$A$228, Energy[[Fuel_category]:[Fuel_category]],$B231),"")</f>
        <v>0</v>
      </c>
      <c r="Q231" s="28">
        <f ca="1">IFERROR(SUMIFS(Energy[2035_TWh],Energy[[Sector]:[Sector]],$A$228, Energy[[Fuel_category]:[Fuel_category]],$B231),"")</f>
        <v>0</v>
      </c>
      <c r="R231" s="28">
        <f ca="1">IFERROR(SUMIFS(Energy[2036_TWh],Energy[[Sector]:[Sector]],$A$228, Energy[[Fuel_category]:[Fuel_category]],$B231),"")</f>
        <v>0</v>
      </c>
      <c r="S231" s="28">
        <f ca="1">IFERROR(SUMIFS(Energy[2037_TWh],Energy[[Sector]:[Sector]],$A$228, Energy[[Fuel_category]:[Fuel_category]],$B231),"")</f>
        <v>0</v>
      </c>
      <c r="T231" s="28">
        <f ca="1">IFERROR(SUMIFS(Energy[2038_TWh],Energy[[Sector]:[Sector]],$A$228, Energy[[Fuel_category]:[Fuel_category]],$B231),"")</f>
        <v>0</v>
      </c>
      <c r="U231" s="28">
        <f ca="1">IFERROR(SUMIFS(Energy[2039_TWh],Energy[[Sector]:[Sector]],$A$228, Energy[[Fuel_category]:[Fuel_category]],$B231),"")</f>
        <v>0</v>
      </c>
      <c r="V231" s="28">
        <f ca="1">IFERROR(SUMIFS(Energy[2040_TWh],Energy[[Sector]:[Sector]],$A$228, Energy[[Fuel_category]:[Fuel_category]],$B231),"")</f>
        <v>0</v>
      </c>
      <c r="W231" s="28">
        <f ca="1">IFERROR(SUMIFS(Energy[2041_TWh],Energy[[Sector]:[Sector]],$A$228, Energy[[Fuel_category]:[Fuel_category]],$B231),"")</f>
        <v>0</v>
      </c>
      <c r="X231" s="28">
        <f ca="1">IFERROR(SUMIFS(Energy[2042_TWh],Energy[[Sector]:[Sector]],$A$228, Energy[[Fuel_category]:[Fuel_category]],$B231),"")</f>
        <v>0</v>
      </c>
      <c r="Y231" s="28">
        <f ca="1">IFERROR(SUMIFS(Energy[2043_TWh],Energy[[Sector]:[Sector]],$A$228, Energy[[Fuel_category]:[Fuel_category]],$B231),"")</f>
        <v>0</v>
      </c>
      <c r="Z231" s="28">
        <f ca="1">IFERROR(SUMIFS(Energy[2044_TWh],Energy[[Sector]:[Sector]],$A$228, Energy[[Fuel_category]:[Fuel_category]],$B231),"")</f>
        <v>0</v>
      </c>
      <c r="AA231" s="28">
        <f ca="1">IFERROR(SUMIFS(Energy[2045_TWh],Energy[[Sector]:[Sector]],$A$228, Energy[[Fuel_category]:[Fuel_category]],$B231),"")</f>
        <v>0</v>
      </c>
      <c r="AB231" s="28">
        <f ca="1">IFERROR(SUMIFS(Energy[2046_TWh],Energy[[Sector]:[Sector]],$A$228, Energy[[Fuel_category]:[Fuel_category]],$B231),"")</f>
        <v>0</v>
      </c>
      <c r="AC231" s="28">
        <f ca="1">IFERROR(SUMIFS(Energy[2047_TWh],Energy[[Sector]:[Sector]],$A$228, Energy[[Fuel_category]:[Fuel_category]],$B231),"")</f>
        <v>0</v>
      </c>
      <c r="AD231" s="28">
        <f ca="1">IFERROR(SUMIFS(Energy[2048_TWh],Energy[[Sector]:[Sector]],$A$228, Energy[[Fuel_category]:[Fuel_category]],$B231),"")</f>
        <v>0</v>
      </c>
      <c r="AE231" s="28">
        <f ca="1">IFERROR(SUMIFS(Energy[2049_TWh],Energy[[Sector]:[Sector]],$A$228, Energy[[Fuel_category]:[Fuel_category]],$B231),"")</f>
        <v>0</v>
      </c>
      <c r="AF231" s="28">
        <f ca="1">IFERROR(SUMIFS(Energy[2050_TWh],Energy[[Sector]:[Sector]],$A$228, Energy[[Fuel_category]:[Fuel_category]],$B231),"")</f>
        <v>0</v>
      </c>
      <c r="AG231" s="28">
        <f ca="1">IFERROR(SUMIFS(Energy[2051_TWh],Energy[[Sector]:[Sector]],$A$228, Energy[[Fuel_category]:[Fuel_category]],$B231),"")</f>
        <v>0</v>
      </c>
    </row>
    <row r="232" spans="1:33" x14ac:dyDescent="0.45">
      <c r="B232" s="21" t="s">
        <v>26</v>
      </c>
      <c r="C232" s="28">
        <f ca="1">IFERROR(SUMIFS(Energy[2021_TWh],Energy[[Sector]:[Sector]],$A$228, Energy[[Fuel_category]:[Fuel_category]],$B232),"")</f>
        <v>0</v>
      </c>
      <c r="D232" s="28">
        <f ca="1">IFERROR(SUMIFS(Energy[2022_TWh],Energy[[Sector]:[Sector]],$A$228, Energy[[Fuel_category]:[Fuel_category]],$B232),"")</f>
        <v>0</v>
      </c>
      <c r="E232" s="28">
        <f ca="1">IFERROR(SUMIFS(Energy[2023_TWh],Energy[[Sector]:[Sector]],$A$228, Energy[[Fuel_category]:[Fuel_category]],$B232),"")</f>
        <v>0</v>
      </c>
      <c r="F232" s="28">
        <f ca="1">IFERROR(SUMIFS(Energy[2024_TWh],Energy[[Sector]:[Sector]],$A$228, Energy[[Fuel_category]:[Fuel_category]],$B232),"")</f>
        <v>0</v>
      </c>
      <c r="G232" s="28">
        <f ca="1">IFERROR(SUMIFS(Energy[2025_TWh],Energy[[Sector]:[Sector]],$A$228, Energy[[Fuel_category]:[Fuel_category]],$B232),"")</f>
        <v>0</v>
      </c>
      <c r="H232" s="28">
        <f ca="1">IFERROR(SUMIFS(Energy[2026_TWh],Energy[[Sector]:[Sector]],$A$228, Energy[[Fuel_category]:[Fuel_category]],$B232),"")</f>
        <v>0</v>
      </c>
      <c r="I232" s="28">
        <f ca="1">IFERROR(SUMIFS(Energy[2027_TWh],Energy[[Sector]:[Sector]],$A$228, Energy[[Fuel_category]:[Fuel_category]],$B232),"")</f>
        <v>0</v>
      </c>
      <c r="J232" s="28">
        <f ca="1">IFERROR(SUMIFS(Energy[2028_TWh],Energy[[Sector]:[Sector]],$A$228, Energy[[Fuel_category]:[Fuel_category]],$B232),"")</f>
        <v>0</v>
      </c>
      <c r="K232" s="28">
        <f ca="1">IFERROR(SUMIFS(Energy[2029_TWh],Energy[[Sector]:[Sector]],$A$228, Energy[[Fuel_category]:[Fuel_category]],$B232),"")</f>
        <v>0</v>
      </c>
      <c r="L232" s="28">
        <f ca="1">IFERROR(SUMIFS(Energy[2030_TWh],Energy[[Sector]:[Sector]],$A$228, Energy[[Fuel_category]:[Fuel_category]],$B232),"")</f>
        <v>0</v>
      </c>
      <c r="M232" s="28">
        <f ca="1">IFERROR(SUMIFS(Energy[2031_TWh],Energy[[Sector]:[Sector]],$A$228, Energy[[Fuel_category]:[Fuel_category]],$B232),"")</f>
        <v>0</v>
      </c>
      <c r="N232" s="28">
        <f ca="1">IFERROR(SUMIFS(Energy[2032_TWh],Energy[[Sector]:[Sector]],$A$228, Energy[[Fuel_category]:[Fuel_category]],$B232),"")</f>
        <v>0</v>
      </c>
      <c r="O232" s="28">
        <f ca="1">IFERROR(SUMIFS(Energy[2033_TWh],Energy[[Sector]:[Sector]],$A$228, Energy[[Fuel_category]:[Fuel_category]],$B232),"")</f>
        <v>0</v>
      </c>
      <c r="P232" s="28">
        <f ca="1">IFERROR(SUMIFS(Energy[2034_TWh],Energy[[Sector]:[Sector]],$A$228, Energy[[Fuel_category]:[Fuel_category]],$B232),"")</f>
        <v>0</v>
      </c>
      <c r="Q232" s="28">
        <f ca="1">IFERROR(SUMIFS(Energy[2035_TWh],Energy[[Sector]:[Sector]],$A$228, Energy[[Fuel_category]:[Fuel_category]],$B232),"")</f>
        <v>0</v>
      </c>
      <c r="R232" s="28">
        <f ca="1">IFERROR(SUMIFS(Energy[2036_TWh],Energy[[Sector]:[Sector]],$A$228, Energy[[Fuel_category]:[Fuel_category]],$B232),"")</f>
        <v>0</v>
      </c>
      <c r="S232" s="28">
        <f ca="1">IFERROR(SUMIFS(Energy[2037_TWh],Energy[[Sector]:[Sector]],$A$228, Energy[[Fuel_category]:[Fuel_category]],$B232),"")</f>
        <v>0</v>
      </c>
      <c r="T232" s="28">
        <f ca="1">IFERROR(SUMIFS(Energy[2038_TWh],Energy[[Sector]:[Sector]],$A$228, Energy[[Fuel_category]:[Fuel_category]],$B232),"")</f>
        <v>0</v>
      </c>
      <c r="U232" s="28">
        <f ca="1">IFERROR(SUMIFS(Energy[2039_TWh],Energy[[Sector]:[Sector]],$A$228, Energy[[Fuel_category]:[Fuel_category]],$B232),"")</f>
        <v>0</v>
      </c>
      <c r="V232" s="28">
        <f ca="1">IFERROR(SUMIFS(Energy[2040_TWh],Energy[[Sector]:[Sector]],$A$228, Energy[[Fuel_category]:[Fuel_category]],$B232),"")</f>
        <v>0</v>
      </c>
      <c r="W232" s="28">
        <f ca="1">IFERROR(SUMIFS(Energy[2041_TWh],Energy[[Sector]:[Sector]],$A$228, Energy[[Fuel_category]:[Fuel_category]],$B232),"")</f>
        <v>0</v>
      </c>
      <c r="X232" s="28">
        <f ca="1">IFERROR(SUMIFS(Energy[2042_TWh],Energy[[Sector]:[Sector]],$A$228, Energy[[Fuel_category]:[Fuel_category]],$B232),"")</f>
        <v>0</v>
      </c>
      <c r="Y232" s="28">
        <f ca="1">IFERROR(SUMIFS(Energy[2043_TWh],Energy[[Sector]:[Sector]],$A$228, Energy[[Fuel_category]:[Fuel_category]],$B232),"")</f>
        <v>0</v>
      </c>
      <c r="Z232" s="28">
        <f ca="1">IFERROR(SUMIFS(Energy[2044_TWh],Energy[[Sector]:[Sector]],$A$228, Energy[[Fuel_category]:[Fuel_category]],$B232),"")</f>
        <v>0</v>
      </c>
      <c r="AA232" s="28">
        <f ca="1">IFERROR(SUMIFS(Energy[2045_TWh],Energy[[Sector]:[Sector]],$A$228, Energy[[Fuel_category]:[Fuel_category]],$B232),"")</f>
        <v>0</v>
      </c>
      <c r="AB232" s="28">
        <f ca="1">IFERROR(SUMIFS(Energy[2046_TWh],Energy[[Sector]:[Sector]],$A$228, Energy[[Fuel_category]:[Fuel_category]],$B232),"")</f>
        <v>0</v>
      </c>
      <c r="AC232" s="28">
        <f ca="1">IFERROR(SUMIFS(Energy[2047_TWh],Energy[[Sector]:[Sector]],$A$228, Energy[[Fuel_category]:[Fuel_category]],$B232),"")</f>
        <v>0</v>
      </c>
      <c r="AD232" s="28">
        <f ca="1">IFERROR(SUMIFS(Energy[2048_TWh],Energy[[Sector]:[Sector]],$A$228, Energy[[Fuel_category]:[Fuel_category]],$B232),"")</f>
        <v>0</v>
      </c>
      <c r="AE232" s="28">
        <f ca="1">IFERROR(SUMIFS(Energy[2049_TWh],Energy[[Sector]:[Sector]],$A$228, Energy[[Fuel_category]:[Fuel_category]],$B232),"")</f>
        <v>0</v>
      </c>
      <c r="AF232" s="28">
        <f ca="1">IFERROR(SUMIFS(Energy[2050_TWh],Energy[[Sector]:[Sector]],$A$228, Energy[[Fuel_category]:[Fuel_category]],$B232),"")</f>
        <v>0</v>
      </c>
      <c r="AG232" s="28">
        <f ca="1">IFERROR(SUMIFS(Energy[2051_TWh],Energy[[Sector]:[Sector]],$A$228, Energy[[Fuel_category]:[Fuel_category]],$B232),"")</f>
        <v>0</v>
      </c>
    </row>
    <row r="233" spans="1:33" x14ac:dyDescent="0.45">
      <c r="B233" s="21" t="s">
        <v>113</v>
      </c>
      <c r="C233" s="28">
        <f ca="1">IFERROR(SUMIFS(Energy[2021_TWh],Energy[[Sector]:[Sector]],$A$228, Energy[[Fuel_category]:[Fuel_category]],$B233),"")</f>
        <v>0</v>
      </c>
      <c r="D233" s="28">
        <f ca="1">IFERROR(SUMIFS(Energy[2022_TWh],Energy[[Sector]:[Sector]],$A$228, Energy[[Fuel_category]:[Fuel_category]],$B233),"")</f>
        <v>0</v>
      </c>
      <c r="E233" s="28">
        <f ca="1">IFERROR(SUMIFS(Energy[2023_TWh],Energy[[Sector]:[Sector]],$A$228, Energy[[Fuel_category]:[Fuel_category]],$B233),"")</f>
        <v>0</v>
      </c>
      <c r="F233" s="28">
        <f ca="1">IFERROR(SUMIFS(Energy[2024_TWh],Energy[[Sector]:[Sector]],$A$228, Energy[[Fuel_category]:[Fuel_category]],$B233),"")</f>
        <v>0</v>
      </c>
      <c r="G233" s="28">
        <f ca="1">IFERROR(SUMIFS(Energy[2025_TWh],Energy[[Sector]:[Sector]],$A$228, Energy[[Fuel_category]:[Fuel_category]],$B233),"")</f>
        <v>0</v>
      </c>
      <c r="H233" s="28">
        <f ca="1">IFERROR(SUMIFS(Energy[2026_TWh],Energy[[Sector]:[Sector]],$A$228, Energy[[Fuel_category]:[Fuel_category]],$B233),"")</f>
        <v>0</v>
      </c>
      <c r="I233" s="28">
        <f ca="1">IFERROR(SUMIFS(Energy[2027_TWh],Energy[[Sector]:[Sector]],$A$228, Energy[[Fuel_category]:[Fuel_category]],$B233),"")</f>
        <v>0</v>
      </c>
      <c r="J233" s="28">
        <f ca="1">IFERROR(SUMIFS(Energy[2028_TWh],Energy[[Sector]:[Sector]],$A$228, Energy[[Fuel_category]:[Fuel_category]],$B233),"")</f>
        <v>0</v>
      </c>
      <c r="K233" s="28">
        <f ca="1">IFERROR(SUMIFS(Energy[2029_TWh],Energy[[Sector]:[Sector]],$A$228, Energy[[Fuel_category]:[Fuel_category]],$B233),"")</f>
        <v>0</v>
      </c>
      <c r="L233" s="28">
        <f ca="1">IFERROR(SUMIFS(Energy[2030_TWh],Energy[[Sector]:[Sector]],$A$228, Energy[[Fuel_category]:[Fuel_category]],$B233),"")</f>
        <v>0</v>
      </c>
      <c r="M233" s="28">
        <f ca="1">IFERROR(SUMIFS(Energy[2031_TWh],Energy[[Sector]:[Sector]],$A$228, Energy[[Fuel_category]:[Fuel_category]],$B233),"")</f>
        <v>0</v>
      </c>
      <c r="N233" s="28">
        <f ca="1">IFERROR(SUMIFS(Energy[2032_TWh],Energy[[Sector]:[Sector]],$A$228, Energy[[Fuel_category]:[Fuel_category]],$B233),"")</f>
        <v>0</v>
      </c>
      <c r="O233" s="28">
        <f ca="1">IFERROR(SUMIFS(Energy[2033_TWh],Energy[[Sector]:[Sector]],$A$228, Energy[[Fuel_category]:[Fuel_category]],$B233),"")</f>
        <v>0</v>
      </c>
      <c r="P233" s="28">
        <f ca="1">IFERROR(SUMIFS(Energy[2034_TWh],Energy[[Sector]:[Sector]],$A$228, Energy[[Fuel_category]:[Fuel_category]],$B233),"")</f>
        <v>0</v>
      </c>
      <c r="Q233" s="28">
        <f ca="1">IFERROR(SUMIFS(Energy[2035_TWh],Energy[[Sector]:[Sector]],$A$228, Energy[[Fuel_category]:[Fuel_category]],$B233),"")</f>
        <v>0</v>
      </c>
      <c r="R233" s="28">
        <f ca="1">IFERROR(SUMIFS(Energy[2036_TWh],Energy[[Sector]:[Sector]],$A$228, Energy[[Fuel_category]:[Fuel_category]],$B233),"")</f>
        <v>0</v>
      </c>
      <c r="S233" s="28">
        <f ca="1">IFERROR(SUMIFS(Energy[2037_TWh],Energy[[Sector]:[Sector]],$A$228, Energy[[Fuel_category]:[Fuel_category]],$B233),"")</f>
        <v>0</v>
      </c>
      <c r="T233" s="28">
        <f ca="1">IFERROR(SUMIFS(Energy[2038_TWh],Energy[[Sector]:[Sector]],$A$228, Energy[[Fuel_category]:[Fuel_category]],$B233),"")</f>
        <v>0</v>
      </c>
      <c r="U233" s="28">
        <f ca="1">IFERROR(SUMIFS(Energy[2039_TWh],Energy[[Sector]:[Sector]],$A$228, Energy[[Fuel_category]:[Fuel_category]],$B233),"")</f>
        <v>0</v>
      </c>
      <c r="V233" s="28">
        <f ca="1">IFERROR(SUMIFS(Energy[2040_TWh],Energy[[Sector]:[Sector]],$A$228, Energy[[Fuel_category]:[Fuel_category]],$B233),"")</f>
        <v>0</v>
      </c>
      <c r="W233" s="28">
        <f ca="1">IFERROR(SUMIFS(Energy[2041_TWh],Energy[[Sector]:[Sector]],$A$228, Energy[[Fuel_category]:[Fuel_category]],$B233),"")</f>
        <v>0</v>
      </c>
      <c r="X233" s="28">
        <f ca="1">IFERROR(SUMIFS(Energy[2042_TWh],Energy[[Sector]:[Sector]],$A$228, Energy[[Fuel_category]:[Fuel_category]],$B233),"")</f>
        <v>0</v>
      </c>
      <c r="Y233" s="28">
        <f ca="1">IFERROR(SUMIFS(Energy[2043_TWh],Energy[[Sector]:[Sector]],$A$228, Energy[[Fuel_category]:[Fuel_category]],$B233),"")</f>
        <v>0</v>
      </c>
      <c r="Z233" s="28">
        <f ca="1">IFERROR(SUMIFS(Energy[2044_TWh],Energy[[Sector]:[Sector]],$A$228, Energy[[Fuel_category]:[Fuel_category]],$B233),"")</f>
        <v>0</v>
      </c>
      <c r="AA233" s="28">
        <f ca="1">IFERROR(SUMIFS(Energy[2045_TWh],Energy[[Sector]:[Sector]],$A$228, Energy[[Fuel_category]:[Fuel_category]],$B233),"")</f>
        <v>0</v>
      </c>
      <c r="AB233" s="28">
        <f ca="1">IFERROR(SUMIFS(Energy[2046_TWh],Energy[[Sector]:[Sector]],$A$228, Energy[[Fuel_category]:[Fuel_category]],$B233),"")</f>
        <v>0</v>
      </c>
      <c r="AC233" s="28">
        <f ca="1">IFERROR(SUMIFS(Energy[2047_TWh],Energy[[Sector]:[Sector]],$A$228, Energy[[Fuel_category]:[Fuel_category]],$B233),"")</f>
        <v>0</v>
      </c>
      <c r="AD233" s="28">
        <f ca="1">IFERROR(SUMIFS(Energy[2048_TWh],Energy[[Sector]:[Sector]],$A$228, Energy[[Fuel_category]:[Fuel_category]],$B233),"")</f>
        <v>0</v>
      </c>
      <c r="AE233" s="28">
        <f ca="1">IFERROR(SUMIFS(Energy[2049_TWh],Energy[[Sector]:[Sector]],$A$228, Energy[[Fuel_category]:[Fuel_category]],$B233),"")</f>
        <v>0</v>
      </c>
      <c r="AF233" s="28">
        <f ca="1">IFERROR(SUMIFS(Energy[2050_TWh],Energy[[Sector]:[Sector]],$A$228, Energy[[Fuel_category]:[Fuel_category]],$B233),"")</f>
        <v>0</v>
      </c>
      <c r="AG233" s="28">
        <f ca="1">IFERROR(SUMIFS(Energy[2051_TWh],Energy[[Sector]:[Sector]],$A$228, Energy[[Fuel_category]:[Fuel_category]],$B233),"")</f>
        <v>0</v>
      </c>
    </row>
    <row r="234" spans="1:33" x14ac:dyDescent="0.45">
      <c r="B234" s="21" t="s">
        <v>111</v>
      </c>
      <c r="C234" s="28">
        <f ca="1">IFERROR(SUMIFS(Energy[2021_TWh],Energy[[Sector]:[Sector]],$A$228, Energy[[Fuel_category]:[Fuel_category]],$B234),"")</f>
        <v>0</v>
      </c>
      <c r="D234" s="28">
        <f ca="1">IFERROR(SUMIFS(Energy[2022_TWh],Energy[[Sector]:[Sector]],$A$228, Energy[[Fuel_category]:[Fuel_category]],$B234),"")</f>
        <v>0</v>
      </c>
      <c r="E234" s="28">
        <f ca="1">IFERROR(SUMIFS(Energy[2023_TWh],Energy[[Sector]:[Sector]],$A$228, Energy[[Fuel_category]:[Fuel_category]],$B234),"")</f>
        <v>0</v>
      </c>
      <c r="F234" s="28">
        <f ca="1">IFERROR(SUMIFS(Energy[2024_TWh],Energy[[Sector]:[Sector]],$A$228, Energy[[Fuel_category]:[Fuel_category]],$B234),"")</f>
        <v>0</v>
      </c>
      <c r="G234" s="28">
        <f ca="1">IFERROR(SUMIFS(Energy[2025_TWh],Energy[[Sector]:[Sector]],$A$228, Energy[[Fuel_category]:[Fuel_category]],$B234),"")</f>
        <v>0</v>
      </c>
      <c r="H234" s="28">
        <f ca="1">IFERROR(SUMIFS(Energy[2026_TWh],Energy[[Sector]:[Sector]],$A$228, Energy[[Fuel_category]:[Fuel_category]],$B234),"")</f>
        <v>0</v>
      </c>
      <c r="I234" s="28">
        <f ca="1">IFERROR(SUMIFS(Energy[2027_TWh],Energy[[Sector]:[Sector]],$A$228, Energy[[Fuel_category]:[Fuel_category]],$B234),"")</f>
        <v>0</v>
      </c>
      <c r="J234" s="28">
        <f ca="1">IFERROR(SUMIFS(Energy[2028_TWh],Energy[[Sector]:[Sector]],$A$228, Energy[[Fuel_category]:[Fuel_category]],$B234),"")</f>
        <v>0</v>
      </c>
      <c r="K234" s="28">
        <f ca="1">IFERROR(SUMIFS(Energy[2029_TWh],Energy[[Sector]:[Sector]],$A$228, Energy[[Fuel_category]:[Fuel_category]],$B234),"")</f>
        <v>0</v>
      </c>
      <c r="L234" s="28">
        <f ca="1">IFERROR(SUMIFS(Energy[2030_TWh],Energy[[Sector]:[Sector]],$A$228, Energy[[Fuel_category]:[Fuel_category]],$B234),"")</f>
        <v>0</v>
      </c>
      <c r="M234" s="28">
        <f ca="1">IFERROR(SUMIFS(Energy[2031_TWh],Energy[[Sector]:[Sector]],$A$228, Energy[[Fuel_category]:[Fuel_category]],$B234),"")</f>
        <v>0</v>
      </c>
      <c r="N234" s="28">
        <f ca="1">IFERROR(SUMIFS(Energy[2032_TWh],Energy[[Sector]:[Sector]],$A$228, Energy[[Fuel_category]:[Fuel_category]],$B234),"")</f>
        <v>0</v>
      </c>
      <c r="O234" s="28">
        <f ca="1">IFERROR(SUMIFS(Energy[2033_TWh],Energy[[Sector]:[Sector]],$A$228, Energy[[Fuel_category]:[Fuel_category]],$B234),"")</f>
        <v>0</v>
      </c>
      <c r="P234" s="28">
        <f ca="1">IFERROR(SUMIFS(Energy[2034_TWh],Energy[[Sector]:[Sector]],$A$228, Energy[[Fuel_category]:[Fuel_category]],$B234),"")</f>
        <v>0</v>
      </c>
      <c r="Q234" s="28">
        <f ca="1">IFERROR(SUMIFS(Energy[2035_TWh],Energy[[Sector]:[Sector]],$A$228, Energy[[Fuel_category]:[Fuel_category]],$B234),"")</f>
        <v>0</v>
      </c>
      <c r="R234" s="28">
        <f ca="1">IFERROR(SUMIFS(Energy[2036_TWh],Energy[[Sector]:[Sector]],$A$228, Energy[[Fuel_category]:[Fuel_category]],$B234),"")</f>
        <v>0</v>
      </c>
      <c r="S234" s="28">
        <f ca="1">IFERROR(SUMIFS(Energy[2037_TWh],Energy[[Sector]:[Sector]],$A$228, Energy[[Fuel_category]:[Fuel_category]],$B234),"")</f>
        <v>0</v>
      </c>
      <c r="T234" s="28">
        <f ca="1">IFERROR(SUMIFS(Energy[2038_TWh],Energy[[Sector]:[Sector]],$A$228, Energy[[Fuel_category]:[Fuel_category]],$B234),"")</f>
        <v>0</v>
      </c>
      <c r="U234" s="28">
        <f ca="1">IFERROR(SUMIFS(Energy[2039_TWh],Energy[[Sector]:[Sector]],$A$228, Energy[[Fuel_category]:[Fuel_category]],$B234),"")</f>
        <v>0</v>
      </c>
      <c r="V234" s="28">
        <f ca="1">IFERROR(SUMIFS(Energy[2040_TWh],Energy[[Sector]:[Sector]],$A$228, Energy[[Fuel_category]:[Fuel_category]],$B234),"")</f>
        <v>0</v>
      </c>
      <c r="W234" s="28">
        <f ca="1">IFERROR(SUMIFS(Energy[2041_TWh],Energy[[Sector]:[Sector]],$A$228, Energy[[Fuel_category]:[Fuel_category]],$B234),"")</f>
        <v>0</v>
      </c>
      <c r="X234" s="28">
        <f ca="1">IFERROR(SUMIFS(Energy[2042_TWh],Energy[[Sector]:[Sector]],$A$228, Energy[[Fuel_category]:[Fuel_category]],$B234),"")</f>
        <v>0</v>
      </c>
      <c r="Y234" s="28">
        <f ca="1">IFERROR(SUMIFS(Energy[2043_TWh],Energy[[Sector]:[Sector]],$A$228, Energy[[Fuel_category]:[Fuel_category]],$B234),"")</f>
        <v>0</v>
      </c>
      <c r="Z234" s="28">
        <f ca="1">IFERROR(SUMIFS(Energy[2044_TWh],Energy[[Sector]:[Sector]],$A$228, Energy[[Fuel_category]:[Fuel_category]],$B234),"")</f>
        <v>0</v>
      </c>
      <c r="AA234" s="28">
        <f ca="1">IFERROR(SUMIFS(Energy[2045_TWh],Energy[[Sector]:[Sector]],$A$228, Energy[[Fuel_category]:[Fuel_category]],$B234),"")</f>
        <v>0</v>
      </c>
      <c r="AB234" s="28">
        <f ca="1">IFERROR(SUMIFS(Energy[2046_TWh],Energy[[Sector]:[Sector]],$A$228, Energy[[Fuel_category]:[Fuel_category]],$B234),"")</f>
        <v>0</v>
      </c>
      <c r="AC234" s="28">
        <f ca="1">IFERROR(SUMIFS(Energy[2047_TWh],Energy[[Sector]:[Sector]],$A$228, Energy[[Fuel_category]:[Fuel_category]],$B234),"")</f>
        <v>0</v>
      </c>
      <c r="AD234" s="28">
        <f ca="1">IFERROR(SUMIFS(Energy[2048_TWh],Energy[[Sector]:[Sector]],$A$228, Energy[[Fuel_category]:[Fuel_category]],$B234),"")</f>
        <v>0</v>
      </c>
      <c r="AE234" s="28">
        <f ca="1">IFERROR(SUMIFS(Energy[2049_TWh],Energy[[Sector]:[Sector]],$A$228, Energy[[Fuel_category]:[Fuel_category]],$B234),"")</f>
        <v>0</v>
      </c>
      <c r="AF234" s="28">
        <f ca="1">IFERROR(SUMIFS(Energy[2050_TWh],Energy[[Sector]:[Sector]],$A$228, Energy[[Fuel_category]:[Fuel_category]],$B234),"")</f>
        <v>0</v>
      </c>
      <c r="AG234" s="28">
        <f ca="1">IFERROR(SUMIFS(Energy[2051_TWh],Energy[[Sector]:[Sector]],$A$228, Energy[[Fuel_category]:[Fuel_category]],$B234),"")</f>
        <v>0</v>
      </c>
    </row>
    <row r="235" spans="1:33" ht="14.65" thickBot="1" x14ac:dyDescent="0.5">
      <c r="B235" s="29" t="s">
        <v>124</v>
      </c>
      <c r="C235" s="31">
        <f ca="1">IF(C154&lt;&gt;"",SUM(C228:C233),"")</f>
        <v>0</v>
      </c>
      <c r="D235" s="31">
        <f t="shared" ref="D235:AF235" ca="1" si="48">IF(D154&lt;&gt;"",SUM(D228:D233),"")</f>
        <v>0</v>
      </c>
      <c r="E235" s="31">
        <f t="shared" ca="1" si="48"/>
        <v>0</v>
      </c>
      <c r="F235" s="31">
        <f t="shared" ca="1" si="48"/>
        <v>0</v>
      </c>
      <c r="G235" s="31">
        <f t="shared" ca="1" si="48"/>
        <v>0</v>
      </c>
      <c r="H235" s="31">
        <f t="shared" ca="1" si="48"/>
        <v>0</v>
      </c>
      <c r="I235" s="31">
        <f t="shared" ca="1" si="48"/>
        <v>0</v>
      </c>
      <c r="J235" s="31">
        <f t="shared" ca="1" si="48"/>
        <v>0</v>
      </c>
      <c r="K235" s="31">
        <f t="shared" ca="1" si="48"/>
        <v>0</v>
      </c>
      <c r="L235" s="31">
        <f t="shared" ca="1" si="48"/>
        <v>0</v>
      </c>
      <c r="M235" s="31">
        <f t="shared" ca="1" si="48"/>
        <v>0</v>
      </c>
      <c r="N235" s="31">
        <f t="shared" ca="1" si="48"/>
        <v>0</v>
      </c>
      <c r="O235" s="31">
        <f t="shared" ca="1" si="48"/>
        <v>0</v>
      </c>
      <c r="P235" s="31">
        <f t="shared" ca="1" si="48"/>
        <v>0</v>
      </c>
      <c r="Q235" s="31">
        <f t="shared" ca="1" si="48"/>
        <v>0</v>
      </c>
      <c r="R235" s="31">
        <f t="shared" ca="1" si="48"/>
        <v>0</v>
      </c>
      <c r="S235" s="31">
        <f t="shared" ca="1" si="48"/>
        <v>0</v>
      </c>
      <c r="T235" s="31">
        <f t="shared" ca="1" si="48"/>
        <v>0</v>
      </c>
      <c r="U235" s="31">
        <f t="shared" ca="1" si="48"/>
        <v>0</v>
      </c>
      <c r="V235" s="31">
        <f t="shared" ca="1" si="48"/>
        <v>0</v>
      </c>
      <c r="W235" s="31">
        <f t="shared" ca="1" si="48"/>
        <v>0</v>
      </c>
      <c r="X235" s="31">
        <f t="shared" ca="1" si="48"/>
        <v>0</v>
      </c>
      <c r="Y235" s="31">
        <f t="shared" ca="1" si="48"/>
        <v>0</v>
      </c>
      <c r="Z235" s="31">
        <f t="shared" ca="1" si="48"/>
        <v>0</v>
      </c>
      <c r="AA235" s="31">
        <f t="shared" ca="1" si="48"/>
        <v>0</v>
      </c>
      <c r="AB235" s="31">
        <f t="shared" ca="1" si="48"/>
        <v>0</v>
      </c>
      <c r="AC235" s="31">
        <f t="shared" ca="1" si="48"/>
        <v>0</v>
      </c>
      <c r="AD235" s="31">
        <f t="shared" ca="1" si="48"/>
        <v>0</v>
      </c>
      <c r="AE235" s="31">
        <f t="shared" ca="1" si="48"/>
        <v>0</v>
      </c>
      <c r="AF235" s="31">
        <f t="shared" ca="1" si="48"/>
        <v>0</v>
      </c>
      <c r="AG235" s="31">
        <f t="shared" ref="AG235" ca="1" si="49">IF(AG154&lt;&gt;"",SUM(AG228:AG233),"")</f>
        <v>0</v>
      </c>
    </row>
    <row r="236" spans="1:33" ht="14.65" thickTop="1" x14ac:dyDescent="0.45"/>
    <row r="237" spans="1:33" ht="15.75" customHeight="1" x14ac:dyDescent="0.45">
      <c r="B237" s="6"/>
      <c r="C237" s="6">
        <v>2021</v>
      </c>
      <c r="D237" s="6">
        <v>2022</v>
      </c>
      <c r="E237" s="6">
        <v>2023</v>
      </c>
      <c r="F237" s="6">
        <v>2024</v>
      </c>
      <c r="G237" s="6">
        <v>2025</v>
      </c>
      <c r="H237" s="6">
        <v>2026</v>
      </c>
      <c r="I237" s="6">
        <v>2027</v>
      </c>
      <c r="J237" s="6">
        <v>2028</v>
      </c>
      <c r="K237" s="6">
        <v>2029</v>
      </c>
      <c r="L237" s="6">
        <v>2030</v>
      </c>
      <c r="M237" s="6">
        <v>2031</v>
      </c>
      <c r="N237" s="6">
        <v>2032</v>
      </c>
      <c r="O237" s="6">
        <v>2033</v>
      </c>
      <c r="P237" s="6">
        <v>2034</v>
      </c>
      <c r="Q237" s="6">
        <v>2035</v>
      </c>
      <c r="R237" s="6">
        <v>2036</v>
      </c>
      <c r="S237" s="6">
        <v>2037</v>
      </c>
      <c r="T237" s="6">
        <v>2038</v>
      </c>
      <c r="U237" s="6">
        <v>2039</v>
      </c>
      <c r="V237" s="6">
        <v>2040</v>
      </c>
      <c r="W237" s="6">
        <v>2041</v>
      </c>
      <c r="X237" s="6">
        <v>2042</v>
      </c>
      <c r="Y237" s="6">
        <v>2043</v>
      </c>
      <c r="Z237" s="6">
        <v>2044</v>
      </c>
      <c r="AA237" s="6">
        <v>2045</v>
      </c>
      <c r="AB237" s="6">
        <v>2046</v>
      </c>
      <c r="AC237" s="6">
        <v>2047</v>
      </c>
      <c r="AD237" s="6">
        <v>2048</v>
      </c>
      <c r="AE237" s="6">
        <v>2049</v>
      </c>
      <c r="AF237" s="6">
        <v>2050</v>
      </c>
      <c r="AG237" s="6">
        <v>2051</v>
      </c>
    </row>
    <row r="238" spans="1:33" x14ac:dyDescent="0.45">
      <c r="A238" s="60" t="s">
        <v>23</v>
      </c>
      <c r="B238" s="21" t="s">
        <v>82</v>
      </c>
      <c r="C238" s="28">
        <f ca="1">IFERROR(SUMIFS(Energy[2021_TWh],Energy[[Sector]:[Sector]],$A$238, Energy[[Fuel_category]:[Fuel_category]],$B238),"")</f>
        <v>0</v>
      </c>
      <c r="D238" s="28">
        <f ca="1">IFERROR(SUMIFS(Energy[2022_TWh],Energy[[Sector]:[Sector]],$A$238, Energy[[Fuel_category]:[Fuel_category]],$B238),"")</f>
        <v>0</v>
      </c>
      <c r="E238" s="28">
        <f ca="1">IFERROR(SUMIFS(Energy[2023_TWh],Energy[[Sector]:[Sector]],$A$238, Energy[[Fuel_category]:[Fuel_category]],$B238),"")</f>
        <v>0</v>
      </c>
      <c r="F238" s="28">
        <f ca="1">IFERROR(SUMIFS(Energy[2024_TWh],Energy[[Sector]:[Sector]],$A$238, Energy[[Fuel_category]:[Fuel_category]],$B238),"")</f>
        <v>0</v>
      </c>
      <c r="G238" s="28">
        <f ca="1">IFERROR(SUMIFS(Energy[2025_TWh],Energy[[Sector]:[Sector]],$A$238, Energy[[Fuel_category]:[Fuel_category]],$B238),"")</f>
        <v>0</v>
      </c>
      <c r="H238" s="28">
        <f ca="1">IFERROR(SUMIFS(Energy[2026_TWh],Energy[[Sector]:[Sector]],$A$238, Energy[[Fuel_category]:[Fuel_category]],$B238),"")</f>
        <v>0</v>
      </c>
      <c r="I238" s="28">
        <f ca="1">IFERROR(SUMIFS(Energy[2027_TWh],Energy[[Sector]:[Sector]],$A$238, Energy[[Fuel_category]:[Fuel_category]],$B238),"")</f>
        <v>0</v>
      </c>
      <c r="J238" s="28">
        <f ca="1">IFERROR(SUMIFS(Energy[2028_TWh],Energy[[Sector]:[Sector]],$A$238, Energy[[Fuel_category]:[Fuel_category]],$B238),"")</f>
        <v>0</v>
      </c>
      <c r="K238" s="28">
        <f ca="1">IFERROR(SUMIFS(Energy[2029_TWh],Energy[[Sector]:[Sector]],$A$238, Energy[[Fuel_category]:[Fuel_category]],$B238),"")</f>
        <v>0</v>
      </c>
      <c r="L238" s="28">
        <f ca="1">IFERROR(SUMIFS(Energy[2030_TWh],Energy[[Sector]:[Sector]],$A$238, Energy[[Fuel_category]:[Fuel_category]],$B238),"")</f>
        <v>0</v>
      </c>
      <c r="M238" s="28">
        <f ca="1">IFERROR(SUMIFS(Energy[2031_TWh],Energy[[Sector]:[Sector]],$A$238, Energy[[Fuel_category]:[Fuel_category]],$B238),"")</f>
        <v>0</v>
      </c>
      <c r="N238" s="28">
        <f ca="1">IFERROR(SUMIFS(Energy[2032_TWh],Energy[[Sector]:[Sector]],$A$238, Energy[[Fuel_category]:[Fuel_category]],$B238),"")</f>
        <v>0</v>
      </c>
      <c r="O238" s="28">
        <f ca="1">IFERROR(SUMIFS(Energy[2033_TWh],Energy[[Sector]:[Sector]],$A$238, Energy[[Fuel_category]:[Fuel_category]],$B238),"")</f>
        <v>0</v>
      </c>
      <c r="P238" s="28">
        <f ca="1">IFERROR(SUMIFS(Energy[2034_TWh],Energy[[Sector]:[Sector]],$A$238, Energy[[Fuel_category]:[Fuel_category]],$B238),"")</f>
        <v>0</v>
      </c>
      <c r="Q238" s="28">
        <f ca="1">IFERROR(SUMIFS(Energy[2035_TWh],Energy[[Sector]:[Sector]],$A$238, Energy[[Fuel_category]:[Fuel_category]],$B238),"")</f>
        <v>0</v>
      </c>
      <c r="R238" s="28">
        <f ca="1">IFERROR(SUMIFS(Energy[2036_TWh],Energy[[Sector]:[Sector]],$A$238, Energy[[Fuel_category]:[Fuel_category]],$B238),"")</f>
        <v>0</v>
      </c>
      <c r="S238" s="28">
        <f ca="1">IFERROR(SUMIFS(Energy[2037_TWh],Energy[[Sector]:[Sector]],$A$238, Energy[[Fuel_category]:[Fuel_category]],$B238),"")</f>
        <v>0</v>
      </c>
      <c r="T238" s="28">
        <f ca="1">IFERROR(SUMIFS(Energy[2038_TWh],Energy[[Sector]:[Sector]],$A$238, Energy[[Fuel_category]:[Fuel_category]],$B238),"")</f>
        <v>0</v>
      </c>
      <c r="U238" s="28">
        <f ca="1">IFERROR(SUMIFS(Energy[2039_TWh],Energy[[Sector]:[Sector]],$A$238, Energy[[Fuel_category]:[Fuel_category]],$B238),"")</f>
        <v>0</v>
      </c>
      <c r="V238" s="28">
        <f ca="1">IFERROR(SUMIFS(Energy[2040_TWh],Energy[[Sector]:[Sector]],$A$238, Energy[[Fuel_category]:[Fuel_category]],$B238),"")</f>
        <v>0</v>
      </c>
      <c r="W238" s="28">
        <f ca="1">IFERROR(SUMIFS(Energy[2041_TWh],Energy[[Sector]:[Sector]],$A$238, Energy[[Fuel_category]:[Fuel_category]],$B238),"")</f>
        <v>0</v>
      </c>
      <c r="X238" s="28">
        <f ca="1">IFERROR(SUMIFS(Energy[2042_TWh],Energy[[Sector]:[Sector]],$A$238, Energy[[Fuel_category]:[Fuel_category]],$B238),"")</f>
        <v>0</v>
      </c>
      <c r="Y238" s="28">
        <f ca="1">IFERROR(SUMIFS(Energy[2043_TWh],Energy[[Sector]:[Sector]],$A$238, Energy[[Fuel_category]:[Fuel_category]],$B238),"")</f>
        <v>0</v>
      </c>
      <c r="Z238" s="28">
        <f ca="1">IFERROR(SUMIFS(Energy[2044_TWh],Energy[[Sector]:[Sector]],$A$238, Energy[[Fuel_category]:[Fuel_category]],$B238),"")</f>
        <v>0</v>
      </c>
      <c r="AA238" s="28">
        <f ca="1">IFERROR(SUMIFS(Energy[2045_TWh],Energy[[Sector]:[Sector]],$A$238, Energy[[Fuel_category]:[Fuel_category]],$B238),"")</f>
        <v>0</v>
      </c>
      <c r="AB238" s="28">
        <f ca="1">IFERROR(SUMIFS(Energy[2046_TWh],Energy[[Sector]:[Sector]],$A$238, Energy[[Fuel_category]:[Fuel_category]],$B238),"")</f>
        <v>0</v>
      </c>
      <c r="AC238" s="28">
        <f ca="1">IFERROR(SUMIFS(Energy[2047_TWh],Energy[[Sector]:[Sector]],$A$238, Energy[[Fuel_category]:[Fuel_category]],$B238),"")</f>
        <v>0</v>
      </c>
      <c r="AD238" s="28">
        <f ca="1">IFERROR(SUMIFS(Energy[2048_TWh],Energy[[Sector]:[Sector]],$A$238, Energy[[Fuel_category]:[Fuel_category]],$B238),"")</f>
        <v>0</v>
      </c>
      <c r="AE238" s="28">
        <f ca="1">IFERROR(SUMIFS(Energy[2049_TWh],Energy[[Sector]:[Sector]],$A$238, Energy[[Fuel_category]:[Fuel_category]],$B238),"")</f>
        <v>0</v>
      </c>
      <c r="AF238" s="28">
        <f ca="1">IFERROR(SUMIFS(Energy[2050_TWh],Energy[[Sector]:[Sector]],$A$238, Energy[[Fuel_category]:[Fuel_category]],$B238),"")</f>
        <v>0</v>
      </c>
      <c r="AG238" s="28">
        <f ca="1">IFERROR(SUMIFS(Energy[2051_TWh],Energy[[Sector]:[Sector]],$A$238, Energy[[Fuel_category]:[Fuel_category]],$B238),"")</f>
        <v>0</v>
      </c>
    </row>
    <row r="239" spans="1:33" x14ac:dyDescent="0.45">
      <c r="B239" s="21" t="s">
        <v>83</v>
      </c>
      <c r="C239" s="28">
        <f ca="1">IFERROR(SUMIFS(Energy[2021_TWh],Energy[[Sector]:[Sector]],$A$238, Energy[[Fuel_category]:[Fuel_category]],$B239),"")</f>
        <v>0</v>
      </c>
      <c r="D239" s="28">
        <f ca="1">IFERROR(SUMIFS(Energy[2022_TWh],Energy[[Sector]:[Sector]],$A$238, Energy[[Fuel_category]:[Fuel_category]],$B239),"")</f>
        <v>0</v>
      </c>
      <c r="E239" s="28">
        <f ca="1">IFERROR(SUMIFS(Energy[2023_TWh],Energy[[Sector]:[Sector]],$A$238, Energy[[Fuel_category]:[Fuel_category]],$B239),"")</f>
        <v>0</v>
      </c>
      <c r="F239" s="28">
        <f ca="1">IFERROR(SUMIFS(Energy[2024_TWh],Energy[[Sector]:[Sector]],$A$238, Energy[[Fuel_category]:[Fuel_category]],$B239),"")</f>
        <v>0</v>
      </c>
      <c r="G239" s="28">
        <f ca="1">IFERROR(SUMIFS(Energy[2025_TWh],Energy[[Sector]:[Sector]],$A$238, Energy[[Fuel_category]:[Fuel_category]],$B239),"")</f>
        <v>0</v>
      </c>
      <c r="H239" s="28">
        <f ca="1">IFERROR(SUMIFS(Energy[2026_TWh],Energy[[Sector]:[Sector]],$A$238, Energy[[Fuel_category]:[Fuel_category]],$B239),"")</f>
        <v>0</v>
      </c>
      <c r="I239" s="28">
        <f ca="1">IFERROR(SUMIFS(Energy[2027_TWh],Energy[[Sector]:[Sector]],$A$238, Energy[[Fuel_category]:[Fuel_category]],$B239),"")</f>
        <v>0</v>
      </c>
      <c r="J239" s="28">
        <f ca="1">IFERROR(SUMIFS(Energy[2028_TWh],Energy[[Sector]:[Sector]],$A$238, Energy[[Fuel_category]:[Fuel_category]],$B239),"")</f>
        <v>0</v>
      </c>
      <c r="K239" s="28">
        <f ca="1">IFERROR(SUMIFS(Energy[2029_TWh],Energy[[Sector]:[Sector]],$A$238, Energy[[Fuel_category]:[Fuel_category]],$B239),"")</f>
        <v>0</v>
      </c>
      <c r="L239" s="28">
        <f ca="1">IFERROR(SUMIFS(Energy[2030_TWh],Energy[[Sector]:[Sector]],$A$238, Energy[[Fuel_category]:[Fuel_category]],$B239),"")</f>
        <v>0</v>
      </c>
      <c r="M239" s="28">
        <f ca="1">IFERROR(SUMIFS(Energy[2031_TWh],Energy[[Sector]:[Sector]],$A$238, Energy[[Fuel_category]:[Fuel_category]],$B239),"")</f>
        <v>0</v>
      </c>
      <c r="N239" s="28">
        <f ca="1">IFERROR(SUMIFS(Energy[2032_TWh],Energy[[Sector]:[Sector]],$A$238, Energy[[Fuel_category]:[Fuel_category]],$B239),"")</f>
        <v>0</v>
      </c>
      <c r="O239" s="28">
        <f ca="1">IFERROR(SUMIFS(Energy[2033_TWh],Energy[[Sector]:[Sector]],$A$238, Energy[[Fuel_category]:[Fuel_category]],$B239),"")</f>
        <v>0</v>
      </c>
      <c r="P239" s="28">
        <f ca="1">IFERROR(SUMIFS(Energy[2034_TWh],Energy[[Sector]:[Sector]],$A$238, Energy[[Fuel_category]:[Fuel_category]],$B239),"")</f>
        <v>0</v>
      </c>
      <c r="Q239" s="28">
        <f ca="1">IFERROR(SUMIFS(Energy[2035_TWh],Energy[[Sector]:[Sector]],$A$238, Energy[[Fuel_category]:[Fuel_category]],$B239),"")</f>
        <v>0</v>
      </c>
      <c r="R239" s="28">
        <f ca="1">IFERROR(SUMIFS(Energy[2036_TWh],Energy[[Sector]:[Sector]],$A$238, Energy[[Fuel_category]:[Fuel_category]],$B239),"")</f>
        <v>0</v>
      </c>
      <c r="S239" s="28">
        <f ca="1">IFERROR(SUMIFS(Energy[2037_TWh],Energy[[Sector]:[Sector]],$A$238, Energy[[Fuel_category]:[Fuel_category]],$B239),"")</f>
        <v>0</v>
      </c>
      <c r="T239" s="28">
        <f ca="1">IFERROR(SUMIFS(Energy[2038_TWh],Energy[[Sector]:[Sector]],$A$238, Energy[[Fuel_category]:[Fuel_category]],$B239),"")</f>
        <v>0</v>
      </c>
      <c r="U239" s="28">
        <f ca="1">IFERROR(SUMIFS(Energy[2039_TWh],Energy[[Sector]:[Sector]],$A$238, Energy[[Fuel_category]:[Fuel_category]],$B239),"")</f>
        <v>0</v>
      </c>
      <c r="V239" s="28">
        <f ca="1">IFERROR(SUMIFS(Energy[2040_TWh],Energy[[Sector]:[Sector]],$A$238, Energy[[Fuel_category]:[Fuel_category]],$B239),"")</f>
        <v>0</v>
      </c>
      <c r="W239" s="28">
        <f ca="1">IFERROR(SUMIFS(Energy[2041_TWh],Energy[[Sector]:[Sector]],$A$238, Energy[[Fuel_category]:[Fuel_category]],$B239),"")</f>
        <v>0</v>
      </c>
      <c r="X239" s="28">
        <f ca="1">IFERROR(SUMIFS(Energy[2042_TWh],Energy[[Sector]:[Sector]],$A$238, Energy[[Fuel_category]:[Fuel_category]],$B239),"")</f>
        <v>0</v>
      </c>
      <c r="Y239" s="28">
        <f ca="1">IFERROR(SUMIFS(Energy[2043_TWh],Energy[[Sector]:[Sector]],$A$238, Energy[[Fuel_category]:[Fuel_category]],$B239),"")</f>
        <v>0</v>
      </c>
      <c r="Z239" s="28">
        <f ca="1">IFERROR(SUMIFS(Energy[2044_TWh],Energy[[Sector]:[Sector]],$A$238, Energy[[Fuel_category]:[Fuel_category]],$B239),"")</f>
        <v>0</v>
      </c>
      <c r="AA239" s="28">
        <f ca="1">IFERROR(SUMIFS(Energy[2045_TWh],Energy[[Sector]:[Sector]],$A$238, Energy[[Fuel_category]:[Fuel_category]],$B239),"")</f>
        <v>0</v>
      </c>
      <c r="AB239" s="28">
        <f ca="1">IFERROR(SUMIFS(Energy[2046_TWh],Energy[[Sector]:[Sector]],$A$238, Energy[[Fuel_category]:[Fuel_category]],$B239),"")</f>
        <v>0</v>
      </c>
      <c r="AC239" s="28">
        <f ca="1">IFERROR(SUMIFS(Energy[2047_TWh],Energy[[Sector]:[Sector]],$A$238, Energy[[Fuel_category]:[Fuel_category]],$B239),"")</f>
        <v>0</v>
      </c>
      <c r="AD239" s="28">
        <f ca="1">IFERROR(SUMIFS(Energy[2048_TWh],Energy[[Sector]:[Sector]],$A$238, Energy[[Fuel_category]:[Fuel_category]],$B239),"")</f>
        <v>0</v>
      </c>
      <c r="AE239" s="28">
        <f ca="1">IFERROR(SUMIFS(Energy[2049_TWh],Energy[[Sector]:[Sector]],$A$238, Energy[[Fuel_category]:[Fuel_category]],$B239),"")</f>
        <v>0</v>
      </c>
      <c r="AF239" s="28">
        <f ca="1">IFERROR(SUMIFS(Energy[2050_TWh],Energy[[Sector]:[Sector]],$A$238, Energy[[Fuel_category]:[Fuel_category]],$B239),"")</f>
        <v>0</v>
      </c>
      <c r="AG239" s="28">
        <f ca="1">IFERROR(SUMIFS(Energy[2051_TWh],Energy[[Sector]:[Sector]],$A$238, Energy[[Fuel_category]:[Fuel_category]],$B239),"")</f>
        <v>0</v>
      </c>
    </row>
    <row r="240" spans="1:33" x14ac:dyDescent="0.45">
      <c r="B240" s="21" t="s">
        <v>67</v>
      </c>
      <c r="C240" s="28">
        <f ca="1">IFERROR(SUMIFS(Energy[2021_TWh],Energy[[Sector]:[Sector]],$A$238, Energy[[Fuel_category]:[Fuel_category]],$B240),"")</f>
        <v>0</v>
      </c>
      <c r="D240" s="28">
        <f ca="1">IFERROR(SUMIFS(Energy[2022_TWh],Energy[[Sector]:[Sector]],$A$238, Energy[[Fuel_category]:[Fuel_category]],$B240),"")</f>
        <v>0</v>
      </c>
      <c r="E240" s="28">
        <f ca="1">IFERROR(SUMIFS(Energy[2023_TWh],Energy[[Sector]:[Sector]],$A$238, Energy[[Fuel_category]:[Fuel_category]],$B240),"")</f>
        <v>0</v>
      </c>
      <c r="F240" s="28">
        <f ca="1">IFERROR(SUMIFS(Energy[2024_TWh],Energy[[Sector]:[Sector]],$A$238, Energy[[Fuel_category]:[Fuel_category]],$B240),"")</f>
        <v>0</v>
      </c>
      <c r="G240" s="28">
        <f ca="1">IFERROR(SUMIFS(Energy[2025_TWh],Energy[[Sector]:[Sector]],$A$238, Energy[[Fuel_category]:[Fuel_category]],$B240),"")</f>
        <v>0</v>
      </c>
      <c r="H240" s="28">
        <f ca="1">IFERROR(SUMIFS(Energy[2026_TWh],Energy[[Sector]:[Sector]],$A$238, Energy[[Fuel_category]:[Fuel_category]],$B240),"")</f>
        <v>0</v>
      </c>
      <c r="I240" s="28">
        <f ca="1">IFERROR(SUMIFS(Energy[2027_TWh],Energy[[Sector]:[Sector]],$A$238, Energy[[Fuel_category]:[Fuel_category]],$B240),"")</f>
        <v>0</v>
      </c>
      <c r="J240" s="28">
        <f ca="1">IFERROR(SUMIFS(Energy[2028_TWh],Energy[[Sector]:[Sector]],$A$238, Energy[[Fuel_category]:[Fuel_category]],$B240),"")</f>
        <v>0</v>
      </c>
      <c r="K240" s="28">
        <f ca="1">IFERROR(SUMIFS(Energy[2029_TWh],Energy[[Sector]:[Sector]],$A$238, Energy[[Fuel_category]:[Fuel_category]],$B240),"")</f>
        <v>0</v>
      </c>
      <c r="L240" s="28">
        <f ca="1">IFERROR(SUMIFS(Energy[2030_TWh],Energy[[Sector]:[Sector]],$A$238, Energy[[Fuel_category]:[Fuel_category]],$B240),"")</f>
        <v>0</v>
      </c>
      <c r="M240" s="28">
        <f ca="1">IFERROR(SUMIFS(Energy[2031_TWh],Energy[[Sector]:[Sector]],$A$238, Energy[[Fuel_category]:[Fuel_category]],$B240),"")</f>
        <v>0</v>
      </c>
      <c r="N240" s="28">
        <f ca="1">IFERROR(SUMIFS(Energy[2032_TWh],Energy[[Sector]:[Sector]],$A$238, Energy[[Fuel_category]:[Fuel_category]],$B240),"")</f>
        <v>0</v>
      </c>
      <c r="O240" s="28">
        <f ca="1">IFERROR(SUMIFS(Energy[2033_TWh],Energy[[Sector]:[Sector]],$A$238, Energy[[Fuel_category]:[Fuel_category]],$B240),"")</f>
        <v>0</v>
      </c>
      <c r="P240" s="28">
        <f ca="1">IFERROR(SUMIFS(Energy[2034_TWh],Energy[[Sector]:[Sector]],$A$238, Energy[[Fuel_category]:[Fuel_category]],$B240),"")</f>
        <v>0</v>
      </c>
      <c r="Q240" s="28">
        <f ca="1">IFERROR(SUMIFS(Energy[2035_TWh],Energy[[Sector]:[Sector]],$A$238, Energy[[Fuel_category]:[Fuel_category]],$B240),"")</f>
        <v>0</v>
      </c>
      <c r="R240" s="28">
        <f ca="1">IFERROR(SUMIFS(Energy[2036_TWh],Energy[[Sector]:[Sector]],$A$238, Energy[[Fuel_category]:[Fuel_category]],$B240),"")</f>
        <v>0</v>
      </c>
      <c r="S240" s="28">
        <f ca="1">IFERROR(SUMIFS(Energy[2037_TWh],Energy[[Sector]:[Sector]],$A$238, Energy[[Fuel_category]:[Fuel_category]],$B240),"")</f>
        <v>0</v>
      </c>
      <c r="T240" s="28">
        <f ca="1">IFERROR(SUMIFS(Energy[2038_TWh],Energy[[Sector]:[Sector]],$A$238, Energy[[Fuel_category]:[Fuel_category]],$B240),"")</f>
        <v>0</v>
      </c>
      <c r="U240" s="28">
        <f ca="1">IFERROR(SUMIFS(Energy[2039_TWh],Energy[[Sector]:[Sector]],$A$238, Energy[[Fuel_category]:[Fuel_category]],$B240),"")</f>
        <v>0</v>
      </c>
      <c r="V240" s="28">
        <f ca="1">IFERROR(SUMIFS(Energy[2040_TWh],Energy[[Sector]:[Sector]],$A$238, Energy[[Fuel_category]:[Fuel_category]],$B240),"")</f>
        <v>0</v>
      </c>
      <c r="W240" s="28">
        <f ca="1">IFERROR(SUMIFS(Energy[2041_TWh],Energy[[Sector]:[Sector]],$A$238, Energy[[Fuel_category]:[Fuel_category]],$B240),"")</f>
        <v>0</v>
      </c>
      <c r="X240" s="28">
        <f ca="1">IFERROR(SUMIFS(Energy[2042_TWh],Energy[[Sector]:[Sector]],$A$238, Energy[[Fuel_category]:[Fuel_category]],$B240),"")</f>
        <v>0</v>
      </c>
      <c r="Y240" s="28">
        <f ca="1">IFERROR(SUMIFS(Energy[2043_TWh],Energy[[Sector]:[Sector]],$A$238, Energy[[Fuel_category]:[Fuel_category]],$B240),"")</f>
        <v>0</v>
      </c>
      <c r="Z240" s="28">
        <f ca="1">IFERROR(SUMIFS(Energy[2044_TWh],Energy[[Sector]:[Sector]],$A$238, Energy[[Fuel_category]:[Fuel_category]],$B240),"")</f>
        <v>0</v>
      </c>
      <c r="AA240" s="28">
        <f ca="1">IFERROR(SUMIFS(Energy[2045_TWh],Energy[[Sector]:[Sector]],$A$238, Energy[[Fuel_category]:[Fuel_category]],$B240),"")</f>
        <v>0</v>
      </c>
      <c r="AB240" s="28">
        <f ca="1">IFERROR(SUMIFS(Energy[2046_TWh],Energy[[Sector]:[Sector]],$A$238, Energy[[Fuel_category]:[Fuel_category]],$B240),"")</f>
        <v>0</v>
      </c>
      <c r="AC240" s="28">
        <f ca="1">IFERROR(SUMIFS(Energy[2047_TWh],Energy[[Sector]:[Sector]],$A$238, Energy[[Fuel_category]:[Fuel_category]],$B240),"")</f>
        <v>0</v>
      </c>
      <c r="AD240" s="28">
        <f ca="1">IFERROR(SUMIFS(Energy[2048_TWh],Energy[[Sector]:[Sector]],$A$238, Energy[[Fuel_category]:[Fuel_category]],$B240),"")</f>
        <v>0</v>
      </c>
      <c r="AE240" s="28">
        <f ca="1">IFERROR(SUMIFS(Energy[2049_TWh],Energy[[Sector]:[Sector]],$A$238, Energy[[Fuel_category]:[Fuel_category]],$B240),"")</f>
        <v>0</v>
      </c>
      <c r="AF240" s="28">
        <f ca="1">IFERROR(SUMIFS(Energy[2050_TWh],Energy[[Sector]:[Sector]],$A$238, Energy[[Fuel_category]:[Fuel_category]],$B240),"")</f>
        <v>0</v>
      </c>
      <c r="AG240" s="28">
        <f ca="1">IFERROR(SUMIFS(Energy[2051_TWh],Energy[[Sector]:[Sector]],$A$238, Energy[[Fuel_category]:[Fuel_category]],$B240),"")</f>
        <v>0</v>
      </c>
    </row>
    <row r="241" spans="1:33" x14ac:dyDescent="0.45">
      <c r="B241" s="21" t="s">
        <v>35</v>
      </c>
      <c r="C241" s="28">
        <f ca="1">IFERROR(SUMIFS(Energy[2021_TWh],Energy[[Sector]:[Sector]],$A$238, Energy[[Fuel_category]:[Fuel_category]],$B241),"")</f>
        <v>0</v>
      </c>
      <c r="D241" s="28">
        <f ca="1">IFERROR(SUMIFS(Energy[2022_TWh],Energy[[Sector]:[Sector]],$A$238, Energy[[Fuel_category]:[Fuel_category]],$B241),"")</f>
        <v>0</v>
      </c>
      <c r="E241" s="28">
        <f ca="1">IFERROR(SUMIFS(Energy[2023_TWh],Energy[[Sector]:[Sector]],$A$238, Energy[[Fuel_category]:[Fuel_category]],$B241),"")</f>
        <v>0</v>
      </c>
      <c r="F241" s="28">
        <f ca="1">IFERROR(SUMIFS(Energy[2024_TWh],Energy[[Sector]:[Sector]],$A$238, Energy[[Fuel_category]:[Fuel_category]],$B241),"")</f>
        <v>0</v>
      </c>
      <c r="G241" s="28">
        <f ca="1">IFERROR(SUMIFS(Energy[2025_TWh],Energy[[Sector]:[Sector]],$A$238, Energy[[Fuel_category]:[Fuel_category]],$B241),"")</f>
        <v>0</v>
      </c>
      <c r="H241" s="28">
        <f ca="1">IFERROR(SUMIFS(Energy[2026_TWh],Energy[[Sector]:[Sector]],$A$238, Energy[[Fuel_category]:[Fuel_category]],$B241),"")</f>
        <v>0</v>
      </c>
      <c r="I241" s="28">
        <f ca="1">IFERROR(SUMIFS(Energy[2027_TWh],Energy[[Sector]:[Sector]],$A$238, Energy[[Fuel_category]:[Fuel_category]],$B241),"")</f>
        <v>0</v>
      </c>
      <c r="J241" s="28">
        <f ca="1">IFERROR(SUMIFS(Energy[2028_TWh],Energy[[Sector]:[Sector]],$A$238, Energy[[Fuel_category]:[Fuel_category]],$B241),"")</f>
        <v>0</v>
      </c>
      <c r="K241" s="28">
        <f ca="1">IFERROR(SUMIFS(Energy[2029_TWh],Energy[[Sector]:[Sector]],$A$238, Energy[[Fuel_category]:[Fuel_category]],$B241),"")</f>
        <v>0</v>
      </c>
      <c r="L241" s="28">
        <f ca="1">IFERROR(SUMIFS(Energy[2030_TWh],Energy[[Sector]:[Sector]],$A$238, Energy[[Fuel_category]:[Fuel_category]],$B241),"")</f>
        <v>0</v>
      </c>
      <c r="M241" s="28">
        <f ca="1">IFERROR(SUMIFS(Energy[2031_TWh],Energy[[Sector]:[Sector]],$A$238, Energy[[Fuel_category]:[Fuel_category]],$B241),"")</f>
        <v>0</v>
      </c>
      <c r="N241" s="28">
        <f ca="1">IFERROR(SUMIFS(Energy[2032_TWh],Energy[[Sector]:[Sector]],$A$238, Energy[[Fuel_category]:[Fuel_category]],$B241),"")</f>
        <v>0</v>
      </c>
      <c r="O241" s="28">
        <f ca="1">IFERROR(SUMIFS(Energy[2033_TWh],Energy[[Sector]:[Sector]],$A$238, Energy[[Fuel_category]:[Fuel_category]],$B241),"")</f>
        <v>0</v>
      </c>
      <c r="P241" s="28">
        <f ca="1">IFERROR(SUMIFS(Energy[2034_TWh],Energy[[Sector]:[Sector]],$A$238, Energy[[Fuel_category]:[Fuel_category]],$B241),"")</f>
        <v>0</v>
      </c>
      <c r="Q241" s="28">
        <f ca="1">IFERROR(SUMIFS(Energy[2035_TWh],Energy[[Sector]:[Sector]],$A$238, Energy[[Fuel_category]:[Fuel_category]],$B241),"")</f>
        <v>0</v>
      </c>
      <c r="R241" s="28">
        <f ca="1">IFERROR(SUMIFS(Energy[2036_TWh],Energy[[Sector]:[Sector]],$A$238, Energy[[Fuel_category]:[Fuel_category]],$B241),"")</f>
        <v>0</v>
      </c>
      <c r="S241" s="28">
        <f ca="1">IFERROR(SUMIFS(Energy[2037_TWh],Energy[[Sector]:[Sector]],$A$238, Energy[[Fuel_category]:[Fuel_category]],$B241),"")</f>
        <v>0</v>
      </c>
      <c r="T241" s="28">
        <f ca="1">IFERROR(SUMIFS(Energy[2038_TWh],Energy[[Sector]:[Sector]],$A$238, Energy[[Fuel_category]:[Fuel_category]],$B241),"")</f>
        <v>0</v>
      </c>
      <c r="U241" s="28">
        <f ca="1">IFERROR(SUMIFS(Energy[2039_TWh],Energy[[Sector]:[Sector]],$A$238, Energy[[Fuel_category]:[Fuel_category]],$B241),"")</f>
        <v>0</v>
      </c>
      <c r="V241" s="28">
        <f ca="1">IFERROR(SUMIFS(Energy[2040_TWh],Energy[[Sector]:[Sector]],$A$238, Energy[[Fuel_category]:[Fuel_category]],$B241),"")</f>
        <v>0</v>
      </c>
      <c r="W241" s="28">
        <f ca="1">IFERROR(SUMIFS(Energy[2041_TWh],Energy[[Sector]:[Sector]],$A$238, Energy[[Fuel_category]:[Fuel_category]],$B241),"")</f>
        <v>0</v>
      </c>
      <c r="X241" s="28">
        <f ca="1">IFERROR(SUMIFS(Energy[2042_TWh],Energy[[Sector]:[Sector]],$A$238, Energy[[Fuel_category]:[Fuel_category]],$B241),"")</f>
        <v>0</v>
      </c>
      <c r="Y241" s="28">
        <f ca="1">IFERROR(SUMIFS(Energy[2043_TWh],Energy[[Sector]:[Sector]],$A$238, Energy[[Fuel_category]:[Fuel_category]],$B241),"")</f>
        <v>0</v>
      </c>
      <c r="Z241" s="28">
        <f ca="1">IFERROR(SUMIFS(Energy[2044_TWh],Energy[[Sector]:[Sector]],$A$238, Energy[[Fuel_category]:[Fuel_category]],$B241),"")</f>
        <v>0</v>
      </c>
      <c r="AA241" s="28">
        <f ca="1">IFERROR(SUMIFS(Energy[2045_TWh],Energy[[Sector]:[Sector]],$A$238, Energy[[Fuel_category]:[Fuel_category]],$B241),"")</f>
        <v>0</v>
      </c>
      <c r="AB241" s="28">
        <f ca="1">IFERROR(SUMIFS(Energy[2046_TWh],Energy[[Sector]:[Sector]],$A$238, Energy[[Fuel_category]:[Fuel_category]],$B241),"")</f>
        <v>0</v>
      </c>
      <c r="AC241" s="28">
        <f ca="1">IFERROR(SUMIFS(Energy[2047_TWh],Energy[[Sector]:[Sector]],$A$238, Energy[[Fuel_category]:[Fuel_category]],$B241),"")</f>
        <v>0</v>
      </c>
      <c r="AD241" s="28">
        <f ca="1">IFERROR(SUMIFS(Energy[2048_TWh],Energy[[Sector]:[Sector]],$A$238, Energy[[Fuel_category]:[Fuel_category]],$B241),"")</f>
        <v>0</v>
      </c>
      <c r="AE241" s="28">
        <f ca="1">IFERROR(SUMIFS(Energy[2049_TWh],Energy[[Sector]:[Sector]],$A$238, Energy[[Fuel_category]:[Fuel_category]],$B241),"")</f>
        <v>0</v>
      </c>
      <c r="AF241" s="28">
        <f ca="1">IFERROR(SUMIFS(Energy[2050_TWh],Energy[[Sector]:[Sector]],$A$238, Energy[[Fuel_category]:[Fuel_category]],$B241),"")</f>
        <v>0</v>
      </c>
      <c r="AG241" s="28">
        <f ca="1">IFERROR(SUMIFS(Energy[2051_TWh],Energy[[Sector]:[Sector]],$A$238, Energy[[Fuel_category]:[Fuel_category]],$B241),"")</f>
        <v>0</v>
      </c>
    </row>
    <row r="242" spans="1:33" x14ac:dyDescent="0.45">
      <c r="B242" s="21" t="s">
        <v>26</v>
      </c>
      <c r="C242" s="28">
        <f ca="1">IFERROR(SUMIFS(Energy[2021_TWh],Energy[[Sector]:[Sector]],$A$238, Energy[[Fuel_category]:[Fuel_category]],$B242),"")</f>
        <v>0</v>
      </c>
      <c r="D242" s="28">
        <f ca="1">IFERROR(SUMIFS(Energy[2022_TWh],Energy[[Sector]:[Sector]],$A$238, Energy[[Fuel_category]:[Fuel_category]],$B242),"")</f>
        <v>0</v>
      </c>
      <c r="E242" s="28">
        <f ca="1">IFERROR(SUMIFS(Energy[2023_TWh],Energy[[Sector]:[Sector]],$A$238, Energy[[Fuel_category]:[Fuel_category]],$B242),"")</f>
        <v>0</v>
      </c>
      <c r="F242" s="28">
        <f ca="1">IFERROR(SUMIFS(Energy[2024_TWh],Energy[[Sector]:[Sector]],$A$238, Energy[[Fuel_category]:[Fuel_category]],$B242),"")</f>
        <v>0</v>
      </c>
      <c r="G242" s="28">
        <f ca="1">IFERROR(SUMIFS(Energy[2025_TWh],Energy[[Sector]:[Sector]],$A$238, Energy[[Fuel_category]:[Fuel_category]],$B242),"")</f>
        <v>0</v>
      </c>
      <c r="H242" s="28">
        <f ca="1">IFERROR(SUMIFS(Energy[2026_TWh],Energy[[Sector]:[Sector]],$A$238, Energy[[Fuel_category]:[Fuel_category]],$B242),"")</f>
        <v>0</v>
      </c>
      <c r="I242" s="28">
        <f ca="1">IFERROR(SUMIFS(Energy[2027_TWh],Energy[[Sector]:[Sector]],$A$238, Energy[[Fuel_category]:[Fuel_category]],$B242),"")</f>
        <v>0</v>
      </c>
      <c r="J242" s="28">
        <f ca="1">IFERROR(SUMIFS(Energy[2028_TWh],Energy[[Sector]:[Sector]],$A$238, Energy[[Fuel_category]:[Fuel_category]],$B242),"")</f>
        <v>0</v>
      </c>
      <c r="K242" s="28">
        <f ca="1">IFERROR(SUMIFS(Energy[2029_TWh],Energy[[Sector]:[Sector]],$A$238, Energy[[Fuel_category]:[Fuel_category]],$B242),"")</f>
        <v>0</v>
      </c>
      <c r="L242" s="28">
        <f ca="1">IFERROR(SUMIFS(Energy[2030_TWh],Energy[[Sector]:[Sector]],$A$238, Energy[[Fuel_category]:[Fuel_category]],$B242),"")</f>
        <v>0</v>
      </c>
      <c r="M242" s="28">
        <f ca="1">IFERROR(SUMIFS(Energy[2031_TWh],Energy[[Sector]:[Sector]],$A$238, Energy[[Fuel_category]:[Fuel_category]],$B242),"")</f>
        <v>0</v>
      </c>
      <c r="N242" s="28">
        <f ca="1">IFERROR(SUMIFS(Energy[2032_TWh],Energy[[Sector]:[Sector]],$A$238, Energy[[Fuel_category]:[Fuel_category]],$B242),"")</f>
        <v>0</v>
      </c>
      <c r="O242" s="28">
        <f ca="1">IFERROR(SUMIFS(Energy[2033_TWh],Energy[[Sector]:[Sector]],$A$238, Energy[[Fuel_category]:[Fuel_category]],$B242),"")</f>
        <v>0</v>
      </c>
      <c r="P242" s="28">
        <f ca="1">IFERROR(SUMIFS(Energy[2034_TWh],Energy[[Sector]:[Sector]],$A$238, Energy[[Fuel_category]:[Fuel_category]],$B242),"")</f>
        <v>0</v>
      </c>
      <c r="Q242" s="28">
        <f ca="1">IFERROR(SUMIFS(Energy[2035_TWh],Energy[[Sector]:[Sector]],$A$238, Energy[[Fuel_category]:[Fuel_category]],$B242),"")</f>
        <v>0</v>
      </c>
      <c r="R242" s="28">
        <f ca="1">IFERROR(SUMIFS(Energy[2036_TWh],Energy[[Sector]:[Sector]],$A$238, Energy[[Fuel_category]:[Fuel_category]],$B242),"")</f>
        <v>0</v>
      </c>
      <c r="S242" s="28">
        <f ca="1">IFERROR(SUMIFS(Energy[2037_TWh],Energy[[Sector]:[Sector]],$A$238, Energy[[Fuel_category]:[Fuel_category]],$B242),"")</f>
        <v>0</v>
      </c>
      <c r="T242" s="28">
        <f ca="1">IFERROR(SUMIFS(Energy[2038_TWh],Energy[[Sector]:[Sector]],$A$238, Energy[[Fuel_category]:[Fuel_category]],$B242),"")</f>
        <v>0</v>
      </c>
      <c r="U242" s="28">
        <f ca="1">IFERROR(SUMIFS(Energy[2039_TWh],Energy[[Sector]:[Sector]],$A$238, Energy[[Fuel_category]:[Fuel_category]],$B242),"")</f>
        <v>0</v>
      </c>
      <c r="V242" s="28">
        <f ca="1">IFERROR(SUMIFS(Energy[2040_TWh],Energy[[Sector]:[Sector]],$A$238, Energy[[Fuel_category]:[Fuel_category]],$B242),"")</f>
        <v>0</v>
      </c>
      <c r="W242" s="28">
        <f ca="1">IFERROR(SUMIFS(Energy[2041_TWh],Energy[[Sector]:[Sector]],$A$238, Energy[[Fuel_category]:[Fuel_category]],$B242),"")</f>
        <v>0</v>
      </c>
      <c r="X242" s="28">
        <f ca="1">IFERROR(SUMIFS(Energy[2042_TWh],Energy[[Sector]:[Sector]],$A$238, Energy[[Fuel_category]:[Fuel_category]],$B242),"")</f>
        <v>0</v>
      </c>
      <c r="Y242" s="28">
        <f ca="1">IFERROR(SUMIFS(Energy[2043_TWh],Energy[[Sector]:[Sector]],$A$238, Energy[[Fuel_category]:[Fuel_category]],$B242),"")</f>
        <v>0</v>
      </c>
      <c r="Z242" s="28">
        <f ca="1">IFERROR(SUMIFS(Energy[2044_TWh],Energy[[Sector]:[Sector]],$A$238, Energy[[Fuel_category]:[Fuel_category]],$B242),"")</f>
        <v>0</v>
      </c>
      <c r="AA242" s="28">
        <f ca="1">IFERROR(SUMIFS(Energy[2045_TWh],Energy[[Sector]:[Sector]],$A$238, Energy[[Fuel_category]:[Fuel_category]],$B242),"")</f>
        <v>0</v>
      </c>
      <c r="AB242" s="28">
        <f ca="1">IFERROR(SUMIFS(Energy[2046_TWh],Energy[[Sector]:[Sector]],$A$238, Energy[[Fuel_category]:[Fuel_category]],$B242),"")</f>
        <v>0</v>
      </c>
      <c r="AC242" s="28">
        <f ca="1">IFERROR(SUMIFS(Energy[2047_TWh],Energy[[Sector]:[Sector]],$A$238, Energy[[Fuel_category]:[Fuel_category]],$B242),"")</f>
        <v>0</v>
      </c>
      <c r="AD242" s="28">
        <f ca="1">IFERROR(SUMIFS(Energy[2048_TWh],Energy[[Sector]:[Sector]],$A$238, Energy[[Fuel_category]:[Fuel_category]],$B242),"")</f>
        <v>0</v>
      </c>
      <c r="AE242" s="28">
        <f ca="1">IFERROR(SUMIFS(Energy[2049_TWh],Energy[[Sector]:[Sector]],$A$238, Energy[[Fuel_category]:[Fuel_category]],$B242),"")</f>
        <v>0</v>
      </c>
      <c r="AF242" s="28">
        <f ca="1">IFERROR(SUMIFS(Energy[2050_TWh],Energy[[Sector]:[Sector]],$A$238, Energy[[Fuel_category]:[Fuel_category]],$B242),"")</f>
        <v>0</v>
      </c>
      <c r="AG242" s="28">
        <f ca="1">IFERROR(SUMIFS(Energy[2051_TWh],Energy[[Sector]:[Sector]],$A$238, Energy[[Fuel_category]:[Fuel_category]],$B242),"")</f>
        <v>0</v>
      </c>
    </row>
    <row r="243" spans="1:33" x14ac:dyDescent="0.45">
      <c r="B243" s="21" t="s">
        <v>113</v>
      </c>
      <c r="C243" s="28">
        <f ca="1">IFERROR(SUMIFS(Energy[2021_TWh],Energy[[Sector]:[Sector]],$A$238, Energy[[Fuel_category]:[Fuel_category]],$B243),"")</f>
        <v>0</v>
      </c>
      <c r="D243" s="28">
        <f ca="1">IFERROR(SUMIFS(Energy[2022_TWh],Energy[[Sector]:[Sector]],$A$238, Energy[[Fuel_category]:[Fuel_category]],$B243),"")</f>
        <v>0</v>
      </c>
      <c r="E243" s="28">
        <f ca="1">IFERROR(SUMIFS(Energy[2023_TWh],Energy[[Sector]:[Sector]],$A$238, Energy[[Fuel_category]:[Fuel_category]],$B243),"")</f>
        <v>0</v>
      </c>
      <c r="F243" s="28">
        <f ca="1">IFERROR(SUMIFS(Energy[2024_TWh],Energy[[Sector]:[Sector]],$A$238, Energy[[Fuel_category]:[Fuel_category]],$B243),"")</f>
        <v>0</v>
      </c>
      <c r="G243" s="28">
        <f ca="1">IFERROR(SUMIFS(Energy[2025_TWh],Energy[[Sector]:[Sector]],$A$238, Energy[[Fuel_category]:[Fuel_category]],$B243),"")</f>
        <v>0</v>
      </c>
      <c r="H243" s="28">
        <f ca="1">IFERROR(SUMIFS(Energy[2026_TWh],Energy[[Sector]:[Sector]],$A$238, Energy[[Fuel_category]:[Fuel_category]],$B243),"")</f>
        <v>0</v>
      </c>
      <c r="I243" s="28">
        <f ca="1">IFERROR(SUMIFS(Energy[2027_TWh],Energy[[Sector]:[Sector]],$A$238, Energy[[Fuel_category]:[Fuel_category]],$B243),"")</f>
        <v>0</v>
      </c>
      <c r="J243" s="28">
        <f ca="1">IFERROR(SUMIFS(Energy[2028_TWh],Energy[[Sector]:[Sector]],$A$238, Energy[[Fuel_category]:[Fuel_category]],$B243),"")</f>
        <v>0</v>
      </c>
      <c r="K243" s="28">
        <f ca="1">IFERROR(SUMIFS(Energy[2029_TWh],Energy[[Sector]:[Sector]],$A$238, Energy[[Fuel_category]:[Fuel_category]],$B243),"")</f>
        <v>0</v>
      </c>
      <c r="L243" s="28">
        <f ca="1">IFERROR(SUMIFS(Energy[2030_TWh],Energy[[Sector]:[Sector]],$A$238, Energy[[Fuel_category]:[Fuel_category]],$B243),"")</f>
        <v>0</v>
      </c>
      <c r="M243" s="28">
        <f ca="1">IFERROR(SUMIFS(Energy[2031_TWh],Energy[[Sector]:[Sector]],$A$238, Energy[[Fuel_category]:[Fuel_category]],$B243),"")</f>
        <v>0</v>
      </c>
      <c r="N243" s="28">
        <f ca="1">IFERROR(SUMIFS(Energy[2032_TWh],Energy[[Sector]:[Sector]],$A$238, Energy[[Fuel_category]:[Fuel_category]],$B243),"")</f>
        <v>0</v>
      </c>
      <c r="O243" s="28">
        <f ca="1">IFERROR(SUMIFS(Energy[2033_TWh],Energy[[Sector]:[Sector]],$A$238, Energy[[Fuel_category]:[Fuel_category]],$B243),"")</f>
        <v>0</v>
      </c>
      <c r="P243" s="28">
        <f ca="1">IFERROR(SUMIFS(Energy[2034_TWh],Energy[[Sector]:[Sector]],$A$238, Energy[[Fuel_category]:[Fuel_category]],$B243),"")</f>
        <v>0</v>
      </c>
      <c r="Q243" s="28">
        <f ca="1">IFERROR(SUMIFS(Energy[2035_TWh],Energy[[Sector]:[Sector]],$A$238, Energy[[Fuel_category]:[Fuel_category]],$B243),"")</f>
        <v>0</v>
      </c>
      <c r="R243" s="28">
        <f ca="1">IFERROR(SUMIFS(Energy[2036_TWh],Energy[[Sector]:[Sector]],$A$238, Energy[[Fuel_category]:[Fuel_category]],$B243),"")</f>
        <v>0</v>
      </c>
      <c r="S243" s="28">
        <f ca="1">IFERROR(SUMIFS(Energy[2037_TWh],Energy[[Sector]:[Sector]],$A$238, Energy[[Fuel_category]:[Fuel_category]],$B243),"")</f>
        <v>0</v>
      </c>
      <c r="T243" s="28">
        <f ca="1">IFERROR(SUMIFS(Energy[2038_TWh],Energy[[Sector]:[Sector]],$A$238, Energy[[Fuel_category]:[Fuel_category]],$B243),"")</f>
        <v>0</v>
      </c>
      <c r="U243" s="28">
        <f ca="1">IFERROR(SUMIFS(Energy[2039_TWh],Energy[[Sector]:[Sector]],$A$238, Energy[[Fuel_category]:[Fuel_category]],$B243),"")</f>
        <v>0</v>
      </c>
      <c r="V243" s="28">
        <f ca="1">IFERROR(SUMIFS(Energy[2040_TWh],Energy[[Sector]:[Sector]],$A$238, Energy[[Fuel_category]:[Fuel_category]],$B243),"")</f>
        <v>0</v>
      </c>
      <c r="W243" s="28">
        <f ca="1">IFERROR(SUMIFS(Energy[2041_TWh],Energy[[Sector]:[Sector]],$A$238, Energy[[Fuel_category]:[Fuel_category]],$B243),"")</f>
        <v>0</v>
      </c>
      <c r="X243" s="28">
        <f ca="1">IFERROR(SUMIFS(Energy[2042_TWh],Energy[[Sector]:[Sector]],$A$238, Energy[[Fuel_category]:[Fuel_category]],$B243),"")</f>
        <v>0</v>
      </c>
      <c r="Y243" s="28">
        <f ca="1">IFERROR(SUMIFS(Energy[2043_TWh],Energy[[Sector]:[Sector]],$A$238, Energy[[Fuel_category]:[Fuel_category]],$B243),"")</f>
        <v>0</v>
      </c>
      <c r="Z243" s="28">
        <f ca="1">IFERROR(SUMIFS(Energy[2044_TWh],Energy[[Sector]:[Sector]],$A$238, Energy[[Fuel_category]:[Fuel_category]],$B243),"")</f>
        <v>0</v>
      </c>
      <c r="AA243" s="28">
        <f ca="1">IFERROR(SUMIFS(Energy[2045_TWh],Energy[[Sector]:[Sector]],$A$238, Energy[[Fuel_category]:[Fuel_category]],$B243),"")</f>
        <v>0</v>
      </c>
      <c r="AB243" s="28">
        <f ca="1">IFERROR(SUMIFS(Energy[2046_TWh],Energy[[Sector]:[Sector]],$A$238, Energy[[Fuel_category]:[Fuel_category]],$B243),"")</f>
        <v>0</v>
      </c>
      <c r="AC243" s="28">
        <f ca="1">IFERROR(SUMIFS(Energy[2047_TWh],Energy[[Sector]:[Sector]],$A$238, Energy[[Fuel_category]:[Fuel_category]],$B243),"")</f>
        <v>0</v>
      </c>
      <c r="AD243" s="28">
        <f ca="1">IFERROR(SUMIFS(Energy[2048_TWh],Energy[[Sector]:[Sector]],$A$238, Energy[[Fuel_category]:[Fuel_category]],$B243),"")</f>
        <v>0</v>
      </c>
      <c r="AE243" s="28">
        <f ca="1">IFERROR(SUMIFS(Energy[2049_TWh],Energy[[Sector]:[Sector]],$A$238, Energy[[Fuel_category]:[Fuel_category]],$B243),"")</f>
        <v>0</v>
      </c>
      <c r="AF243" s="28">
        <f ca="1">IFERROR(SUMIFS(Energy[2050_TWh],Energy[[Sector]:[Sector]],$A$238, Energy[[Fuel_category]:[Fuel_category]],$B243),"")</f>
        <v>0</v>
      </c>
      <c r="AG243" s="28">
        <f ca="1">IFERROR(SUMIFS(Energy[2051_TWh],Energy[[Sector]:[Sector]],$A$238, Energy[[Fuel_category]:[Fuel_category]],$B243),"")</f>
        <v>0</v>
      </c>
    </row>
    <row r="244" spans="1:33" x14ac:dyDescent="0.45">
      <c r="B244" s="21" t="s">
        <v>111</v>
      </c>
      <c r="C244" s="28">
        <f ca="1">IFERROR(SUMIFS(Energy[2021_TWh],Energy[[Sector]:[Sector]],$A$238, Energy[[Fuel_category]:[Fuel_category]],$B244),"")</f>
        <v>0</v>
      </c>
      <c r="D244" s="28">
        <f ca="1">IFERROR(SUMIFS(Energy[2022_TWh],Energy[[Sector]:[Sector]],$A$238, Energy[[Fuel_category]:[Fuel_category]],$B244),"")</f>
        <v>0</v>
      </c>
      <c r="E244" s="28">
        <f ca="1">IFERROR(SUMIFS(Energy[2023_TWh],Energy[[Sector]:[Sector]],$A$238, Energy[[Fuel_category]:[Fuel_category]],$B244),"")</f>
        <v>0</v>
      </c>
      <c r="F244" s="28">
        <f ca="1">IFERROR(SUMIFS(Energy[2024_TWh],Energy[[Sector]:[Sector]],$A$238, Energy[[Fuel_category]:[Fuel_category]],$B244),"")</f>
        <v>0</v>
      </c>
      <c r="G244" s="28">
        <f ca="1">IFERROR(SUMIFS(Energy[2025_TWh],Energy[[Sector]:[Sector]],$A$238, Energy[[Fuel_category]:[Fuel_category]],$B244),"")</f>
        <v>0</v>
      </c>
      <c r="H244" s="28">
        <f ca="1">IFERROR(SUMIFS(Energy[2026_TWh],Energy[[Sector]:[Sector]],$A$238, Energy[[Fuel_category]:[Fuel_category]],$B244),"")</f>
        <v>0</v>
      </c>
      <c r="I244" s="28">
        <f ca="1">IFERROR(SUMIFS(Energy[2027_TWh],Energy[[Sector]:[Sector]],$A$238, Energy[[Fuel_category]:[Fuel_category]],$B244),"")</f>
        <v>0</v>
      </c>
      <c r="J244" s="28">
        <f ca="1">IFERROR(SUMIFS(Energy[2028_TWh],Energy[[Sector]:[Sector]],$A$238, Energy[[Fuel_category]:[Fuel_category]],$B244),"")</f>
        <v>0</v>
      </c>
      <c r="K244" s="28">
        <f ca="1">IFERROR(SUMIFS(Energy[2029_TWh],Energy[[Sector]:[Sector]],$A$238, Energy[[Fuel_category]:[Fuel_category]],$B244),"")</f>
        <v>0</v>
      </c>
      <c r="L244" s="28">
        <f ca="1">IFERROR(SUMIFS(Energy[2030_TWh],Energy[[Sector]:[Sector]],$A$238, Energy[[Fuel_category]:[Fuel_category]],$B244),"")</f>
        <v>0</v>
      </c>
      <c r="M244" s="28">
        <f ca="1">IFERROR(SUMIFS(Energy[2031_TWh],Energy[[Sector]:[Sector]],$A$238, Energy[[Fuel_category]:[Fuel_category]],$B244),"")</f>
        <v>0</v>
      </c>
      <c r="N244" s="28">
        <f ca="1">IFERROR(SUMIFS(Energy[2032_TWh],Energy[[Sector]:[Sector]],$A$238, Energy[[Fuel_category]:[Fuel_category]],$B244),"")</f>
        <v>0</v>
      </c>
      <c r="O244" s="28">
        <f ca="1">IFERROR(SUMIFS(Energy[2033_TWh],Energy[[Sector]:[Sector]],$A$238, Energy[[Fuel_category]:[Fuel_category]],$B244),"")</f>
        <v>0</v>
      </c>
      <c r="P244" s="28">
        <f ca="1">IFERROR(SUMIFS(Energy[2034_TWh],Energy[[Sector]:[Sector]],$A$238, Energy[[Fuel_category]:[Fuel_category]],$B244),"")</f>
        <v>0</v>
      </c>
      <c r="Q244" s="28">
        <f ca="1">IFERROR(SUMIFS(Energy[2035_TWh],Energy[[Sector]:[Sector]],$A$238, Energy[[Fuel_category]:[Fuel_category]],$B244),"")</f>
        <v>0</v>
      </c>
      <c r="R244" s="28">
        <f ca="1">IFERROR(SUMIFS(Energy[2036_TWh],Energy[[Sector]:[Sector]],$A$238, Energy[[Fuel_category]:[Fuel_category]],$B244),"")</f>
        <v>0</v>
      </c>
      <c r="S244" s="28">
        <f ca="1">IFERROR(SUMIFS(Energy[2037_TWh],Energy[[Sector]:[Sector]],$A$238, Energy[[Fuel_category]:[Fuel_category]],$B244),"")</f>
        <v>0</v>
      </c>
      <c r="T244" s="28">
        <f ca="1">IFERROR(SUMIFS(Energy[2038_TWh],Energy[[Sector]:[Sector]],$A$238, Energy[[Fuel_category]:[Fuel_category]],$B244),"")</f>
        <v>0</v>
      </c>
      <c r="U244" s="28">
        <f ca="1">IFERROR(SUMIFS(Energy[2039_TWh],Energy[[Sector]:[Sector]],$A$238, Energy[[Fuel_category]:[Fuel_category]],$B244),"")</f>
        <v>0</v>
      </c>
      <c r="V244" s="28">
        <f ca="1">IFERROR(SUMIFS(Energy[2040_TWh],Energy[[Sector]:[Sector]],$A$238, Energy[[Fuel_category]:[Fuel_category]],$B244),"")</f>
        <v>0</v>
      </c>
      <c r="W244" s="28">
        <f ca="1">IFERROR(SUMIFS(Energy[2041_TWh],Energy[[Sector]:[Sector]],$A$238, Energy[[Fuel_category]:[Fuel_category]],$B244),"")</f>
        <v>0</v>
      </c>
      <c r="X244" s="28">
        <f ca="1">IFERROR(SUMIFS(Energy[2042_TWh],Energy[[Sector]:[Sector]],$A$238, Energy[[Fuel_category]:[Fuel_category]],$B244),"")</f>
        <v>0</v>
      </c>
      <c r="Y244" s="28">
        <f ca="1">IFERROR(SUMIFS(Energy[2043_TWh],Energy[[Sector]:[Sector]],$A$238, Energy[[Fuel_category]:[Fuel_category]],$B244),"")</f>
        <v>0</v>
      </c>
      <c r="Z244" s="28">
        <f ca="1">IFERROR(SUMIFS(Energy[2044_TWh],Energy[[Sector]:[Sector]],$A$238, Energy[[Fuel_category]:[Fuel_category]],$B244),"")</f>
        <v>0</v>
      </c>
      <c r="AA244" s="28">
        <f ca="1">IFERROR(SUMIFS(Energy[2045_TWh],Energy[[Sector]:[Sector]],$A$238, Energy[[Fuel_category]:[Fuel_category]],$B244),"")</f>
        <v>0</v>
      </c>
      <c r="AB244" s="28">
        <f ca="1">IFERROR(SUMIFS(Energy[2046_TWh],Energy[[Sector]:[Sector]],$A$238, Energy[[Fuel_category]:[Fuel_category]],$B244),"")</f>
        <v>0</v>
      </c>
      <c r="AC244" s="28">
        <f ca="1">IFERROR(SUMIFS(Energy[2047_TWh],Energy[[Sector]:[Sector]],$A$238, Energy[[Fuel_category]:[Fuel_category]],$B244),"")</f>
        <v>0</v>
      </c>
      <c r="AD244" s="28">
        <f ca="1">IFERROR(SUMIFS(Energy[2048_TWh],Energy[[Sector]:[Sector]],$A$238, Energy[[Fuel_category]:[Fuel_category]],$B244),"")</f>
        <v>0</v>
      </c>
      <c r="AE244" s="28">
        <f ca="1">IFERROR(SUMIFS(Energy[2049_TWh],Energy[[Sector]:[Sector]],$A$238, Energy[[Fuel_category]:[Fuel_category]],$B244),"")</f>
        <v>0</v>
      </c>
      <c r="AF244" s="28">
        <f ca="1">IFERROR(SUMIFS(Energy[2050_TWh],Energy[[Sector]:[Sector]],$A$238, Energy[[Fuel_category]:[Fuel_category]],$B244),"")</f>
        <v>0</v>
      </c>
      <c r="AG244" s="28">
        <f ca="1">IFERROR(SUMIFS(Energy[2051_TWh],Energy[[Sector]:[Sector]],$A$238, Energy[[Fuel_category]:[Fuel_category]],$B244),"")</f>
        <v>0</v>
      </c>
    </row>
    <row r="245" spans="1:33" ht="14.65" thickBot="1" x14ac:dyDescent="0.5">
      <c r="B245" s="29" t="s">
        <v>124</v>
      </c>
      <c r="C245" s="31">
        <f ca="1">IF(C154&lt;&gt;"",SUM(C238:C243),"")</f>
        <v>0</v>
      </c>
      <c r="D245" s="31">
        <f t="shared" ref="D245:AF245" ca="1" si="50">IF(D154&lt;&gt;"",SUM(D238:D243),"")</f>
        <v>0</v>
      </c>
      <c r="E245" s="31">
        <f t="shared" ca="1" si="50"/>
        <v>0</v>
      </c>
      <c r="F245" s="31">
        <f t="shared" ca="1" si="50"/>
        <v>0</v>
      </c>
      <c r="G245" s="31">
        <f t="shared" ca="1" si="50"/>
        <v>0</v>
      </c>
      <c r="H245" s="31">
        <f t="shared" ca="1" si="50"/>
        <v>0</v>
      </c>
      <c r="I245" s="31">
        <f t="shared" ca="1" si="50"/>
        <v>0</v>
      </c>
      <c r="J245" s="31">
        <f t="shared" ca="1" si="50"/>
        <v>0</v>
      </c>
      <c r="K245" s="31">
        <f t="shared" ca="1" si="50"/>
        <v>0</v>
      </c>
      <c r="L245" s="31">
        <f t="shared" ca="1" si="50"/>
        <v>0</v>
      </c>
      <c r="M245" s="31">
        <f t="shared" ca="1" si="50"/>
        <v>0</v>
      </c>
      <c r="N245" s="31">
        <f t="shared" ca="1" si="50"/>
        <v>0</v>
      </c>
      <c r="O245" s="31">
        <f t="shared" ca="1" si="50"/>
        <v>0</v>
      </c>
      <c r="P245" s="31">
        <f t="shared" ca="1" si="50"/>
        <v>0</v>
      </c>
      <c r="Q245" s="31">
        <f t="shared" ca="1" si="50"/>
        <v>0</v>
      </c>
      <c r="R245" s="31">
        <f t="shared" ca="1" si="50"/>
        <v>0</v>
      </c>
      <c r="S245" s="31">
        <f t="shared" ca="1" si="50"/>
        <v>0</v>
      </c>
      <c r="T245" s="31">
        <f t="shared" ca="1" si="50"/>
        <v>0</v>
      </c>
      <c r="U245" s="31">
        <f t="shared" ca="1" si="50"/>
        <v>0</v>
      </c>
      <c r="V245" s="31">
        <f t="shared" ca="1" si="50"/>
        <v>0</v>
      </c>
      <c r="W245" s="31">
        <f t="shared" ca="1" si="50"/>
        <v>0</v>
      </c>
      <c r="X245" s="31">
        <f t="shared" ca="1" si="50"/>
        <v>0</v>
      </c>
      <c r="Y245" s="31">
        <f t="shared" ca="1" si="50"/>
        <v>0</v>
      </c>
      <c r="Z245" s="31">
        <f t="shared" ca="1" si="50"/>
        <v>0</v>
      </c>
      <c r="AA245" s="31">
        <f t="shared" ca="1" si="50"/>
        <v>0</v>
      </c>
      <c r="AB245" s="31">
        <f t="shared" ca="1" si="50"/>
        <v>0</v>
      </c>
      <c r="AC245" s="31">
        <f t="shared" ca="1" si="50"/>
        <v>0</v>
      </c>
      <c r="AD245" s="31">
        <f t="shared" ca="1" si="50"/>
        <v>0</v>
      </c>
      <c r="AE245" s="31">
        <f t="shared" ca="1" si="50"/>
        <v>0</v>
      </c>
      <c r="AF245" s="31">
        <f t="shared" ca="1" si="50"/>
        <v>0</v>
      </c>
      <c r="AG245" s="31">
        <f t="shared" ref="AG245" ca="1" si="51">IF(AG154&lt;&gt;"",SUM(AG238:AG243),"")</f>
        <v>0</v>
      </c>
    </row>
    <row r="246" spans="1:33" ht="14.65" thickTop="1" x14ac:dyDescent="0.45"/>
    <row r="247" spans="1:33" x14ac:dyDescent="0.45">
      <c r="C247" s="6">
        <v>2021</v>
      </c>
      <c r="D247" s="6">
        <v>2022</v>
      </c>
      <c r="E247" s="6">
        <v>2023</v>
      </c>
      <c r="F247" s="6">
        <v>2024</v>
      </c>
      <c r="G247" s="6">
        <v>2025</v>
      </c>
      <c r="H247" s="6">
        <v>2026</v>
      </c>
      <c r="I247" s="6">
        <v>2027</v>
      </c>
      <c r="J247" s="6">
        <v>2028</v>
      </c>
      <c r="K247" s="6">
        <v>2029</v>
      </c>
      <c r="L247" s="6">
        <v>2030</v>
      </c>
      <c r="M247" s="6">
        <v>2031</v>
      </c>
      <c r="N247" s="6">
        <v>2032</v>
      </c>
      <c r="O247" s="6">
        <v>2033</v>
      </c>
      <c r="P247" s="6">
        <v>2034</v>
      </c>
      <c r="Q247" s="6">
        <v>2035</v>
      </c>
      <c r="R247" s="6">
        <v>2036</v>
      </c>
      <c r="S247" s="6">
        <v>2037</v>
      </c>
      <c r="T247" s="6">
        <v>2038</v>
      </c>
      <c r="U247" s="6">
        <v>2039</v>
      </c>
      <c r="V247" s="6">
        <v>2040</v>
      </c>
      <c r="W247" s="6">
        <v>2041</v>
      </c>
      <c r="X247" s="6">
        <v>2042</v>
      </c>
      <c r="Y247" s="6">
        <v>2043</v>
      </c>
      <c r="Z247" s="6">
        <v>2044</v>
      </c>
      <c r="AA247" s="6">
        <v>2045</v>
      </c>
      <c r="AB247" s="6">
        <v>2046</v>
      </c>
      <c r="AC247" s="6">
        <v>2047</v>
      </c>
      <c r="AD247" s="6">
        <v>2048</v>
      </c>
      <c r="AE247" s="6">
        <v>2049</v>
      </c>
      <c r="AF247" s="6">
        <v>2050</v>
      </c>
      <c r="AG247" s="6">
        <v>2051</v>
      </c>
    </row>
    <row r="248" spans="1:33" x14ac:dyDescent="0.45">
      <c r="A248" s="60" t="s">
        <v>24</v>
      </c>
      <c r="B248" s="21" t="s">
        <v>82</v>
      </c>
      <c r="C248" s="28">
        <f ca="1">IFERROR(SUMIFS(Energy[2021_TWh],Energy[[Sector]:[Sector]],$A$248, Energy[[Fuel_category]:[Fuel_category]],$B248),"")</f>
        <v>0</v>
      </c>
      <c r="D248" s="28">
        <f ca="1">IFERROR(SUMIFS(Energy[2022_TWh],Energy[[Sector]:[Sector]],$A$248, Energy[[Fuel_category]:[Fuel_category]],$B248),"")</f>
        <v>0</v>
      </c>
      <c r="E248" s="28">
        <f ca="1">IFERROR(SUMIFS(Energy[2023_TWh],Energy[[Sector]:[Sector]],$A$248, Energy[[Fuel_category]:[Fuel_category]],$B248),"")</f>
        <v>0</v>
      </c>
      <c r="F248" s="28">
        <f ca="1">IFERROR(SUMIFS(Energy[2024_TWh],Energy[[Sector]:[Sector]],$A$248, Energy[[Fuel_category]:[Fuel_category]],$B248),"")</f>
        <v>0</v>
      </c>
      <c r="G248" s="28">
        <f ca="1">IFERROR(SUMIFS(Energy[2025_TWh],Energy[[Sector]:[Sector]],$A$248, Energy[[Fuel_category]:[Fuel_category]],$B248),"")</f>
        <v>0</v>
      </c>
      <c r="H248" s="28">
        <f ca="1">IFERROR(SUMIFS(Energy[2026_TWh],Energy[[Sector]:[Sector]],$A$248, Energy[[Fuel_category]:[Fuel_category]],$B248),"")</f>
        <v>0</v>
      </c>
      <c r="I248" s="28">
        <f ca="1">IFERROR(SUMIFS(Energy[2027_TWh],Energy[[Sector]:[Sector]],$A$248, Energy[[Fuel_category]:[Fuel_category]],$B248),"")</f>
        <v>0</v>
      </c>
      <c r="J248" s="28">
        <f ca="1">IFERROR(SUMIFS(Energy[2028_TWh],Energy[[Sector]:[Sector]],$A$248, Energy[[Fuel_category]:[Fuel_category]],$B248),"")</f>
        <v>0</v>
      </c>
      <c r="K248" s="28">
        <f ca="1">IFERROR(SUMIFS(Energy[2029_TWh],Energy[[Sector]:[Sector]],$A$248, Energy[[Fuel_category]:[Fuel_category]],$B248),"")</f>
        <v>0</v>
      </c>
      <c r="L248" s="28">
        <f ca="1">IFERROR(SUMIFS(Energy[2030_TWh],Energy[[Sector]:[Sector]],$A$248, Energy[[Fuel_category]:[Fuel_category]],$B248),"")</f>
        <v>0</v>
      </c>
      <c r="M248" s="28">
        <f ca="1">IFERROR(SUMIFS(Energy[2031_TWh],Energy[[Sector]:[Sector]],$A$248, Energy[[Fuel_category]:[Fuel_category]],$B248),"")</f>
        <v>0</v>
      </c>
      <c r="N248" s="28">
        <f ca="1">IFERROR(SUMIFS(Energy[2032_TWh],Energy[[Sector]:[Sector]],$A$248, Energy[[Fuel_category]:[Fuel_category]],$B248),"")</f>
        <v>0</v>
      </c>
      <c r="O248" s="28">
        <f ca="1">IFERROR(SUMIFS(Energy[2033_TWh],Energy[[Sector]:[Sector]],$A$248, Energy[[Fuel_category]:[Fuel_category]],$B248),"")</f>
        <v>0</v>
      </c>
      <c r="P248" s="28">
        <f ca="1">IFERROR(SUMIFS(Energy[2034_TWh],Energy[[Sector]:[Sector]],$A$248, Energy[[Fuel_category]:[Fuel_category]],$B248),"")</f>
        <v>0</v>
      </c>
      <c r="Q248" s="28">
        <f ca="1">IFERROR(SUMIFS(Energy[2035_TWh],Energy[[Sector]:[Sector]],$A$248, Energy[[Fuel_category]:[Fuel_category]],$B248),"")</f>
        <v>0</v>
      </c>
      <c r="R248" s="28">
        <f ca="1">IFERROR(SUMIFS(Energy[2036_TWh],Energy[[Sector]:[Sector]],$A$248, Energy[[Fuel_category]:[Fuel_category]],$B248),"")</f>
        <v>0</v>
      </c>
      <c r="S248" s="28">
        <f ca="1">IFERROR(SUMIFS(Energy[2037_TWh],Energy[[Sector]:[Sector]],$A$248, Energy[[Fuel_category]:[Fuel_category]],$B248),"")</f>
        <v>0</v>
      </c>
      <c r="T248" s="28">
        <f ca="1">IFERROR(SUMIFS(Energy[2038_TWh],Energy[[Sector]:[Sector]],$A$248, Energy[[Fuel_category]:[Fuel_category]],$B248),"")</f>
        <v>0</v>
      </c>
      <c r="U248" s="28">
        <f ca="1">IFERROR(SUMIFS(Energy[2039_TWh],Energy[[Sector]:[Sector]],$A$248, Energy[[Fuel_category]:[Fuel_category]],$B248),"")</f>
        <v>0</v>
      </c>
      <c r="V248" s="28">
        <f ca="1">IFERROR(SUMIFS(Energy[2040_TWh],Energy[[Sector]:[Sector]],$A$248, Energy[[Fuel_category]:[Fuel_category]],$B248),"")</f>
        <v>0</v>
      </c>
      <c r="W248" s="28">
        <f ca="1">IFERROR(SUMIFS(Energy[2041_TWh],Energy[[Sector]:[Sector]],$A$248, Energy[[Fuel_category]:[Fuel_category]],$B248),"")</f>
        <v>0</v>
      </c>
      <c r="X248" s="28">
        <f ca="1">IFERROR(SUMIFS(Energy[2042_TWh],Energy[[Sector]:[Sector]],$A$248, Energy[[Fuel_category]:[Fuel_category]],$B248),"")</f>
        <v>0</v>
      </c>
      <c r="Y248" s="28">
        <f ca="1">IFERROR(SUMIFS(Energy[2043_TWh],Energy[[Sector]:[Sector]],$A$248, Energy[[Fuel_category]:[Fuel_category]],$B248),"")</f>
        <v>0</v>
      </c>
      <c r="Z248" s="28">
        <f ca="1">IFERROR(SUMIFS(Energy[2044_TWh],Energy[[Sector]:[Sector]],$A$248, Energy[[Fuel_category]:[Fuel_category]],$B248),"")</f>
        <v>0</v>
      </c>
      <c r="AA248" s="28">
        <f ca="1">IFERROR(SUMIFS(Energy[2045_TWh],Energy[[Sector]:[Sector]],$A$248, Energy[[Fuel_category]:[Fuel_category]],$B248),"")</f>
        <v>0</v>
      </c>
      <c r="AB248" s="28">
        <f ca="1">IFERROR(SUMIFS(Energy[2046_TWh],Energy[[Sector]:[Sector]],$A$248, Energy[[Fuel_category]:[Fuel_category]],$B248),"")</f>
        <v>0</v>
      </c>
      <c r="AC248" s="28">
        <f ca="1">IFERROR(SUMIFS(Energy[2047_TWh],Energy[[Sector]:[Sector]],$A$248, Energy[[Fuel_category]:[Fuel_category]],$B248),"")</f>
        <v>0</v>
      </c>
      <c r="AD248" s="28">
        <f ca="1">IFERROR(SUMIFS(Energy[2048_TWh],Energy[[Sector]:[Sector]],$A$248, Energy[[Fuel_category]:[Fuel_category]],$B248),"")</f>
        <v>0</v>
      </c>
      <c r="AE248" s="28">
        <f ca="1">IFERROR(SUMIFS(Energy[2049_TWh],Energy[[Sector]:[Sector]],$A$248, Energy[[Fuel_category]:[Fuel_category]],$B248),"")</f>
        <v>0</v>
      </c>
      <c r="AF248" s="28">
        <f ca="1">IFERROR(SUMIFS(Energy[2050_TWh],Energy[[Sector]:[Sector]],$A$248, Energy[[Fuel_category]:[Fuel_category]],$B248),"")</f>
        <v>0</v>
      </c>
      <c r="AG248" s="28">
        <f ca="1">IFERROR(SUMIFS(Energy[2051_TWh],Energy[[Sector]:[Sector]],$A$248, Energy[[Fuel_category]:[Fuel_category]],$B248),"")</f>
        <v>0</v>
      </c>
    </row>
    <row r="249" spans="1:33" x14ac:dyDescent="0.45">
      <c r="B249" s="21" t="s">
        <v>83</v>
      </c>
      <c r="C249" s="28">
        <f ca="1">IFERROR(SUMIFS(Energy[2021_TWh],Energy[[Sector]:[Sector]],$A$248, Energy[[Fuel_category]:[Fuel_category]],$B249),"")</f>
        <v>0</v>
      </c>
      <c r="D249" s="28">
        <f ca="1">IFERROR(SUMIFS(Energy[2022_TWh],Energy[[Sector]:[Sector]],$A$248, Energy[[Fuel_category]:[Fuel_category]],$B249),"")</f>
        <v>0</v>
      </c>
      <c r="E249" s="28">
        <f ca="1">IFERROR(SUMIFS(Energy[2023_TWh],Energy[[Sector]:[Sector]],$A$248, Energy[[Fuel_category]:[Fuel_category]],$B249),"")</f>
        <v>0</v>
      </c>
      <c r="F249" s="28">
        <f ca="1">IFERROR(SUMIFS(Energy[2024_TWh],Energy[[Sector]:[Sector]],$A$248, Energy[[Fuel_category]:[Fuel_category]],$B249),"")</f>
        <v>0</v>
      </c>
      <c r="G249" s="28">
        <f ca="1">IFERROR(SUMIFS(Energy[2025_TWh],Energy[[Sector]:[Sector]],$A$248, Energy[[Fuel_category]:[Fuel_category]],$B249),"")</f>
        <v>0</v>
      </c>
      <c r="H249" s="28">
        <f ca="1">IFERROR(SUMIFS(Energy[2026_TWh],Energy[[Sector]:[Sector]],$A$248, Energy[[Fuel_category]:[Fuel_category]],$B249),"")</f>
        <v>0</v>
      </c>
      <c r="I249" s="28">
        <f ca="1">IFERROR(SUMIFS(Energy[2027_TWh],Energy[[Sector]:[Sector]],$A$248, Energy[[Fuel_category]:[Fuel_category]],$B249),"")</f>
        <v>0</v>
      </c>
      <c r="J249" s="28">
        <f ca="1">IFERROR(SUMIFS(Energy[2028_TWh],Energy[[Sector]:[Sector]],$A$248, Energy[[Fuel_category]:[Fuel_category]],$B249),"")</f>
        <v>0</v>
      </c>
      <c r="K249" s="28">
        <f ca="1">IFERROR(SUMIFS(Energy[2029_TWh],Energy[[Sector]:[Sector]],$A$248, Energy[[Fuel_category]:[Fuel_category]],$B249),"")</f>
        <v>0</v>
      </c>
      <c r="L249" s="28">
        <f ca="1">IFERROR(SUMIFS(Energy[2030_TWh],Energy[[Sector]:[Sector]],$A$248, Energy[[Fuel_category]:[Fuel_category]],$B249),"")</f>
        <v>0</v>
      </c>
      <c r="M249" s="28">
        <f ca="1">IFERROR(SUMIFS(Energy[2031_TWh],Energy[[Sector]:[Sector]],$A$248, Energy[[Fuel_category]:[Fuel_category]],$B249),"")</f>
        <v>0</v>
      </c>
      <c r="N249" s="28">
        <f ca="1">IFERROR(SUMIFS(Energy[2032_TWh],Energy[[Sector]:[Sector]],$A$248, Energy[[Fuel_category]:[Fuel_category]],$B249),"")</f>
        <v>0</v>
      </c>
      <c r="O249" s="28">
        <f ca="1">IFERROR(SUMIFS(Energy[2033_TWh],Energy[[Sector]:[Sector]],$A$248, Energy[[Fuel_category]:[Fuel_category]],$B249),"")</f>
        <v>0</v>
      </c>
      <c r="P249" s="28">
        <f ca="1">IFERROR(SUMIFS(Energy[2034_TWh],Energy[[Sector]:[Sector]],$A$248, Energy[[Fuel_category]:[Fuel_category]],$B249),"")</f>
        <v>0</v>
      </c>
      <c r="Q249" s="28">
        <f ca="1">IFERROR(SUMIFS(Energy[2035_TWh],Energy[[Sector]:[Sector]],$A$248, Energy[[Fuel_category]:[Fuel_category]],$B249),"")</f>
        <v>0</v>
      </c>
      <c r="R249" s="28">
        <f ca="1">IFERROR(SUMIFS(Energy[2036_TWh],Energy[[Sector]:[Sector]],$A$248, Energy[[Fuel_category]:[Fuel_category]],$B249),"")</f>
        <v>0</v>
      </c>
      <c r="S249" s="28">
        <f ca="1">IFERROR(SUMIFS(Energy[2037_TWh],Energy[[Sector]:[Sector]],$A$248, Energy[[Fuel_category]:[Fuel_category]],$B249),"")</f>
        <v>0</v>
      </c>
      <c r="T249" s="28">
        <f ca="1">IFERROR(SUMIFS(Energy[2038_TWh],Energy[[Sector]:[Sector]],$A$248, Energy[[Fuel_category]:[Fuel_category]],$B249),"")</f>
        <v>0</v>
      </c>
      <c r="U249" s="28">
        <f ca="1">IFERROR(SUMIFS(Energy[2039_TWh],Energy[[Sector]:[Sector]],$A$248, Energy[[Fuel_category]:[Fuel_category]],$B249),"")</f>
        <v>0</v>
      </c>
      <c r="V249" s="28">
        <f ca="1">IFERROR(SUMIFS(Energy[2040_TWh],Energy[[Sector]:[Sector]],$A$248, Energy[[Fuel_category]:[Fuel_category]],$B249),"")</f>
        <v>0</v>
      </c>
      <c r="W249" s="28">
        <f ca="1">IFERROR(SUMIFS(Energy[2041_TWh],Energy[[Sector]:[Sector]],$A$248, Energy[[Fuel_category]:[Fuel_category]],$B249),"")</f>
        <v>0</v>
      </c>
      <c r="X249" s="28">
        <f ca="1">IFERROR(SUMIFS(Energy[2042_TWh],Energy[[Sector]:[Sector]],$A$248, Energy[[Fuel_category]:[Fuel_category]],$B249),"")</f>
        <v>0</v>
      </c>
      <c r="Y249" s="28">
        <f ca="1">IFERROR(SUMIFS(Energy[2043_TWh],Energy[[Sector]:[Sector]],$A$248, Energy[[Fuel_category]:[Fuel_category]],$B249),"")</f>
        <v>0</v>
      </c>
      <c r="Z249" s="28">
        <f ca="1">IFERROR(SUMIFS(Energy[2044_TWh],Energy[[Sector]:[Sector]],$A$248, Energy[[Fuel_category]:[Fuel_category]],$B249),"")</f>
        <v>0</v>
      </c>
      <c r="AA249" s="28">
        <f ca="1">IFERROR(SUMIFS(Energy[2045_TWh],Energy[[Sector]:[Sector]],$A$248, Energy[[Fuel_category]:[Fuel_category]],$B249),"")</f>
        <v>0</v>
      </c>
      <c r="AB249" s="28">
        <f ca="1">IFERROR(SUMIFS(Energy[2046_TWh],Energy[[Sector]:[Sector]],$A$248, Energy[[Fuel_category]:[Fuel_category]],$B249),"")</f>
        <v>0</v>
      </c>
      <c r="AC249" s="28">
        <f ca="1">IFERROR(SUMIFS(Energy[2047_TWh],Energy[[Sector]:[Sector]],$A$248, Energy[[Fuel_category]:[Fuel_category]],$B249),"")</f>
        <v>0</v>
      </c>
      <c r="AD249" s="28">
        <f ca="1">IFERROR(SUMIFS(Energy[2048_TWh],Energy[[Sector]:[Sector]],$A$248, Energy[[Fuel_category]:[Fuel_category]],$B249),"")</f>
        <v>0</v>
      </c>
      <c r="AE249" s="28">
        <f ca="1">IFERROR(SUMIFS(Energy[2049_TWh],Energy[[Sector]:[Sector]],$A$248, Energy[[Fuel_category]:[Fuel_category]],$B249),"")</f>
        <v>0</v>
      </c>
      <c r="AF249" s="28">
        <f ca="1">IFERROR(SUMIFS(Energy[2050_TWh],Energy[[Sector]:[Sector]],$A$248, Energy[[Fuel_category]:[Fuel_category]],$B249),"")</f>
        <v>0</v>
      </c>
      <c r="AG249" s="28">
        <f ca="1">IFERROR(SUMIFS(Energy[2051_TWh],Energy[[Sector]:[Sector]],$A$248, Energy[[Fuel_category]:[Fuel_category]],$B249),"")</f>
        <v>0</v>
      </c>
    </row>
    <row r="250" spans="1:33" x14ac:dyDescent="0.45">
      <c r="B250" s="21" t="s">
        <v>67</v>
      </c>
      <c r="C250" s="28">
        <f ca="1">IFERROR(SUMIFS(Energy[2021_TWh],Energy[[Sector]:[Sector]],$A$248, Energy[[Fuel_category]:[Fuel_category]],$B250),"")</f>
        <v>0</v>
      </c>
      <c r="D250" s="28">
        <f ca="1">IFERROR(SUMIFS(Energy[2022_TWh],Energy[[Sector]:[Sector]],$A$248, Energy[[Fuel_category]:[Fuel_category]],$B250),"")</f>
        <v>0</v>
      </c>
      <c r="E250" s="28">
        <f ca="1">IFERROR(SUMIFS(Energy[2023_TWh],Energy[[Sector]:[Sector]],$A$248, Energy[[Fuel_category]:[Fuel_category]],$B250),"")</f>
        <v>0</v>
      </c>
      <c r="F250" s="28">
        <f ca="1">IFERROR(SUMIFS(Energy[2024_TWh],Energy[[Sector]:[Sector]],$A$248, Energy[[Fuel_category]:[Fuel_category]],$B250),"")</f>
        <v>0</v>
      </c>
      <c r="G250" s="28">
        <f ca="1">IFERROR(SUMIFS(Energy[2025_TWh],Energy[[Sector]:[Sector]],$A$248, Energy[[Fuel_category]:[Fuel_category]],$B250),"")</f>
        <v>0</v>
      </c>
      <c r="H250" s="28">
        <f ca="1">IFERROR(SUMIFS(Energy[2026_TWh],Energy[[Sector]:[Sector]],$A$248, Energy[[Fuel_category]:[Fuel_category]],$B250),"")</f>
        <v>0</v>
      </c>
      <c r="I250" s="28">
        <f ca="1">IFERROR(SUMIFS(Energy[2027_TWh],Energy[[Sector]:[Sector]],$A$248, Energy[[Fuel_category]:[Fuel_category]],$B250),"")</f>
        <v>0</v>
      </c>
      <c r="J250" s="28">
        <f ca="1">IFERROR(SUMIFS(Energy[2028_TWh],Energy[[Sector]:[Sector]],$A$248, Energy[[Fuel_category]:[Fuel_category]],$B250),"")</f>
        <v>0</v>
      </c>
      <c r="K250" s="28">
        <f ca="1">IFERROR(SUMIFS(Energy[2029_TWh],Energy[[Sector]:[Sector]],$A$248, Energy[[Fuel_category]:[Fuel_category]],$B250),"")</f>
        <v>0</v>
      </c>
      <c r="L250" s="28">
        <f ca="1">IFERROR(SUMIFS(Energy[2030_TWh],Energy[[Sector]:[Sector]],$A$248, Energy[[Fuel_category]:[Fuel_category]],$B250),"")</f>
        <v>0</v>
      </c>
      <c r="M250" s="28">
        <f ca="1">IFERROR(SUMIFS(Energy[2031_TWh],Energy[[Sector]:[Sector]],$A$248, Energy[[Fuel_category]:[Fuel_category]],$B250),"")</f>
        <v>0</v>
      </c>
      <c r="N250" s="28">
        <f ca="1">IFERROR(SUMIFS(Energy[2032_TWh],Energy[[Sector]:[Sector]],$A$248, Energy[[Fuel_category]:[Fuel_category]],$B250),"")</f>
        <v>0</v>
      </c>
      <c r="O250" s="28">
        <f ca="1">IFERROR(SUMIFS(Energy[2033_TWh],Energy[[Sector]:[Sector]],$A$248, Energy[[Fuel_category]:[Fuel_category]],$B250),"")</f>
        <v>0</v>
      </c>
      <c r="P250" s="28">
        <f ca="1">IFERROR(SUMIFS(Energy[2034_TWh],Energy[[Sector]:[Sector]],$A$248, Energy[[Fuel_category]:[Fuel_category]],$B250),"")</f>
        <v>0</v>
      </c>
      <c r="Q250" s="28">
        <f ca="1">IFERROR(SUMIFS(Energy[2035_TWh],Energy[[Sector]:[Sector]],$A$248, Energy[[Fuel_category]:[Fuel_category]],$B250),"")</f>
        <v>0</v>
      </c>
      <c r="R250" s="28">
        <f ca="1">IFERROR(SUMIFS(Energy[2036_TWh],Energy[[Sector]:[Sector]],$A$248, Energy[[Fuel_category]:[Fuel_category]],$B250),"")</f>
        <v>0</v>
      </c>
      <c r="S250" s="28">
        <f ca="1">IFERROR(SUMIFS(Energy[2037_TWh],Energy[[Sector]:[Sector]],$A$248, Energy[[Fuel_category]:[Fuel_category]],$B250),"")</f>
        <v>0</v>
      </c>
      <c r="T250" s="28">
        <f ca="1">IFERROR(SUMIFS(Energy[2038_TWh],Energy[[Sector]:[Sector]],$A$248, Energy[[Fuel_category]:[Fuel_category]],$B250),"")</f>
        <v>0</v>
      </c>
      <c r="U250" s="28">
        <f ca="1">IFERROR(SUMIFS(Energy[2039_TWh],Energy[[Sector]:[Sector]],$A$248, Energy[[Fuel_category]:[Fuel_category]],$B250),"")</f>
        <v>0</v>
      </c>
      <c r="V250" s="28">
        <f ca="1">IFERROR(SUMIFS(Energy[2040_TWh],Energy[[Sector]:[Sector]],$A$248, Energy[[Fuel_category]:[Fuel_category]],$B250),"")</f>
        <v>0</v>
      </c>
      <c r="W250" s="28">
        <f ca="1">IFERROR(SUMIFS(Energy[2041_TWh],Energy[[Sector]:[Sector]],$A$248, Energy[[Fuel_category]:[Fuel_category]],$B250),"")</f>
        <v>0</v>
      </c>
      <c r="X250" s="28">
        <f ca="1">IFERROR(SUMIFS(Energy[2042_TWh],Energy[[Sector]:[Sector]],$A$248, Energy[[Fuel_category]:[Fuel_category]],$B250),"")</f>
        <v>0</v>
      </c>
      <c r="Y250" s="28">
        <f ca="1">IFERROR(SUMIFS(Energy[2043_TWh],Energy[[Sector]:[Sector]],$A$248, Energy[[Fuel_category]:[Fuel_category]],$B250),"")</f>
        <v>0</v>
      </c>
      <c r="Z250" s="28">
        <f ca="1">IFERROR(SUMIFS(Energy[2044_TWh],Energy[[Sector]:[Sector]],$A$248, Energy[[Fuel_category]:[Fuel_category]],$B250),"")</f>
        <v>0</v>
      </c>
      <c r="AA250" s="28">
        <f ca="1">IFERROR(SUMIFS(Energy[2045_TWh],Energy[[Sector]:[Sector]],$A$248, Energy[[Fuel_category]:[Fuel_category]],$B250),"")</f>
        <v>0</v>
      </c>
      <c r="AB250" s="28">
        <f ca="1">IFERROR(SUMIFS(Energy[2046_TWh],Energy[[Sector]:[Sector]],$A$248, Energy[[Fuel_category]:[Fuel_category]],$B250),"")</f>
        <v>0</v>
      </c>
      <c r="AC250" s="28">
        <f ca="1">IFERROR(SUMIFS(Energy[2047_TWh],Energy[[Sector]:[Sector]],$A$248, Energy[[Fuel_category]:[Fuel_category]],$B250),"")</f>
        <v>0</v>
      </c>
      <c r="AD250" s="28">
        <f ca="1">IFERROR(SUMIFS(Energy[2048_TWh],Energy[[Sector]:[Sector]],$A$248, Energy[[Fuel_category]:[Fuel_category]],$B250),"")</f>
        <v>0</v>
      </c>
      <c r="AE250" s="28">
        <f ca="1">IFERROR(SUMIFS(Energy[2049_TWh],Energy[[Sector]:[Sector]],$A$248, Energy[[Fuel_category]:[Fuel_category]],$B250),"")</f>
        <v>0</v>
      </c>
      <c r="AF250" s="28">
        <f ca="1">IFERROR(SUMIFS(Energy[2050_TWh],Energy[[Sector]:[Sector]],$A$248, Energy[[Fuel_category]:[Fuel_category]],$B250),"")</f>
        <v>0</v>
      </c>
      <c r="AG250" s="28">
        <f ca="1">IFERROR(SUMIFS(Energy[2051_TWh],Energy[[Sector]:[Sector]],$A$248, Energy[[Fuel_category]:[Fuel_category]],$B250),"")</f>
        <v>0</v>
      </c>
    </row>
    <row r="251" spans="1:33" x14ac:dyDescent="0.45">
      <c r="B251" s="21" t="s">
        <v>35</v>
      </c>
      <c r="C251" s="28">
        <f ca="1">IFERROR(SUMIFS(Energy[2021_TWh],Energy[[Sector]:[Sector]],$A$248, Energy[[Fuel_category]:[Fuel_category]],$B251),"")</f>
        <v>0</v>
      </c>
      <c r="D251" s="28">
        <f ca="1">IFERROR(SUMIFS(Energy[2022_TWh],Energy[[Sector]:[Sector]],$A$248, Energy[[Fuel_category]:[Fuel_category]],$B251),"")</f>
        <v>0</v>
      </c>
      <c r="E251" s="28">
        <f ca="1">IFERROR(SUMIFS(Energy[2023_TWh],Energy[[Sector]:[Sector]],$A$248, Energy[[Fuel_category]:[Fuel_category]],$B251),"")</f>
        <v>0</v>
      </c>
      <c r="F251" s="28">
        <f ca="1">IFERROR(SUMIFS(Energy[2024_TWh],Energy[[Sector]:[Sector]],$A$248, Energy[[Fuel_category]:[Fuel_category]],$B251),"")</f>
        <v>0</v>
      </c>
      <c r="G251" s="28">
        <f ca="1">IFERROR(SUMIFS(Energy[2025_TWh],Energy[[Sector]:[Sector]],$A$248, Energy[[Fuel_category]:[Fuel_category]],$B251),"")</f>
        <v>0</v>
      </c>
      <c r="H251" s="28">
        <f ca="1">IFERROR(SUMIFS(Energy[2026_TWh],Energy[[Sector]:[Sector]],$A$248, Energy[[Fuel_category]:[Fuel_category]],$B251),"")</f>
        <v>0</v>
      </c>
      <c r="I251" s="28">
        <f ca="1">IFERROR(SUMIFS(Energy[2027_TWh],Energy[[Sector]:[Sector]],$A$248, Energy[[Fuel_category]:[Fuel_category]],$B251),"")</f>
        <v>0</v>
      </c>
      <c r="J251" s="28">
        <f ca="1">IFERROR(SUMIFS(Energy[2028_TWh],Energy[[Sector]:[Sector]],$A$248, Energy[[Fuel_category]:[Fuel_category]],$B251),"")</f>
        <v>0</v>
      </c>
      <c r="K251" s="28">
        <f ca="1">IFERROR(SUMIFS(Energy[2029_TWh],Energy[[Sector]:[Sector]],$A$248, Energy[[Fuel_category]:[Fuel_category]],$B251),"")</f>
        <v>0</v>
      </c>
      <c r="L251" s="28">
        <f ca="1">IFERROR(SUMIFS(Energy[2030_TWh],Energy[[Sector]:[Sector]],$A$248, Energy[[Fuel_category]:[Fuel_category]],$B251),"")</f>
        <v>0</v>
      </c>
      <c r="M251" s="28">
        <f ca="1">IFERROR(SUMIFS(Energy[2031_TWh],Energy[[Sector]:[Sector]],$A$248, Energy[[Fuel_category]:[Fuel_category]],$B251),"")</f>
        <v>0</v>
      </c>
      <c r="N251" s="28">
        <f ca="1">IFERROR(SUMIFS(Energy[2032_TWh],Energy[[Sector]:[Sector]],$A$248, Energy[[Fuel_category]:[Fuel_category]],$B251),"")</f>
        <v>0</v>
      </c>
      <c r="O251" s="28">
        <f ca="1">IFERROR(SUMIFS(Energy[2033_TWh],Energy[[Sector]:[Sector]],$A$248, Energy[[Fuel_category]:[Fuel_category]],$B251),"")</f>
        <v>0</v>
      </c>
      <c r="P251" s="28">
        <f ca="1">IFERROR(SUMIFS(Energy[2034_TWh],Energy[[Sector]:[Sector]],$A$248, Energy[[Fuel_category]:[Fuel_category]],$B251),"")</f>
        <v>0</v>
      </c>
      <c r="Q251" s="28">
        <f ca="1">IFERROR(SUMIFS(Energy[2035_TWh],Energy[[Sector]:[Sector]],$A$248, Energy[[Fuel_category]:[Fuel_category]],$B251),"")</f>
        <v>0</v>
      </c>
      <c r="R251" s="28">
        <f ca="1">IFERROR(SUMIFS(Energy[2036_TWh],Energy[[Sector]:[Sector]],$A$248, Energy[[Fuel_category]:[Fuel_category]],$B251),"")</f>
        <v>0</v>
      </c>
      <c r="S251" s="28">
        <f ca="1">IFERROR(SUMIFS(Energy[2037_TWh],Energy[[Sector]:[Sector]],$A$248, Energy[[Fuel_category]:[Fuel_category]],$B251),"")</f>
        <v>0</v>
      </c>
      <c r="T251" s="28">
        <f ca="1">IFERROR(SUMIFS(Energy[2038_TWh],Energy[[Sector]:[Sector]],$A$248, Energy[[Fuel_category]:[Fuel_category]],$B251),"")</f>
        <v>0</v>
      </c>
      <c r="U251" s="28">
        <f ca="1">IFERROR(SUMIFS(Energy[2039_TWh],Energy[[Sector]:[Sector]],$A$248, Energy[[Fuel_category]:[Fuel_category]],$B251),"")</f>
        <v>0</v>
      </c>
      <c r="V251" s="28">
        <f ca="1">IFERROR(SUMIFS(Energy[2040_TWh],Energy[[Sector]:[Sector]],$A$248, Energy[[Fuel_category]:[Fuel_category]],$B251),"")</f>
        <v>0</v>
      </c>
      <c r="W251" s="28">
        <f ca="1">IFERROR(SUMIFS(Energy[2041_TWh],Energy[[Sector]:[Sector]],$A$248, Energy[[Fuel_category]:[Fuel_category]],$B251),"")</f>
        <v>0</v>
      </c>
      <c r="X251" s="28">
        <f ca="1">IFERROR(SUMIFS(Energy[2042_TWh],Energy[[Sector]:[Sector]],$A$248, Energy[[Fuel_category]:[Fuel_category]],$B251),"")</f>
        <v>0</v>
      </c>
      <c r="Y251" s="28">
        <f ca="1">IFERROR(SUMIFS(Energy[2043_TWh],Energy[[Sector]:[Sector]],$A$248, Energy[[Fuel_category]:[Fuel_category]],$B251),"")</f>
        <v>0</v>
      </c>
      <c r="Z251" s="28">
        <f ca="1">IFERROR(SUMIFS(Energy[2044_TWh],Energy[[Sector]:[Sector]],$A$248, Energy[[Fuel_category]:[Fuel_category]],$B251),"")</f>
        <v>0</v>
      </c>
      <c r="AA251" s="28">
        <f ca="1">IFERROR(SUMIFS(Energy[2045_TWh],Energy[[Sector]:[Sector]],$A$248, Energy[[Fuel_category]:[Fuel_category]],$B251),"")</f>
        <v>0</v>
      </c>
      <c r="AB251" s="28">
        <f ca="1">IFERROR(SUMIFS(Energy[2046_TWh],Energy[[Sector]:[Sector]],$A$248, Energy[[Fuel_category]:[Fuel_category]],$B251),"")</f>
        <v>0</v>
      </c>
      <c r="AC251" s="28">
        <f ca="1">IFERROR(SUMIFS(Energy[2047_TWh],Energy[[Sector]:[Sector]],$A$248, Energy[[Fuel_category]:[Fuel_category]],$B251),"")</f>
        <v>0</v>
      </c>
      <c r="AD251" s="28">
        <f ca="1">IFERROR(SUMIFS(Energy[2048_TWh],Energy[[Sector]:[Sector]],$A$248, Energy[[Fuel_category]:[Fuel_category]],$B251),"")</f>
        <v>0</v>
      </c>
      <c r="AE251" s="28">
        <f ca="1">IFERROR(SUMIFS(Energy[2049_TWh],Energy[[Sector]:[Sector]],$A$248, Energy[[Fuel_category]:[Fuel_category]],$B251),"")</f>
        <v>0</v>
      </c>
      <c r="AF251" s="28">
        <f ca="1">IFERROR(SUMIFS(Energy[2050_TWh],Energy[[Sector]:[Sector]],$A$248, Energy[[Fuel_category]:[Fuel_category]],$B251),"")</f>
        <v>0</v>
      </c>
      <c r="AG251" s="28">
        <f ca="1">IFERROR(SUMIFS(Energy[2051_TWh],Energy[[Sector]:[Sector]],$A$248, Energy[[Fuel_category]:[Fuel_category]],$B251),"")</f>
        <v>0</v>
      </c>
    </row>
    <row r="252" spans="1:33" x14ac:dyDescent="0.45">
      <c r="B252" s="21" t="s">
        <v>26</v>
      </c>
      <c r="C252" s="28">
        <f ca="1">IFERROR(SUMIFS(Energy[2021_TWh],Energy[[Sector]:[Sector]],$A$248, Energy[[Fuel_category]:[Fuel_category]],$B252),"")</f>
        <v>0</v>
      </c>
      <c r="D252" s="28">
        <f ca="1">IFERROR(SUMIFS(Energy[2022_TWh],Energy[[Sector]:[Sector]],$A$248, Energy[[Fuel_category]:[Fuel_category]],$B252),"")</f>
        <v>0</v>
      </c>
      <c r="E252" s="28">
        <f ca="1">IFERROR(SUMIFS(Energy[2023_TWh],Energy[[Sector]:[Sector]],$A$248, Energy[[Fuel_category]:[Fuel_category]],$B252),"")</f>
        <v>0</v>
      </c>
      <c r="F252" s="28">
        <f ca="1">IFERROR(SUMIFS(Energy[2024_TWh],Energy[[Sector]:[Sector]],$A$248, Energy[[Fuel_category]:[Fuel_category]],$B252),"")</f>
        <v>0</v>
      </c>
      <c r="G252" s="28">
        <f ca="1">IFERROR(SUMIFS(Energy[2025_TWh],Energy[[Sector]:[Sector]],$A$248, Energy[[Fuel_category]:[Fuel_category]],$B252),"")</f>
        <v>0</v>
      </c>
      <c r="H252" s="28">
        <f ca="1">IFERROR(SUMIFS(Energy[2026_TWh],Energy[[Sector]:[Sector]],$A$248, Energy[[Fuel_category]:[Fuel_category]],$B252),"")</f>
        <v>0</v>
      </c>
      <c r="I252" s="28">
        <f ca="1">IFERROR(SUMIFS(Energy[2027_TWh],Energy[[Sector]:[Sector]],$A$248, Energy[[Fuel_category]:[Fuel_category]],$B252),"")</f>
        <v>0</v>
      </c>
      <c r="J252" s="28">
        <f ca="1">IFERROR(SUMIFS(Energy[2028_TWh],Energy[[Sector]:[Sector]],$A$248, Energy[[Fuel_category]:[Fuel_category]],$B252),"")</f>
        <v>0</v>
      </c>
      <c r="K252" s="28">
        <f ca="1">IFERROR(SUMIFS(Energy[2029_TWh],Energy[[Sector]:[Sector]],$A$248, Energy[[Fuel_category]:[Fuel_category]],$B252),"")</f>
        <v>0</v>
      </c>
      <c r="L252" s="28">
        <f ca="1">IFERROR(SUMIFS(Energy[2030_TWh],Energy[[Sector]:[Sector]],$A$248, Energy[[Fuel_category]:[Fuel_category]],$B252),"")</f>
        <v>0</v>
      </c>
      <c r="M252" s="28">
        <f ca="1">IFERROR(SUMIFS(Energy[2031_TWh],Energy[[Sector]:[Sector]],$A$248, Energy[[Fuel_category]:[Fuel_category]],$B252),"")</f>
        <v>0</v>
      </c>
      <c r="N252" s="28">
        <f ca="1">IFERROR(SUMIFS(Energy[2032_TWh],Energy[[Sector]:[Sector]],$A$248, Energy[[Fuel_category]:[Fuel_category]],$B252),"")</f>
        <v>0</v>
      </c>
      <c r="O252" s="28">
        <f ca="1">IFERROR(SUMIFS(Energy[2033_TWh],Energy[[Sector]:[Sector]],$A$248, Energy[[Fuel_category]:[Fuel_category]],$B252),"")</f>
        <v>0</v>
      </c>
      <c r="P252" s="28">
        <f ca="1">IFERROR(SUMIFS(Energy[2034_TWh],Energy[[Sector]:[Sector]],$A$248, Energy[[Fuel_category]:[Fuel_category]],$B252),"")</f>
        <v>0</v>
      </c>
      <c r="Q252" s="28">
        <f ca="1">IFERROR(SUMIFS(Energy[2035_TWh],Energy[[Sector]:[Sector]],$A$248, Energy[[Fuel_category]:[Fuel_category]],$B252),"")</f>
        <v>0</v>
      </c>
      <c r="R252" s="28">
        <f ca="1">IFERROR(SUMIFS(Energy[2036_TWh],Energy[[Sector]:[Sector]],$A$248, Energy[[Fuel_category]:[Fuel_category]],$B252),"")</f>
        <v>0</v>
      </c>
      <c r="S252" s="28">
        <f ca="1">IFERROR(SUMIFS(Energy[2037_TWh],Energy[[Sector]:[Sector]],$A$248, Energy[[Fuel_category]:[Fuel_category]],$B252),"")</f>
        <v>0</v>
      </c>
      <c r="T252" s="28">
        <f ca="1">IFERROR(SUMIFS(Energy[2038_TWh],Energy[[Sector]:[Sector]],$A$248, Energy[[Fuel_category]:[Fuel_category]],$B252),"")</f>
        <v>0</v>
      </c>
      <c r="U252" s="28">
        <f ca="1">IFERROR(SUMIFS(Energy[2039_TWh],Energy[[Sector]:[Sector]],$A$248, Energy[[Fuel_category]:[Fuel_category]],$B252),"")</f>
        <v>0</v>
      </c>
      <c r="V252" s="28">
        <f ca="1">IFERROR(SUMIFS(Energy[2040_TWh],Energy[[Sector]:[Sector]],$A$248, Energy[[Fuel_category]:[Fuel_category]],$B252),"")</f>
        <v>0</v>
      </c>
      <c r="W252" s="28">
        <f ca="1">IFERROR(SUMIFS(Energy[2041_TWh],Energy[[Sector]:[Sector]],$A$248, Energy[[Fuel_category]:[Fuel_category]],$B252),"")</f>
        <v>0</v>
      </c>
      <c r="X252" s="28">
        <f ca="1">IFERROR(SUMIFS(Energy[2042_TWh],Energy[[Sector]:[Sector]],$A$248, Energy[[Fuel_category]:[Fuel_category]],$B252),"")</f>
        <v>0</v>
      </c>
      <c r="Y252" s="28">
        <f ca="1">IFERROR(SUMIFS(Energy[2043_TWh],Energy[[Sector]:[Sector]],$A$248, Energy[[Fuel_category]:[Fuel_category]],$B252),"")</f>
        <v>0</v>
      </c>
      <c r="Z252" s="28">
        <f ca="1">IFERROR(SUMIFS(Energy[2044_TWh],Energy[[Sector]:[Sector]],$A$248, Energy[[Fuel_category]:[Fuel_category]],$B252),"")</f>
        <v>0</v>
      </c>
      <c r="AA252" s="28">
        <f ca="1">IFERROR(SUMIFS(Energy[2045_TWh],Energy[[Sector]:[Sector]],$A$248, Energy[[Fuel_category]:[Fuel_category]],$B252),"")</f>
        <v>0</v>
      </c>
      <c r="AB252" s="28">
        <f ca="1">IFERROR(SUMIFS(Energy[2046_TWh],Energy[[Sector]:[Sector]],$A$248, Energy[[Fuel_category]:[Fuel_category]],$B252),"")</f>
        <v>0</v>
      </c>
      <c r="AC252" s="28">
        <f ca="1">IFERROR(SUMIFS(Energy[2047_TWh],Energy[[Sector]:[Sector]],$A$248, Energy[[Fuel_category]:[Fuel_category]],$B252),"")</f>
        <v>0</v>
      </c>
      <c r="AD252" s="28">
        <f ca="1">IFERROR(SUMIFS(Energy[2048_TWh],Energy[[Sector]:[Sector]],$A$248, Energy[[Fuel_category]:[Fuel_category]],$B252),"")</f>
        <v>0</v>
      </c>
      <c r="AE252" s="28">
        <f ca="1">IFERROR(SUMIFS(Energy[2049_TWh],Energy[[Sector]:[Sector]],$A$248, Energy[[Fuel_category]:[Fuel_category]],$B252),"")</f>
        <v>0</v>
      </c>
      <c r="AF252" s="28">
        <f ca="1">IFERROR(SUMIFS(Energy[2050_TWh],Energy[[Sector]:[Sector]],$A$248, Energy[[Fuel_category]:[Fuel_category]],$B252),"")</f>
        <v>0</v>
      </c>
      <c r="AG252" s="28">
        <f ca="1">IFERROR(SUMIFS(Energy[2051_TWh],Energy[[Sector]:[Sector]],$A$248, Energy[[Fuel_category]:[Fuel_category]],$B252),"")</f>
        <v>0</v>
      </c>
    </row>
    <row r="253" spans="1:33" x14ac:dyDescent="0.45">
      <c r="B253" s="21" t="s">
        <v>113</v>
      </c>
      <c r="C253" s="28">
        <f ca="1">IFERROR(SUMIFS(Energy[2021_TWh],Energy[[Sector]:[Sector]],$A$248, Energy[[Fuel_category]:[Fuel_category]],$B253),"")</f>
        <v>0</v>
      </c>
      <c r="D253" s="28">
        <f ca="1">IFERROR(SUMIFS(Energy[2022_TWh],Energy[[Sector]:[Sector]],$A$248, Energy[[Fuel_category]:[Fuel_category]],$B253),"")</f>
        <v>0</v>
      </c>
      <c r="E253" s="28">
        <f ca="1">IFERROR(SUMIFS(Energy[2023_TWh],Energy[[Sector]:[Sector]],$A$248, Energy[[Fuel_category]:[Fuel_category]],$B253),"")</f>
        <v>0</v>
      </c>
      <c r="F253" s="28">
        <f ca="1">IFERROR(SUMIFS(Energy[2024_TWh],Energy[[Sector]:[Sector]],$A$248, Energy[[Fuel_category]:[Fuel_category]],$B253),"")</f>
        <v>0</v>
      </c>
      <c r="G253" s="28">
        <f ca="1">IFERROR(SUMIFS(Energy[2025_TWh],Energy[[Sector]:[Sector]],$A$248, Energy[[Fuel_category]:[Fuel_category]],$B253),"")</f>
        <v>0</v>
      </c>
      <c r="H253" s="28">
        <f ca="1">IFERROR(SUMIFS(Energy[2026_TWh],Energy[[Sector]:[Sector]],$A$248, Energy[[Fuel_category]:[Fuel_category]],$B253),"")</f>
        <v>0</v>
      </c>
      <c r="I253" s="28">
        <f ca="1">IFERROR(SUMIFS(Energy[2027_TWh],Energy[[Sector]:[Sector]],$A$248, Energy[[Fuel_category]:[Fuel_category]],$B253),"")</f>
        <v>0</v>
      </c>
      <c r="J253" s="28">
        <f ca="1">IFERROR(SUMIFS(Energy[2028_TWh],Energy[[Sector]:[Sector]],$A$248, Energy[[Fuel_category]:[Fuel_category]],$B253),"")</f>
        <v>0</v>
      </c>
      <c r="K253" s="28">
        <f ca="1">IFERROR(SUMIFS(Energy[2029_TWh],Energy[[Sector]:[Sector]],$A$248, Energy[[Fuel_category]:[Fuel_category]],$B253),"")</f>
        <v>0</v>
      </c>
      <c r="L253" s="28">
        <f ca="1">IFERROR(SUMIFS(Energy[2030_TWh],Energy[[Sector]:[Sector]],$A$248, Energy[[Fuel_category]:[Fuel_category]],$B253),"")</f>
        <v>0</v>
      </c>
      <c r="M253" s="28">
        <f ca="1">IFERROR(SUMIFS(Energy[2031_TWh],Energy[[Sector]:[Sector]],$A$248, Energy[[Fuel_category]:[Fuel_category]],$B253),"")</f>
        <v>0</v>
      </c>
      <c r="N253" s="28">
        <f ca="1">IFERROR(SUMIFS(Energy[2032_TWh],Energy[[Sector]:[Sector]],$A$248, Energy[[Fuel_category]:[Fuel_category]],$B253),"")</f>
        <v>0</v>
      </c>
      <c r="O253" s="28">
        <f ca="1">IFERROR(SUMIFS(Energy[2033_TWh],Energy[[Sector]:[Sector]],$A$248, Energy[[Fuel_category]:[Fuel_category]],$B253),"")</f>
        <v>0</v>
      </c>
      <c r="P253" s="28">
        <f ca="1">IFERROR(SUMIFS(Energy[2034_TWh],Energy[[Sector]:[Sector]],$A$248, Energy[[Fuel_category]:[Fuel_category]],$B253),"")</f>
        <v>0</v>
      </c>
      <c r="Q253" s="28">
        <f ca="1">IFERROR(SUMIFS(Energy[2035_TWh],Energy[[Sector]:[Sector]],$A$248, Energy[[Fuel_category]:[Fuel_category]],$B253),"")</f>
        <v>0</v>
      </c>
      <c r="R253" s="28">
        <f ca="1">IFERROR(SUMIFS(Energy[2036_TWh],Energy[[Sector]:[Sector]],$A$248, Energy[[Fuel_category]:[Fuel_category]],$B253),"")</f>
        <v>0</v>
      </c>
      <c r="S253" s="28">
        <f ca="1">IFERROR(SUMIFS(Energy[2037_TWh],Energy[[Sector]:[Sector]],$A$248, Energy[[Fuel_category]:[Fuel_category]],$B253),"")</f>
        <v>0</v>
      </c>
      <c r="T253" s="28">
        <f ca="1">IFERROR(SUMIFS(Energy[2038_TWh],Energy[[Sector]:[Sector]],$A$248, Energy[[Fuel_category]:[Fuel_category]],$B253),"")</f>
        <v>0</v>
      </c>
      <c r="U253" s="28">
        <f ca="1">IFERROR(SUMIFS(Energy[2039_TWh],Energy[[Sector]:[Sector]],$A$248, Energy[[Fuel_category]:[Fuel_category]],$B253),"")</f>
        <v>0</v>
      </c>
      <c r="V253" s="28">
        <f ca="1">IFERROR(SUMIFS(Energy[2040_TWh],Energy[[Sector]:[Sector]],$A$248, Energy[[Fuel_category]:[Fuel_category]],$B253),"")</f>
        <v>0</v>
      </c>
      <c r="W253" s="28">
        <f ca="1">IFERROR(SUMIFS(Energy[2041_TWh],Energy[[Sector]:[Sector]],$A$248, Energy[[Fuel_category]:[Fuel_category]],$B253),"")</f>
        <v>0</v>
      </c>
      <c r="X253" s="28">
        <f ca="1">IFERROR(SUMIFS(Energy[2042_TWh],Energy[[Sector]:[Sector]],$A$248, Energy[[Fuel_category]:[Fuel_category]],$B253),"")</f>
        <v>0</v>
      </c>
      <c r="Y253" s="28">
        <f ca="1">IFERROR(SUMIFS(Energy[2043_TWh],Energy[[Sector]:[Sector]],$A$248, Energy[[Fuel_category]:[Fuel_category]],$B253),"")</f>
        <v>0</v>
      </c>
      <c r="Z253" s="28">
        <f ca="1">IFERROR(SUMIFS(Energy[2044_TWh],Energy[[Sector]:[Sector]],$A$248, Energy[[Fuel_category]:[Fuel_category]],$B253),"")</f>
        <v>0</v>
      </c>
      <c r="AA253" s="28">
        <f ca="1">IFERROR(SUMIFS(Energy[2045_TWh],Energy[[Sector]:[Sector]],$A$248, Energy[[Fuel_category]:[Fuel_category]],$B253),"")</f>
        <v>0</v>
      </c>
      <c r="AB253" s="28">
        <f ca="1">IFERROR(SUMIFS(Energy[2046_TWh],Energy[[Sector]:[Sector]],$A$248, Energy[[Fuel_category]:[Fuel_category]],$B253),"")</f>
        <v>0</v>
      </c>
      <c r="AC253" s="28">
        <f ca="1">IFERROR(SUMIFS(Energy[2047_TWh],Energy[[Sector]:[Sector]],$A$248, Energy[[Fuel_category]:[Fuel_category]],$B253),"")</f>
        <v>0</v>
      </c>
      <c r="AD253" s="28">
        <f ca="1">IFERROR(SUMIFS(Energy[2048_TWh],Energy[[Sector]:[Sector]],$A$248, Energy[[Fuel_category]:[Fuel_category]],$B253),"")</f>
        <v>0</v>
      </c>
      <c r="AE253" s="28">
        <f ca="1">IFERROR(SUMIFS(Energy[2049_TWh],Energy[[Sector]:[Sector]],$A$248, Energy[[Fuel_category]:[Fuel_category]],$B253),"")</f>
        <v>0</v>
      </c>
      <c r="AF253" s="28">
        <f ca="1">IFERROR(SUMIFS(Energy[2050_TWh],Energy[[Sector]:[Sector]],$A$248, Energy[[Fuel_category]:[Fuel_category]],$B253),"")</f>
        <v>0</v>
      </c>
      <c r="AG253" s="28">
        <f ca="1">IFERROR(SUMIFS(Energy[2051_TWh],Energy[[Sector]:[Sector]],$A$248, Energy[[Fuel_category]:[Fuel_category]],$B253),"")</f>
        <v>0</v>
      </c>
    </row>
    <row r="254" spans="1:33" x14ac:dyDescent="0.45">
      <c r="B254" s="21" t="s">
        <v>111</v>
      </c>
      <c r="C254" s="28">
        <f ca="1">IFERROR(SUMIFS(Energy[2021_TWh],Energy[[Sector]:[Sector]],$A$248, Energy[[Fuel_category]:[Fuel_category]],$B254),"")</f>
        <v>0</v>
      </c>
      <c r="D254" s="28">
        <f ca="1">IFERROR(SUMIFS(Energy[2022_TWh],Energy[[Sector]:[Sector]],$A$248, Energy[[Fuel_category]:[Fuel_category]],$B254),"")</f>
        <v>0</v>
      </c>
      <c r="E254" s="28">
        <f ca="1">IFERROR(SUMIFS(Energy[2023_TWh],Energy[[Sector]:[Sector]],$A$248, Energy[[Fuel_category]:[Fuel_category]],$B254),"")</f>
        <v>0</v>
      </c>
      <c r="F254" s="28">
        <f ca="1">IFERROR(SUMIFS(Energy[2024_TWh],Energy[[Sector]:[Sector]],$A$248, Energy[[Fuel_category]:[Fuel_category]],$B254),"")</f>
        <v>0</v>
      </c>
      <c r="G254" s="28">
        <f ca="1">IFERROR(SUMIFS(Energy[2025_TWh],Energy[[Sector]:[Sector]],$A$248, Energy[[Fuel_category]:[Fuel_category]],$B254),"")</f>
        <v>0</v>
      </c>
      <c r="H254" s="28">
        <f ca="1">IFERROR(SUMIFS(Energy[2026_TWh],Energy[[Sector]:[Sector]],$A$248, Energy[[Fuel_category]:[Fuel_category]],$B254),"")</f>
        <v>0</v>
      </c>
      <c r="I254" s="28">
        <f ca="1">IFERROR(SUMIFS(Energy[2027_TWh],Energy[[Sector]:[Sector]],$A$248, Energy[[Fuel_category]:[Fuel_category]],$B254),"")</f>
        <v>0</v>
      </c>
      <c r="J254" s="28">
        <f ca="1">IFERROR(SUMIFS(Energy[2028_TWh],Energy[[Sector]:[Sector]],$A$248, Energy[[Fuel_category]:[Fuel_category]],$B254),"")</f>
        <v>0</v>
      </c>
      <c r="K254" s="28">
        <f ca="1">IFERROR(SUMIFS(Energy[2029_TWh],Energy[[Sector]:[Sector]],$A$248, Energy[[Fuel_category]:[Fuel_category]],$B254),"")</f>
        <v>0</v>
      </c>
      <c r="L254" s="28">
        <f ca="1">IFERROR(SUMIFS(Energy[2030_TWh],Energy[[Sector]:[Sector]],$A$248, Energy[[Fuel_category]:[Fuel_category]],$B254),"")</f>
        <v>0</v>
      </c>
      <c r="M254" s="28">
        <f ca="1">IFERROR(SUMIFS(Energy[2031_TWh],Energy[[Sector]:[Sector]],$A$248, Energy[[Fuel_category]:[Fuel_category]],$B254),"")</f>
        <v>0</v>
      </c>
      <c r="N254" s="28">
        <f ca="1">IFERROR(SUMIFS(Energy[2032_TWh],Energy[[Sector]:[Sector]],$A$248, Energy[[Fuel_category]:[Fuel_category]],$B254),"")</f>
        <v>0</v>
      </c>
      <c r="O254" s="28">
        <f ca="1">IFERROR(SUMIFS(Energy[2033_TWh],Energy[[Sector]:[Sector]],$A$248, Energy[[Fuel_category]:[Fuel_category]],$B254),"")</f>
        <v>0</v>
      </c>
      <c r="P254" s="28">
        <f ca="1">IFERROR(SUMIFS(Energy[2034_TWh],Energy[[Sector]:[Sector]],$A$248, Energy[[Fuel_category]:[Fuel_category]],$B254),"")</f>
        <v>0</v>
      </c>
      <c r="Q254" s="28">
        <f ca="1">IFERROR(SUMIFS(Energy[2035_TWh],Energy[[Sector]:[Sector]],$A$248, Energy[[Fuel_category]:[Fuel_category]],$B254),"")</f>
        <v>0</v>
      </c>
      <c r="R254" s="28">
        <f ca="1">IFERROR(SUMIFS(Energy[2036_TWh],Energy[[Sector]:[Sector]],$A$248, Energy[[Fuel_category]:[Fuel_category]],$B254),"")</f>
        <v>0</v>
      </c>
      <c r="S254" s="28">
        <f ca="1">IFERROR(SUMIFS(Energy[2037_TWh],Energy[[Sector]:[Sector]],$A$248, Energy[[Fuel_category]:[Fuel_category]],$B254),"")</f>
        <v>0</v>
      </c>
      <c r="T254" s="28">
        <f ca="1">IFERROR(SUMIFS(Energy[2038_TWh],Energy[[Sector]:[Sector]],$A$248, Energy[[Fuel_category]:[Fuel_category]],$B254),"")</f>
        <v>0</v>
      </c>
      <c r="U254" s="28">
        <f ca="1">IFERROR(SUMIFS(Energy[2039_TWh],Energy[[Sector]:[Sector]],$A$248, Energy[[Fuel_category]:[Fuel_category]],$B254),"")</f>
        <v>0</v>
      </c>
      <c r="V254" s="28">
        <f ca="1">IFERROR(SUMIFS(Energy[2040_TWh],Energy[[Sector]:[Sector]],$A$248, Energy[[Fuel_category]:[Fuel_category]],$B254),"")</f>
        <v>0</v>
      </c>
      <c r="W254" s="28">
        <f ca="1">IFERROR(SUMIFS(Energy[2041_TWh],Energy[[Sector]:[Sector]],$A$248, Energy[[Fuel_category]:[Fuel_category]],$B254),"")</f>
        <v>0</v>
      </c>
      <c r="X254" s="28">
        <f ca="1">IFERROR(SUMIFS(Energy[2042_TWh],Energy[[Sector]:[Sector]],$A$248, Energy[[Fuel_category]:[Fuel_category]],$B254),"")</f>
        <v>0</v>
      </c>
      <c r="Y254" s="28">
        <f ca="1">IFERROR(SUMIFS(Energy[2043_TWh],Energy[[Sector]:[Sector]],$A$248, Energy[[Fuel_category]:[Fuel_category]],$B254),"")</f>
        <v>0</v>
      </c>
      <c r="Z254" s="28">
        <f ca="1">IFERROR(SUMIFS(Energy[2044_TWh],Energy[[Sector]:[Sector]],$A$248, Energy[[Fuel_category]:[Fuel_category]],$B254),"")</f>
        <v>0</v>
      </c>
      <c r="AA254" s="28">
        <f ca="1">IFERROR(SUMIFS(Energy[2045_TWh],Energy[[Sector]:[Sector]],$A$248, Energy[[Fuel_category]:[Fuel_category]],$B254),"")</f>
        <v>0</v>
      </c>
      <c r="AB254" s="28">
        <f ca="1">IFERROR(SUMIFS(Energy[2046_TWh],Energy[[Sector]:[Sector]],$A$248, Energy[[Fuel_category]:[Fuel_category]],$B254),"")</f>
        <v>0</v>
      </c>
      <c r="AC254" s="28">
        <f ca="1">IFERROR(SUMIFS(Energy[2047_TWh],Energy[[Sector]:[Sector]],$A$248, Energy[[Fuel_category]:[Fuel_category]],$B254),"")</f>
        <v>0</v>
      </c>
      <c r="AD254" s="28">
        <f ca="1">IFERROR(SUMIFS(Energy[2048_TWh],Energy[[Sector]:[Sector]],$A$248, Energy[[Fuel_category]:[Fuel_category]],$B254),"")</f>
        <v>0</v>
      </c>
      <c r="AE254" s="28">
        <f ca="1">IFERROR(SUMIFS(Energy[2049_TWh],Energy[[Sector]:[Sector]],$A$248, Energy[[Fuel_category]:[Fuel_category]],$B254),"")</f>
        <v>0</v>
      </c>
      <c r="AF254" s="28">
        <f ca="1">IFERROR(SUMIFS(Energy[2050_TWh],Energy[[Sector]:[Sector]],$A$248, Energy[[Fuel_category]:[Fuel_category]],$B254),"")</f>
        <v>0</v>
      </c>
      <c r="AG254" s="28">
        <f ca="1">IFERROR(SUMIFS(Energy[2051_TWh],Energy[[Sector]:[Sector]],$A$248, Energy[[Fuel_category]:[Fuel_category]],$B254),"")</f>
        <v>0</v>
      </c>
    </row>
    <row r="255" spans="1:33" ht="14.65" thickBot="1" x14ac:dyDescent="0.5">
      <c r="B255" s="29" t="s">
        <v>124</v>
      </c>
      <c r="C255" s="31">
        <f ca="1">IF(C135&lt;&gt;"",SUM(C248:C253),"")</f>
        <v>0</v>
      </c>
      <c r="D255" s="31">
        <f t="shared" ref="D255:AF255" ca="1" si="52">IF(D135&lt;&gt;"",SUM(D248:D253),"")</f>
        <v>0</v>
      </c>
      <c r="E255" s="31">
        <f t="shared" ca="1" si="52"/>
        <v>0</v>
      </c>
      <c r="F255" s="31">
        <f t="shared" ca="1" si="52"/>
        <v>0</v>
      </c>
      <c r="G255" s="31">
        <f t="shared" ca="1" si="52"/>
        <v>0</v>
      </c>
      <c r="H255" s="31">
        <f t="shared" ca="1" si="52"/>
        <v>0</v>
      </c>
      <c r="I255" s="31">
        <f t="shared" ca="1" si="52"/>
        <v>0</v>
      </c>
      <c r="J255" s="31">
        <f t="shared" ca="1" si="52"/>
        <v>0</v>
      </c>
      <c r="K255" s="31">
        <f t="shared" ca="1" si="52"/>
        <v>0</v>
      </c>
      <c r="L255" s="31">
        <f t="shared" ca="1" si="52"/>
        <v>0</v>
      </c>
      <c r="M255" s="31">
        <f t="shared" ca="1" si="52"/>
        <v>0</v>
      </c>
      <c r="N255" s="31">
        <f t="shared" ca="1" si="52"/>
        <v>0</v>
      </c>
      <c r="O255" s="31">
        <f t="shared" ca="1" si="52"/>
        <v>0</v>
      </c>
      <c r="P255" s="31">
        <f t="shared" ca="1" si="52"/>
        <v>0</v>
      </c>
      <c r="Q255" s="31">
        <f t="shared" ca="1" si="52"/>
        <v>0</v>
      </c>
      <c r="R255" s="31">
        <f t="shared" ca="1" si="52"/>
        <v>0</v>
      </c>
      <c r="S255" s="31">
        <f t="shared" ca="1" si="52"/>
        <v>0</v>
      </c>
      <c r="T255" s="31">
        <f t="shared" ca="1" si="52"/>
        <v>0</v>
      </c>
      <c r="U255" s="31">
        <f t="shared" ca="1" si="52"/>
        <v>0</v>
      </c>
      <c r="V255" s="31">
        <f t="shared" ca="1" si="52"/>
        <v>0</v>
      </c>
      <c r="W255" s="31">
        <f t="shared" ca="1" si="52"/>
        <v>0</v>
      </c>
      <c r="X255" s="31">
        <f t="shared" ca="1" si="52"/>
        <v>0</v>
      </c>
      <c r="Y255" s="31">
        <f t="shared" ca="1" si="52"/>
        <v>0</v>
      </c>
      <c r="Z255" s="31">
        <f t="shared" ca="1" si="52"/>
        <v>0</v>
      </c>
      <c r="AA255" s="31">
        <f t="shared" ca="1" si="52"/>
        <v>0</v>
      </c>
      <c r="AB255" s="31">
        <f t="shared" ca="1" si="52"/>
        <v>0</v>
      </c>
      <c r="AC255" s="31">
        <f t="shared" ca="1" si="52"/>
        <v>0</v>
      </c>
      <c r="AD255" s="31">
        <f t="shared" ca="1" si="52"/>
        <v>0</v>
      </c>
      <c r="AE255" s="31">
        <f t="shared" ca="1" si="52"/>
        <v>0</v>
      </c>
      <c r="AF255" s="31">
        <f t="shared" ca="1" si="52"/>
        <v>0</v>
      </c>
      <c r="AG255" s="31">
        <f t="shared" ref="AG255" ca="1" si="53">IF(AG135&lt;&gt;"",SUM(AG248:AG253),"")</f>
        <v>0</v>
      </c>
    </row>
    <row r="256" spans="1:33" ht="14.65" thickTop="1" x14ac:dyDescent="0.45"/>
    <row r="257" spans="1:33" ht="15.75" customHeight="1" x14ac:dyDescent="0.45">
      <c r="B257" s="6"/>
      <c r="C257" s="6">
        <v>2021</v>
      </c>
      <c r="D257" s="6">
        <v>2022</v>
      </c>
      <c r="E257" s="6">
        <v>2023</v>
      </c>
      <c r="F257" s="6">
        <v>2024</v>
      </c>
      <c r="G257" s="6">
        <v>2025</v>
      </c>
      <c r="H257" s="6">
        <v>2026</v>
      </c>
      <c r="I257" s="6">
        <v>2027</v>
      </c>
      <c r="J257" s="6">
        <v>2028</v>
      </c>
      <c r="K257" s="6">
        <v>2029</v>
      </c>
      <c r="L257" s="6">
        <v>2030</v>
      </c>
      <c r="M257" s="6">
        <v>2031</v>
      </c>
      <c r="N257" s="6">
        <v>2032</v>
      </c>
      <c r="O257" s="6">
        <v>2033</v>
      </c>
      <c r="P257" s="6">
        <v>2034</v>
      </c>
      <c r="Q257" s="6">
        <v>2035</v>
      </c>
      <c r="R257" s="6">
        <v>2036</v>
      </c>
      <c r="S257" s="6">
        <v>2037</v>
      </c>
      <c r="T257" s="6">
        <v>2038</v>
      </c>
      <c r="U257" s="6">
        <v>2039</v>
      </c>
      <c r="V257" s="6">
        <v>2040</v>
      </c>
      <c r="W257" s="6">
        <v>2041</v>
      </c>
      <c r="X257" s="6">
        <v>2042</v>
      </c>
      <c r="Y257" s="6">
        <v>2043</v>
      </c>
      <c r="Z257" s="6">
        <v>2044</v>
      </c>
      <c r="AA257" s="6">
        <v>2045</v>
      </c>
      <c r="AB257" s="6">
        <v>2046</v>
      </c>
      <c r="AC257" s="6">
        <v>2047</v>
      </c>
      <c r="AD257" s="6">
        <v>2048</v>
      </c>
      <c r="AE257" s="6">
        <v>2049</v>
      </c>
      <c r="AF257" s="6">
        <v>2050</v>
      </c>
      <c r="AG257" s="6">
        <v>2051</v>
      </c>
    </row>
    <row r="258" spans="1:33" x14ac:dyDescent="0.45">
      <c r="A258" t="s">
        <v>25</v>
      </c>
      <c r="B258" s="21" t="s">
        <v>82</v>
      </c>
      <c r="C258" s="28">
        <f ca="1">IFERROR(SUMIFS(Energy[2021_TWh],Energy[[Sector]:[Sector]],$A$258, Energy[[Fuel_category]:[Fuel_category]],$B258),"")</f>
        <v>0</v>
      </c>
      <c r="D258" s="28">
        <f ca="1">IFERROR(SUMIFS(Energy[2022_TWh],Energy[[Sector]:[Sector]],$A$258, Energy[[Fuel_category]:[Fuel_category]],$B258),"")</f>
        <v>0</v>
      </c>
      <c r="E258" s="28">
        <f ca="1">IFERROR(SUMIFS(Energy[2023_TWh],Energy[[Sector]:[Sector]],$A$258, Energy[[Fuel_category]:[Fuel_category]],$B258),"")</f>
        <v>0</v>
      </c>
      <c r="F258" s="28">
        <f ca="1">IFERROR(SUMIFS(Energy[2024_TWh],Energy[[Sector]:[Sector]],$A$258, Energy[[Fuel_category]:[Fuel_category]],$B258),"")</f>
        <v>0</v>
      </c>
      <c r="G258" s="28">
        <f ca="1">IFERROR(SUMIFS(Energy[2025_TWh],Energy[[Sector]:[Sector]],$A$258, Energy[[Fuel_category]:[Fuel_category]],$B258),"")</f>
        <v>0</v>
      </c>
      <c r="H258" s="28">
        <f ca="1">IFERROR(SUMIFS(Energy[2026_TWh],Energy[[Sector]:[Sector]],$A$258, Energy[[Fuel_category]:[Fuel_category]],$B258),"")</f>
        <v>0</v>
      </c>
      <c r="I258" s="28">
        <f ca="1">IFERROR(SUMIFS(Energy[2027_TWh],Energy[[Sector]:[Sector]],$A$258, Energy[[Fuel_category]:[Fuel_category]],$B258),"")</f>
        <v>0</v>
      </c>
      <c r="J258" s="28">
        <f ca="1">IFERROR(SUMIFS(Energy[2028_TWh],Energy[[Sector]:[Sector]],$A$258, Energy[[Fuel_category]:[Fuel_category]],$B258),"")</f>
        <v>0</v>
      </c>
      <c r="K258" s="28">
        <f ca="1">IFERROR(SUMIFS(Energy[2029_TWh],Energy[[Sector]:[Sector]],$A$258, Energy[[Fuel_category]:[Fuel_category]],$B258),"")</f>
        <v>0</v>
      </c>
      <c r="L258" s="28">
        <f ca="1">IFERROR(SUMIFS(Energy[2030_TWh],Energy[[Sector]:[Sector]],$A$258, Energy[[Fuel_category]:[Fuel_category]],$B258),"")</f>
        <v>0</v>
      </c>
      <c r="M258" s="28">
        <f ca="1">IFERROR(SUMIFS(Energy[2031_TWh],Energy[[Sector]:[Sector]],$A$258, Energy[[Fuel_category]:[Fuel_category]],$B258),"")</f>
        <v>0</v>
      </c>
      <c r="N258" s="28">
        <f ca="1">IFERROR(SUMIFS(Energy[2032_TWh],Energy[[Sector]:[Sector]],$A$258, Energy[[Fuel_category]:[Fuel_category]],$B258),"")</f>
        <v>0</v>
      </c>
      <c r="O258" s="28">
        <f ca="1">IFERROR(SUMIFS(Energy[2033_TWh],Energy[[Sector]:[Sector]],$A$258, Energy[[Fuel_category]:[Fuel_category]],$B258),"")</f>
        <v>0</v>
      </c>
      <c r="P258" s="28">
        <f ca="1">IFERROR(SUMIFS(Energy[2034_TWh],Energy[[Sector]:[Sector]],$A$258, Energy[[Fuel_category]:[Fuel_category]],$B258),"")</f>
        <v>0</v>
      </c>
      <c r="Q258" s="28">
        <f ca="1">IFERROR(SUMIFS(Energy[2035_TWh],Energy[[Sector]:[Sector]],$A$258, Energy[[Fuel_category]:[Fuel_category]],$B258),"")</f>
        <v>0</v>
      </c>
      <c r="R258" s="28">
        <f ca="1">IFERROR(SUMIFS(Energy[2036_TWh],Energy[[Sector]:[Sector]],$A$258, Energy[[Fuel_category]:[Fuel_category]],$B258),"")</f>
        <v>0</v>
      </c>
      <c r="S258" s="28">
        <f ca="1">IFERROR(SUMIFS(Energy[2037_TWh],Energy[[Sector]:[Sector]],$A$258, Energy[[Fuel_category]:[Fuel_category]],$B258),"")</f>
        <v>0</v>
      </c>
      <c r="T258" s="28">
        <f ca="1">IFERROR(SUMIFS(Energy[2038_TWh],Energy[[Sector]:[Sector]],$A$258, Energy[[Fuel_category]:[Fuel_category]],$B258),"")</f>
        <v>0</v>
      </c>
      <c r="U258" s="28">
        <f ca="1">IFERROR(SUMIFS(Energy[2039_TWh],Energy[[Sector]:[Sector]],$A$258, Energy[[Fuel_category]:[Fuel_category]],$B258),"")</f>
        <v>0</v>
      </c>
      <c r="V258" s="28">
        <f ca="1">IFERROR(SUMIFS(Energy[2040_TWh],Energy[[Sector]:[Sector]],$A$258, Energy[[Fuel_category]:[Fuel_category]],$B258),"")</f>
        <v>0</v>
      </c>
      <c r="W258" s="28">
        <f ca="1">IFERROR(SUMIFS(Energy[2041_TWh],Energy[[Sector]:[Sector]],$A$258, Energy[[Fuel_category]:[Fuel_category]],$B258),"")</f>
        <v>0</v>
      </c>
      <c r="X258" s="28">
        <f ca="1">IFERROR(SUMIFS(Energy[2042_TWh],Energy[[Sector]:[Sector]],$A$258, Energy[[Fuel_category]:[Fuel_category]],$B258),"")</f>
        <v>0</v>
      </c>
      <c r="Y258" s="28">
        <f ca="1">IFERROR(SUMIFS(Energy[2043_TWh],Energy[[Sector]:[Sector]],$A$258, Energy[[Fuel_category]:[Fuel_category]],$B258),"")</f>
        <v>0</v>
      </c>
      <c r="Z258" s="28">
        <f ca="1">IFERROR(SUMIFS(Energy[2044_TWh],Energy[[Sector]:[Sector]],$A$258, Energy[[Fuel_category]:[Fuel_category]],$B258),"")</f>
        <v>0</v>
      </c>
      <c r="AA258" s="28">
        <f ca="1">IFERROR(SUMIFS(Energy[2045_TWh],Energy[[Sector]:[Sector]],$A$258, Energy[[Fuel_category]:[Fuel_category]],$B258),"")</f>
        <v>0</v>
      </c>
      <c r="AB258" s="28">
        <f ca="1">IFERROR(SUMIFS(Energy[2046_TWh],Energy[[Sector]:[Sector]],$A$258, Energy[[Fuel_category]:[Fuel_category]],$B258),"")</f>
        <v>0</v>
      </c>
      <c r="AC258" s="28">
        <f ca="1">IFERROR(SUMIFS(Energy[2047_TWh],Energy[[Sector]:[Sector]],$A$258, Energy[[Fuel_category]:[Fuel_category]],$B258),"")</f>
        <v>0</v>
      </c>
      <c r="AD258" s="28">
        <f ca="1">IFERROR(SUMIFS(Energy[2048_TWh],Energy[[Sector]:[Sector]],$A$258, Energy[[Fuel_category]:[Fuel_category]],$B258),"")</f>
        <v>0</v>
      </c>
      <c r="AE258" s="28">
        <f ca="1">IFERROR(SUMIFS(Energy[2049_TWh],Energy[[Sector]:[Sector]],$A$258, Energy[[Fuel_category]:[Fuel_category]],$B258),"")</f>
        <v>0</v>
      </c>
      <c r="AF258" s="28">
        <f ca="1">IFERROR(SUMIFS(Energy[2050_TWh],Energy[[Sector]:[Sector]],$A$258, Energy[[Fuel_category]:[Fuel_category]],$B258),"")</f>
        <v>0</v>
      </c>
      <c r="AG258" s="28">
        <f ca="1">IFERROR(SUMIFS(Energy[2051_TWh],Energy[[Sector]:[Sector]],$A$258, Energy[[Fuel_category]:[Fuel_category]],$B258),"")</f>
        <v>0</v>
      </c>
    </row>
    <row r="259" spans="1:33" x14ac:dyDescent="0.45">
      <c r="B259" s="21" t="s">
        <v>83</v>
      </c>
      <c r="C259" s="28">
        <f ca="1">IFERROR(SUMIFS(Energy[2021_TWh],Energy[[Sector]:[Sector]],$A$258, Energy[[Fuel_category]:[Fuel_category]],$B259),"")</f>
        <v>0</v>
      </c>
      <c r="D259" s="28">
        <f ca="1">IFERROR(SUMIFS(Energy[2022_TWh],Energy[[Sector]:[Sector]],$A$258, Energy[[Fuel_category]:[Fuel_category]],$B259),"")</f>
        <v>0</v>
      </c>
      <c r="E259" s="28">
        <f ca="1">IFERROR(SUMIFS(Energy[2023_TWh],Energy[[Sector]:[Sector]],$A$258, Energy[[Fuel_category]:[Fuel_category]],$B259),"")</f>
        <v>0</v>
      </c>
      <c r="F259" s="28">
        <f ca="1">IFERROR(SUMIFS(Energy[2024_TWh],Energy[[Sector]:[Sector]],$A$258, Energy[[Fuel_category]:[Fuel_category]],$B259),"")</f>
        <v>0</v>
      </c>
      <c r="G259" s="28">
        <f ca="1">IFERROR(SUMIFS(Energy[2025_TWh],Energy[[Sector]:[Sector]],$A$258, Energy[[Fuel_category]:[Fuel_category]],$B259),"")</f>
        <v>0</v>
      </c>
      <c r="H259" s="28">
        <f ca="1">IFERROR(SUMIFS(Energy[2026_TWh],Energy[[Sector]:[Sector]],$A$258, Energy[[Fuel_category]:[Fuel_category]],$B259),"")</f>
        <v>0</v>
      </c>
      <c r="I259" s="28">
        <f ca="1">IFERROR(SUMIFS(Energy[2027_TWh],Energy[[Sector]:[Sector]],$A$258, Energy[[Fuel_category]:[Fuel_category]],$B259),"")</f>
        <v>0</v>
      </c>
      <c r="J259" s="28">
        <f ca="1">IFERROR(SUMIFS(Energy[2028_TWh],Energy[[Sector]:[Sector]],$A$258, Energy[[Fuel_category]:[Fuel_category]],$B259),"")</f>
        <v>0</v>
      </c>
      <c r="K259" s="28">
        <f ca="1">IFERROR(SUMIFS(Energy[2029_TWh],Energy[[Sector]:[Sector]],$A$258, Energy[[Fuel_category]:[Fuel_category]],$B259),"")</f>
        <v>0</v>
      </c>
      <c r="L259" s="28">
        <f ca="1">IFERROR(SUMIFS(Energy[2030_TWh],Energy[[Sector]:[Sector]],$A$258, Energy[[Fuel_category]:[Fuel_category]],$B259),"")</f>
        <v>0</v>
      </c>
      <c r="M259" s="28">
        <f ca="1">IFERROR(SUMIFS(Energy[2031_TWh],Energy[[Sector]:[Sector]],$A$258, Energy[[Fuel_category]:[Fuel_category]],$B259),"")</f>
        <v>0</v>
      </c>
      <c r="N259" s="28">
        <f ca="1">IFERROR(SUMIFS(Energy[2032_TWh],Energy[[Sector]:[Sector]],$A$258, Energy[[Fuel_category]:[Fuel_category]],$B259),"")</f>
        <v>0</v>
      </c>
      <c r="O259" s="28">
        <f ca="1">IFERROR(SUMIFS(Energy[2033_TWh],Energy[[Sector]:[Sector]],$A$258, Energy[[Fuel_category]:[Fuel_category]],$B259),"")</f>
        <v>0</v>
      </c>
      <c r="P259" s="28">
        <f ca="1">IFERROR(SUMIFS(Energy[2034_TWh],Energy[[Sector]:[Sector]],$A$258, Energy[[Fuel_category]:[Fuel_category]],$B259),"")</f>
        <v>0</v>
      </c>
      <c r="Q259" s="28">
        <f ca="1">IFERROR(SUMIFS(Energy[2035_TWh],Energy[[Sector]:[Sector]],$A$258, Energy[[Fuel_category]:[Fuel_category]],$B259),"")</f>
        <v>0</v>
      </c>
      <c r="R259" s="28">
        <f ca="1">IFERROR(SUMIFS(Energy[2036_TWh],Energy[[Sector]:[Sector]],$A$258, Energy[[Fuel_category]:[Fuel_category]],$B259),"")</f>
        <v>0</v>
      </c>
      <c r="S259" s="28">
        <f ca="1">IFERROR(SUMIFS(Energy[2037_TWh],Energy[[Sector]:[Sector]],$A$258, Energy[[Fuel_category]:[Fuel_category]],$B259),"")</f>
        <v>0</v>
      </c>
      <c r="T259" s="28">
        <f ca="1">IFERROR(SUMIFS(Energy[2038_TWh],Energy[[Sector]:[Sector]],$A$258, Energy[[Fuel_category]:[Fuel_category]],$B259),"")</f>
        <v>0</v>
      </c>
      <c r="U259" s="28">
        <f ca="1">IFERROR(SUMIFS(Energy[2039_TWh],Energy[[Sector]:[Sector]],$A$258, Energy[[Fuel_category]:[Fuel_category]],$B259),"")</f>
        <v>0</v>
      </c>
      <c r="V259" s="28">
        <f ca="1">IFERROR(SUMIFS(Energy[2040_TWh],Energy[[Sector]:[Sector]],$A$258, Energy[[Fuel_category]:[Fuel_category]],$B259),"")</f>
        <v>0</v>
      </c>
      <c r="W259" s="28">
        <f ca="1">IFERROR(SUMIFS(Energy[2041_TWh],Energy[[Sector]:[Sector]],$A$258, Energy[[Fuel_category]:[Fuel_category]],$B259),"")</f>
        <v>0</v>
      </c>
      <c r="X259" s="28">
        <f ca="1">IFERROR(SUMIFS(Energy[2042_TWh],Energy[[Sector]:[Sector]],$A$258, Energy[[Fuel_category]:[Fuel_category]],$B259),"")</f>
        <v>0</v>
      </c>
      <c r="Y259" s="28">
        <f ca="1">IFERROR(SUMIFS(Energy[2043_TWh],Energy[[Sector]:[Sector]],$A$258, Energy[[Fuel_category]:[Fuel_category]],$B259),"")</f>
        <v>0</v>
      </c>
      <c r="Z259" s="28">
        <f ca="1">IFERROR(SUMIFS(Energy[2044_TWh],Energy[[Sector]:[Sector]],$A$258, Energy[[Fuel_category]:[Fuel_category]],$B259),"")</f>
        <v>0</v>
      </c>
      <c r="AA259" s="28">
        <f ca="1">IFERROR(SUMIFS(Energy[2045_TWh],Energy[[Sector]:[Sector]],$A$258, Energy[[Fuel_category]:[Fuel_category]],$B259),"")</f>
        <v>0</v>
      </c>
      <c r="AB259" s="28">
        <f ca="1">IFERROR(SUMIFS(Energy[2046_TWh],Energy[[Sector]:[Sector]],$A$258, Energy[[Fuel_category]:[Fuel_category]],$B259),"")</f>
        <v>0</v>
      </c>
      <c r="AC259" s="28">
        <f ca="1">IFERROR(SUMIFS(Energy[2047_TWh],Energy[[Sector]:[Sector]],$A$258, Energy[[Fuel_category]:[Fuel_category]],$B259),"")</f>
        <v>0</v>
      </c>
      <c r="AD259" s="28">
        <f ca="1">IFERROR(SUMIFS(Energy[2048_TWh],Energy[[Sector]:[Sector]],$A$258, Energy[[Fuel_category]:[Fuel_category]],$B259),"")</f>
        <v>0</v>
      </c>
      <c r="AE259" s="28">
        <f ca="1">IFERROR(SUMIFS(Energy[2049_TWh],Energy[[Sector]:[Sector]],$A$258, Energy[[Fuel_category]:[Fuel_category]],$B259),"")</f>
        <v>0</v>
      </c>
      <c r="AF259" s="28">
        <f ca="1">IFERROR(SUMIFS(Energy[2050_TWh],Energy[[Sector]:[Sector]],$A$258, Energy[[Fuel_category]:[Fuel_category]],$B259),"")</f>
        <v>0</v>
      </c>
      <c r="AG259" s="28">
        <f ca="1">IFERROR(SUMIFS(Energy[2051_TWh],Energy[[Sector]:[Sector]],$A$258, Energy[[Fuel_category]:[Fuel_category]],$B259),"")</f>
        <v>0</v>
      </c>
    </row>
    <row r="260" spans="1:33" x14ac:dyDescent="0.45">
      <c r="B260" s="21" t="s">
        <v>67</v>
      </c>
      <c r="C260" s="28">
        <f ca="1">IFERROR(SUMIFS(Energy[2021_TWh],Energy[[Sector]:[Sector]],$A$258, Energy[[Fuel_category]:[Fuel_category]],$B260),"")</f>
        <v>0</v>
      </c>
      <c r="D260" s="28">
        <f ca="1">IFERROR(SUMIFS(Energy[2022_TWh],Energy[[Sector]:[Sector]],$A$258, Energy[[Fuel_category]:[Fuel_category]],$B260),"")</f>
        <v>0</v>
      </c>
      <c r="E260" s="28">
        <f ca="1">IFERROR(SUMIFS(Energy[2023_TWh],Energy[[Sector]:[Sector]],$A$258, Energy[[Fuel_category]:[Fuel_category]],$B260),"")</f>
        <v>0</v>
      </c>
      <c r="F260" s="28">
        <f ca="1">IFERROR(SUMIFS(Energy[2024_TWh],Energy[[Sector]:[Sector]],$A$258, Energy[[Fuel_category]:[Fuel_category]],$B260),"")</f>
        <v>0</v>
      </c>
      <c r="G260" s="28">
        <f ca="1">IFERROR(SUMIFS(Energy[2025_TWh],Energy[[Sector]:[Sector]],$A$258, Energy[[Fuel_category]:[Fuel_category]],$B260),"")</f>
        <v>0</v>
      </c>
      <c r="H260" s="28">
        <f ca="1">IFERROR(SUMIFS(Energy[2026_TWh],Energy[[Sector]:[Sector]],$A$258, Energy[[Fuel_category]:[Fuel_category]],$B260),"")</f>
        <v>0</v>
      </c>
      <c r="I260" s="28">
        <f ca="1">IFERROR(SUMIFS(Energy[2027_TWh],Energy[[Sector]:[Sector]],$A$258, Energy[[Fuel_category]:[Fuel_category]],$B260),"")</f>
        <v>0</v>
      </c>
      <c r="J260" s="28">
        <f ca="1">IFERROR(SUMIFS(Energy[2028_TWh],Energy[[Sector]:[Sector]],$A$258, Energy[[Fuel_category]:[Fuel_category]],$B260),"")</f>
        <v>0</v>
      </c>
      <c r="K260" s="28">
        <f ca="1">IFERROR(SUMIFS(Energy[2029_TWh],Energy[[Sector]:[Sector]],$A$258, Energy[[Fuel_category]:[Fuel_category]],$B260),"")</f>
        <v>0</v>
      </c>
      <c r="L260" s="28">
        <f ca="1">IFERROR(SUMIFS(Energy[2030_TWh],Energy[[Sector]:[Sector]],$A$258, Energy[[Fuel_category]:[Fuel_category]],$B260),"")</f>
        <v>0</v>
      </c>
      <c r="M260" s="28">
        <f ca="1">IFERROR(SUMIFS(Energy[2031_TWh],Energy[[Sector]:[Sector]],$A$258, Energy[[Fuel_category]:[Fuel_category]],$B260),"")</f>
        <v>0</v>
      </c>
      <c r="N260" s="28">
        <f ca="1">IFERROR(SUMIFS(Energy[2032_TWh],Energy[[Sector]:[Sector]],$A$258, Energy[[Fuel_category]:[Fuel_category]],$B260),"")</f>
        <v>0</v>
      </c>
      <c r="O260" s="28">
        <f ca="1">IFERROR(SUMIFS(Energy[2033_TWh],Energy[[Sector]:[Sector]],$A$258, Energy[[Fuel_category]:[Fuel_category]],$B260),"")</f>
        <v>0</v>
      </c>
      <c r="P260" s="28">
        <f ca="1">IFERROR(SUMIFS(Energy[2034_TWh],Energy[[Sector]:[Sector]],$A$258, Energy[[Fuel_category]:[Fuel_category]],$B260),"")</f>
        <v>0</v>
      </c>
      <c r="Q260" s="28">
        <f ca="1">IFERROR(SUMIFS(Energy[2035_TWh],Energy[[Sector]:[Sector]],$A$258, Energy[[Fuel_category]:[Fuel_category]],$B260),"")</f>
        <v>0</v>
      </c>
      <c r="R260" s="28">
        <f ca="1">IFERROR(SUMIFS(Energy[2036_TWh],Energy[[Sector]:[Sector]],$A$258, Energy[[Fuel_category]:[Fuel_category]],$B260),"")</f>
        <v>0</v>
      </c>
      <c r="S260" s="28">
        <f ca="1">IFERROR(SUMIFS(Energy[2037_TWh],Energy[[Sector]:[Sector]],$A$258, Energy[[Fuel_category]:[Fuel_category]],$B260),"")</f>
        <v>0</v>
      </c>
      <c r="T260" s="28">
        <f ca="1">IFERROR(SUMIFS(Energy[2038_TWh],Energy[[Sector]:[Sector]],$A$258, Energy[[Fuel_category]:[Fuel_category]],$B260),"")</f>
        <v>0</v>
      </c>
      <c r="U260" s="28">
        <f ca="1">IFERROR(SUMIFS(Energy[2039_TWh],Energy[[Sector]:[Sector]],$A$258, Energy[[Fuel_category]:[Fuel_category]],$B260),"")</f>
        <v>0</v>
      </c>
      <c r="V260" s="28">
        <f ca="1">IFERROR(SUMIFS(Energy[2040_TWh],Energy[[Sector]:[Sector]],$A$258, Energy[[Fuel_category]:[Fuel_category]],$B260),"")</f>
        <v>0</v>
      </c>
      <c r="W260" s="28">
        <f ca="1">IFERROR(SUMIFS(Energy[2041_TWh],Energy[[Sector]:[Sector]],$A$258, Energy[[Fuel_category]:[Fuel_category]],$B260),"")</f>
        <v>0</v>
      </c>
      <c r="X260" s="28">
        <f ca="1">IFERROR(SUMIFS(Energy[2042_TWh],Energy[[Sector]:[Sector]],$A$258, Energy[[Fuel_category]:[Fuel_category]],$B260),"")</f>
        <v>0</v>
      </c>
      <c r="Y260" s="28">
        <f ca="1">IFERROR(SUMIFS(Energy[2043_TWh],Energy[[Sector]:[Sector]],$A$258, Energy[[Fuel_category]:[Fuel_category]],$B260),"")</f>
        <v>0</v>
      </c>
      <c r="Z260" s="28">
        <f ca="1">IFERROR(SUMIFS(Energy[2044_TWh],Energy[[Sector]:[Sector]],$A$258, Energy[[Fuel_category]:[Fuel_category]],$B260),"")</f>
        <v>0</v>
      </c>
      <c r="AA260" s="28">
        <f ca="1">IFERROR(SUMIFS(Energy[2045_TWh],Energy[[Sector]:[Sector]],$A$258, Energy[[Fuel_category]:[Fuel_category]],$B260),"")</f>
        <v>0</v>
      </c>
      <c r="AB260" s="28">
        <f ca="1">IFERROR(SUMIFS(Energy[2046_TWh],Energy[[Sector]:[Sector]],$A$258, Energy[[Fuel_category]:[Fuel_category]],$B260),"")</f>
        <v>0</v>
      </c>
      <c r="AC260" s="28">
        <f ca="1">IFERROR(SUMIFS(Energy[2047_TWh],Energy[[Sector]:[Sector]],$A$258, Energy[[Fuel_category]:[Fuel_category]],$B260),"")</f>
        <v>0</v>
      </c>
      <c r="AD260" s="28">
        <f ca="1">IFERROR(SUMIFS(Energy[2048_TWh],Energy[[Sector]:[Sector]],$A$258, Energy[[Fuel_category]:[Fuel_category]],$B260),"")</f>
        <v>0</v>
      </c>
      <c r="AE260" s="28">
        <f ca="1">IFERROR(SUMIFS(Energy[2049_TWh],Energy[[Sector]:[Sector]],$A$258, Energy[[Fuel_category]:[Fuel_category]],$B260),"")</f>
        <v>0</v>
      </c>
      <c r="AF260" s="28">
        <f ca="1">IFERROR(SUMIFS(Energy[2050_TWh],Energy[[Sector]:[Sector]],$A$258, Energy[[Fuel_category]:[Fuel_category]],$B260),"")</f>
        <v>0</v>
      </c>
      <c r="AG260" s="28">
        <f ca="1">IFERROR(SUMIFS(Energy[2051_TWh],Energy[[Sector]:[Sector]],$A$258, Energy[[Fuel_category]:[Fuel_category]],$B260),"")</f>
        <v>0</v>
      </c>
    </row>
    <row r="261" spans="1:33" x14ac:dyDescent="0.45">
      <c r="B261" s="21" t="s">
        <v>35</v>
      </c>
      <c r="C261" s="28">
        <f ca="1">IFERROR(SUMIFS(Energy[2021_TWh],Energy[[Sector]:[Sector]],$A$258, Energy[[Fuel_category]:[Fuel_category]],$B261),"")</f>
        <v>0</v>
      </c>
      <c r="D261" s="28">
        <f ca="1">IFERROR(SUMIFS(Energy[2022_TWh],Energy[[Sector]:[Sector]],$A$258, Energy[[Fuel_category]:[Fuel_category]],$B261),"")</f>
        <v>0</v>
      </c>
      <c r="E261" s="28">
        <f ca="1">IFERROR(SUMIFS(Energy[2023_TWh],Energy[[Sector]:[Sector]],$A$258, Energy[[Fuel_category]:[Fuel_category]],$B261),"")</f>
        <v>0</v>
      </c>
      <c r="F261" s="28">
        <f ca="1">IFERROR(SUMIFS(Energy[2024_TWh],Energy[[Sector]:[Sector]],$A$258, Energy[[Fuel_category]:[Fuel_category]],$B261),"")</f>
        <v>0</v>
      </c>
      <c r="G261" s="28">
        <f ca="1">IFERROR(SUMIFS(Energy[2025_TWh],Energy[[Sector]:[Sector]],$A$258, Energy[[Fuel_category]:[Fuel_category]],$B261),"")</f>
        <v>0</v>
      </c>
      <c r="H261" s="28">
        <f ca="1">IFERROR(SUMIFS(Energy[2026_TWh],Energy[[Sector]:[Sector]],$A$258, Energy[[Fuel_category]:[Fuel_category]],$B261),"")</f>
        <v>0</v>
      </c>
      <c r="I261" s="28">
        <f ca="1">IFERROR(SUMIFS(Energy[2027_TWh],Energy[[Sector]:[Sector]],$A$258, Energy[[Fuel_category]:[Fuel_category]],$B261),"")</f>
        <v>0</v>
      </c>
      <c r="J261" s="28">
        <f ca="1">IFERROR(SUMIFS(Energy[2028_TWh],Energy[[Sector]:[Sector]],$A$258, Energy[[Fuel_category]:[Fuel_category]],$B261),"")</f>
        <v>0</v>
      </c>
      <c r="K261" s="28">
        <f ca="1">IFERROR(SUMIFS(Energy[2029_TWh],Energy[[Sector]:[Sector]],$A$258, Energy[[Fuel_category]:[Fuel_category]],$B261),"")</f>
        <v>0</v>
      </c>
      <c r="L261" s="28">
        <f ca="1">IFERROR(SUMIFS(Energy[2030_TWh],Energy[[Sector]:[Sector]],$A$258, Energy[[Fuel_category]:[Fuel_category]],$B261),"")</f>
        <v>0</v>
      </c>
      <c r="M261" s="28">
        <f ca="1">IFERROR(SUMIFS(Energy[2031_TWh],Energy[[Sector]:[Sector]],$A$258, Energy[[Fuel_category]:[Fuel_category]],$B261),"")</f>
        <v>0</v>
      </c>
      <c r="N261" s="28">
        <f ca="1">IFERROR(SUMIFS(Energy[2032_TWh],Energy[[Sector]:[Sector]],$A$258, Energy[[Fuel_category]:[Fuel_category]],$B261),"")</f>
        <v>0</v>
      </c>
      <c r="O261" s="28">
        <f ca="1">IFERROR(SUMIFS(Energy[2033_TWh],Energy[[Sector]:[Sector]],$A$258, Energy[[Fuel_category]:[Fuel_category]],$B261),"")</f>
        <v>0</v>
      </c>
      <c r="P261" s="28">
        <f ca="1">IFERROR(SUMIFS(Energy[2034_TWh],Energy[[Sector]:[Sector]],$A$258, Energy[[Fuel_category]:[Fuel_category]],$B261),"")</f>
        <v>0</v>
      </c>
      <c r="Q261" s="28">
        <f ca="1">IFERROR(SUMIFS(Energy[2035_TWh],Energy[[Sector]:[Sector]],$A$258, Energy[[Fuel_category]:[Fuel_category]],$B261),"")</f>
        <v>0</v>
      </c>
      <c r="R261" s="28">
        <f ca="1">IFERROR(SUMIFS(Energy[2036_TWh],Energy[[Sector]:[Sector]],$A$258, Energy[[Fuel_category]:[Fuel_category]],$B261),"")</f>
        <v>0</v>
      </c>
      <c r="S261" s="28">
        <f ca="1">IFERROR(SUMIFS(Energy[2037_TWh],Energy[[Sector]:[Sector]],$A$258, Energy[[Fuel_category]:[Fuel_category]],$B261),"")</f>
        <v>0</v>
      </c>
      <c r="T261" s="28">
        <f ca="1">IFERROR(SUMIFS(Energy[2038_TWh],Energy[[Sector]:[Sector]],$A$258, Energy[[Fuel_category]:[Fuel_category]],$B261),"")</f>
        <v>0</v>
      </c>
      <c r="U261" s="28">
        <f ca="1">IFERROR(SUMIFS(Energy[2039_TWh],Energy[[Sector]:[Sector]],$A$258, Energy[[Fuel_category]:[Fuel_category]],$B261),"")</f>
        <v>0</v>
      </c>
      <c r="V261" s="28">
        <f ca="1">IFERROR(SUMIFS(Energy[2040_TWh],Energy[[Sector]:[Sector]],$A$258, Energy[[Fuel_category]:[Fuel_category]],$B261),"")</f>
        <v>0</v>
      </c>
      <c r="W261" s="28">
        <f ca="1">IFERROR(SUMIFS(Energy[2041_TWh],Energy[[Sector]:[Sector]],$A$258, Energy[[Fuel_category]:[Fuel_category]],$B261),"")</f>
        <v>0</v>
      </c>
      <c r="X261" s="28">
        <f ca="1">IFERROR(SUMIFS(Energy[2042_TWh],Energy[[Sector]:[Sector]],$A$258, Energy[[Fuel_category]:[Fuel_category]],$B261),"")</f>
        <v>0</v>
      </c>
      <c r="Y261" s="28">
        <f ca="1">IFERROR(SUMIFS(Energy[2043_TWh],Energy[[Sector]:[Sector]],$A$258, Energy[[Fuel_category]:[Fuel_category]],$B261),"")</f>
        <v>0</v>
      </c>
      <c r="Z261" s="28">
        <f ca="1">IFERROR(SUMIFS(Energy[2044_TWh],Energy[[Sector]:[Sector]],$A$258, Energy[[Fuel_category]:[Fuel_category]],$B261),"")</f>
        <v>0</v>
      </c>
      <c r="AA261" s="28">
        <f ca="1">IFERROR(SUMIFS(Energy[2045_TWh],Energy[[Sector]:[Sector]],$A$258, Energy[[Fuel_category]:[Fuel_category]],$B261),"")</f>
        <v>0</v>
      </c>
      <c r="AB261" s="28">
        <f ca="1">IFERROR(SUMIFS(Energy[2046_TWh],Energy[[Sector]:[Sector]],$A$258, Energy[[Fuel_category]:[Fuel_category]],$B261),"")</f>
        <v>0</v>
      </c>
      <c r="AC261" s="28">
        <f ca="1">IFERROR(SUMIFS(Energy[2047_TWh],Energy[[Sector]:[Sector]],$A$258, Energy[[Fuel_category]:[Fuel_category]],$B261),"")</f>
        <v>0</v>
      </c>
      <c r="AD261" s="28">
        <f ca="1">IFERROR(SUMIFS(Energy[2048_TWh],Energy[[Sector]:[Sector]],$A$258, Energy[[Fuel_category]:[Fuel_category]],$B261),"")</f>
        <v>0</v>
      </c>
      <c r="AE261" s="28">
        <f ca="1">IFERROR(SUMIFS(Energy[2049_TWh],Energy[[Sector]:[Sector]],$A$258, Energy[[Fuel_category]:[Fuel_category]],$B261),"")</f>
        <v>0</v>
      </c>
      <c r="AF261" s="28">
        <f ca="1">IFERROR(SUMIFS(Energy[2050_TWh],Energy[[Sector]:[Sector]],$A$258, Energy[[Fuel_category]:[Fuel_category]],$B261),"")</f>
        <v>0</v>
      </c>
      <c r="AG261" s="28">
        <f ca="1">IFERROR(SUMIFS(Energy[2051_TWh],Energy[[Sector]:[Sector]],$A$258, Energy[[Fuel_category]:[Fuel_category]],$B261),"")</f>
        <v>0</v>
      </c>
    </row>
    <row r="262" spans="1:33" x14ac:dyDescent="0.45">
      <c r="B262" s="21" t="s">
        <v>26</v>
      </c>
      <c r="C262" s="28">
        <f ca="1">IFERROR(SUMIFS(Energy[2021_TWh],Energy[[Sector]:[Sector]],$A$258, Energy[[Fuel_category]:[Fuel_category]],$B262),"")</f>
        <v>0</v>
      </c>
      <c r="D262" s="28">
        <f ca="1">IFERROR(SUMIFS(Energy[2022_TWh],Energy[[Sector]:[Sector]],$A$258, Energy[[Fuel_category]:[Fuel_category]],$B262),"")</f>
        <v>0</v>
      </c>
      <c r="E262" s="28">
        <f ca="1">IFERROR(SUMIFS(Energy[2023_TWh],Energy[[Sector]:[Sector]],$A$258, Energy[[Fuel_category]:[Fuel_category]],$B262),"")</f>
        <v>0</v>
      </c>
      <c r="F262" s="28">
        <f ca="1">IFERROR(SUMIFS(Energy[2024_TWh],Energy[[Sector]:[Sector]],$A$258, Energy[[Fuel_category]:[Fuel_category]],$B262),"")</f>
        <v>0</v>
      </c>
      <c r="G262" s="28">
        <f ca="1">IFERROR(SUMIFS(Energy[2025_TWh],Energy[[Sector]:[Sector]],$A$258, Energy[[Fuel_category]:[Fuel_category]],$B262),"")</f>
        <v>0</v>
      </c>
      <c r="H262" s="28">
        <f ca="1">IFERROR(SUMIFS(Energy[2026_TWh],Energy[[Sector]:[Sector]],$A$258, Energy[[Fuel_category]:[Fuel_category]],$B262),"")</f>
        <v>0</v>
      </c>
      <c r="I262" s="28">
        <f ca="1">IFERROR(SUMIFS(Energy[2027_TWh],Energy[[Sector]:[Sector]],$A$258, Energy[[Fuel_category]:[Fuel_category]],$B262),"")</f>
        <v>0</v>
      </c>
      <c r="J262" s="28">
        <f ca="1">IFERROR(SUMIFS(Energy[2028_TWh],Energy[[Sector]:[Sector]],$A$258, Energy[[Fuel_category]:[Fuel_category]],$B262),"")</f>
        <v>0</v>
      </c>
      <c r="K262" s="28">
        <f ca="1">IFERROR(SUMIFS(Energy[2029_TWh],Energy[[Sector]:[Sector]],$A$258, Energy[[Fuel_category]:[Fuel_category]],$B262),"")</f>
        <v>0</v>
      </c>
      <c r="L262" s="28">
        <f ca="1">IFERROR(SUMIFS(Energy[2030_TWh],Energy[[Sector]:[Sector]],$A$258, Energy[[Fuel_category]:[Fuel_category]],$B262),"")</f>
        <v>0</v>
      </c>
      <c r="M262" s="28">
        <f ca="1">IFERROR(SUMIFS(Energy[2031_TWh],Energy[[Sector]:[Sector]],$A$258, Energy[[Fuel_category]:[Fuel_category]],$B262),"")</f>
        <v>0</v>
      </c>
      <c r="N262" s="28">
        <f ca="1">IFERROR(SUMIFS(Energy[2032_TWh],Energy[[Sector]:[Sector]],$A$258, Energy[[Fuel_category]:[Fuel_category]],$B262),"")</f>
        <v>0</v>
      </c>
      <c r="O262" s="28">
        <f ca="1">IFERROR(SUMIFS(Energy[2033_TWh],Energy[[Sector]:[Sector]],$A$258, Energy[[Fuel_category]:[Fuel_category]],$B262),"")</f>
        <v>0</v>
      </c>
      <c r="P262" s="28">
        <f ca="1">IFERROR(SUMIFS(Energy[2034_TWh],Energy[[Sector]:[Sector]],$A$258, Energy[[Fuel_category]:[Fuel_category]],$B262),"")</f>
        <v>0</v>
      </c>
      <c r="Q262" s="28">
        <f ca="1">IFERROR(SUMIFS(Energy[2035_TWh],Energy[[Sector]:[Sector]],$A$258, Energy[[Fuel_category]:[Fuel_category]],$B262),"")</f>
        <v>0</v>
      </c>
      <c r="R262" s="28">
        <f ca="1">IFERROR(SUMIFS(Energy[2036_TWh],Energy[[Sector]:[Sector]],$A$258, Energy[[Fuel_category]:[Fuel_category]],$B262),"")</f>
        <v>0</v>
      </c>
      <c r="S262" s="28">
        <f ca="1">IFERROR(SUMIFS(Energy[2037_TWh],Energy[[Sector]:[Sector]],$A$258, Energy[[Fuel_category]:[Fuel_category]],$B262),"")</f>
        <v>0</v>
      </c>
      <c r="T262" s="28">
        <f ca="1">IFERROR(SUMIFS(Energy[2038_TWh],Energy[[Sector]:[Sector]],$A$258, Energy[[Fuel_category]:[Fuel_category]],$B262),"")</f>
        <v>0</v>
      </c>
      <c r="U262" s="28">
        <f ca="1">IFERROR(SUMIFS(Energy[2039_TWh],Energy[[Sector]:[Sector]],$A$258, Energy[[Fuel_category]:[Fuel_category]],$B262),"")</f>
        <v>0</v>
      </c>
      <c r="V262" s="28">
        <f ca="1">IFERROR(SUMIFS(Energy[2040_TWh],Energy[[Sector]:[Sector]],$A$258, Energy[[Fuel_category]:[Fuel_category]],$B262),"")</f>
        <v>0</v>
      </c>
      <c r="W262" s="28">
        <f ca="1">IFERROR(SUMIFS(Energy[2041_TWh],Energy[[Sector]:[Sector]],$A$258, Energy[[Fuel_category]:[Fuel_category]],$B262),"")</f>
        <v>0</v>
      </c>
      <c r="X262" s="28">
        <f ca="1">IFERROR(SUMIFS(Energy[2042_TWh],Energy[[Sector]:[Sector]],$A$258, Energy[[Fuel_category]:[Fuel_category]],$B262),"")</f>
        <v>0</v>
      </c>
      <c r="Y262" s="28">
        <f ca="1">IFERROR(SUMIFS(Energy[2043_TWh],Energy[[Sector]:[Sector]],$A$258, Energy[[Fuel_category]:[Fuel_category]],$B262),"")</f>
        <v>0</v>
      </c>
      <c r="Z262" s="28">
        <f ca="1">IFERROR(SUMIFS(Energy[2044_TWh],Energy[[Sector]:[Sector]],$A$258, Energy[[Fuel_category]:[Fuel_category]],$B262),"")</f>
        <v>0</v>
      </c>
      <c r="AA262" s="28">
        <f ca="1">IFERROR(SUMIFS(Energy[2045_TWh],Energy[[Sector]:[Sector]],$A$258, Energy[[Fuel_category]:[Fuel_category]],$B262),"")</f>
        <v>0</v>
      </c>
      <c r="AB262" s="28">
        <f ca="1">IFERROR(SUMIFS(Energy[2046_TWh],Energy[[Sector]:[Sector]],$A$258, Energy[[Fuel_category]:[Fuel_category]],$B262),"")</f>
        <v>0</v>
      </c>
      <c r="AC262" s="28">
        <f ca="1">IFERROR(SUMIFS(Energy[2047_TWh],Energy[[Sector]:[Sector]],$A$258, Energy[[Fuel_category]:[Fuel_category]],$B262),"")</f>
        <v>0</v>
      </c>
      <c r="AD262" s="28">
        <f ca="1">IFERROR(SUMIFS(Energy[2048_TWh],Energy[[Sector]:[Sector]],$A$258, Energy[[Fuel_category]:[Fuel_category]],$B262),"")</f>
        <v>0</v>
      </c>
      <c r="AE262" s="28">
        <f ca="1">IFERROR(SUMIFS(Energy[2049_TWh],Energy[[Sector]:[Sector]],$A$258, Energy[[Fuel_category]:[Fuel_category]],$B262),"")</f>
        <v>0</v>
      </c>
      <c r="AF262" s="28">
        <f ca="1">IFERROR(SUMIFS(Energy[2050_TWh],Energy[[Sector]:[Sector]],$A$258, Energy[[Fuel_category]:[Fuel_category]],$B262),"")</f>
        <v>0</v>
      </c>
      <c r="AG262" s="28">
        <f ca="1">IFERROR(SUMIFS(Energy[2051_TWh],Energy[[Sector]:[Sector]],$A$258, Energy[[Fuel_category]:[Fuel_category]],$B262),"")</f>
        <v>0</v>
      </c>
    </row>
    <row r="263" spans="1:33" x14ac:dyDescent="0.45">
      <c r="B263" s="21" t="s">
        <v>113</v>
      </c>
      <c r="C263" s="28">
        <f ca="1">IFERROR(SUMIFS(Energy[2021_TWh],Energy[[Sector]:[Sector]],$A$258, Energy[[Fuel_category]:[Fuel_category]],$B263),"")</f>
        <v>0</v>
      </c>
      <c r="D263" s="28">
        <f ca="1">IFERROR(SUMIFS(Energy[2022_TWh],Energy[[Sector]:[Sector]],$A$258, Energy[[Fuel_category]:[Fuel_category]],$B263),"")</f>
        <v>0</v>
      </c>
      <c r="E263" s="28">
        <f ca="1">IFERROR(SUMIFS(Energy[2023_TWh],Energy[[Sector]:[Sector]],$A$258, Energy[[Fuel_category]:[Fuel_category]],$B263),"")</f>
        <v>0</v>
      </c>
      <c r="F263" s="28">
        <f ca="1">IFERROR(SUMIFS(Energy[2024_TWh],Energy[[Sector]:[Sector]],$A$258, Energy[[Fuel_category]:[Fuel_category]],$B263),"")</f>
        <v>0</v>
      </c>
      <c r="G263" s="28">
        <f ca="1">IFERROR(SUMIFS(Energy[2025_TWh],Energy[[Sector]:[Sector]],$A$258, Energy[[Fuel_category]:[Fuel_category]],$B263),"")</f>
        <v>0</v>
      </c>
      <c r="H263" s="28">
        <f ca="1">IFERROR(SUMIFS(Energy[2026_TWh],Energy[[Sector]:[Sector]],$A$258, Energy[[Fuel_category]:[Fuel_category]],$B263),"")</f>
        <v>0</v>
      </c>
      <c r="I263" s="28">
        <f ca="1">IFERROR(SUMIFS(Energy[2027_TWh],Energy[[Sector]:[Sector]],$A$258, Energy[[Fuel_category]:[Fuel_category]],$B263),"")</f>
        <v>0</v>
      </c>
      <c r="J263" s="28">
        <f ca="1">IFERROR(SUMIFS(Energy[2028_TWh],Energy[[Sector]:[Sector]],$A$258, Energy[[Fuel_category]:[Fuel_category]],$B263),"")</f>
        <v>0</v>
      </c>
      <c r="K263" s="28">
        <f ca="1">IFERROR(SUMIFS(Energy[2029_TWh],Energy[[Sector]:[Sector]],$A$258, Energy[[Fuel_category]:[Fuel_category]],$B263),"")</f>
        <v>0</v>
      </c>
      <c r="L263" s="28">
        <f ca="1">IFERROR(SUMIFS(Energy[2030_TWh],Energy[[Sector]:[Sector]],$A$258, Energy[[Fuel_category]:[Fuel_category]],$B263),"")</f>
        <v>0</v>
      </c>
      <c r="M263" s="28">
        <f ca="1">IFERROR(SUMIFS(Energy[2031_TWh],Energy[[Sector]:[Sector]],$A$258, Energy[[Fuel_category]:[Fuel_category]],$B263),"")</f>
        <v>0</v>
      </c>
      <c r="N263" s="28">
        <f ca="1">IFERROR(SUMIFS(Energy[2032_TWh],Energy[[Sector]:[Sector]],$A$258, Energy[[Fuel_category]:[Fuel_category]],$B263),"")</f>
        <v>0</v>
      </c>
      <c r="O263" s="28">
        <f ca="1">IFERROR(SUMIFS(Energy[2033_TWh],Energy[[Sector]:[Sector]],$A$258, Energy[[Fuel_category]:[Fuel_category]],$B263),"")</f>
        <v>0</v>
      </c>
      <c r="P263" s="28">
        <f ca="1">IFERROR(SUMIFS(Energy[2034_TWh],Energy[[Sector]:[Sector]],$A$258, Energy[[Fuel_category]:[Fuel_category]],$B263),"")</f>
        <v>0</v>
      </c>
      <c r="Q263" s="28">
        <f ca="1">IFERROR(SUMIFS(Energy[2035_TWh],Energy[[Sector]:[Sector]],$A$258, Energy[[Fuel_category]:[Fuel_category]],$B263),"")</f>
        <v>0</v>
      </c>
      <c r="R263" s="28">
        <f ca="1">IFERROR(SUMIFS(Energy[2036_TWh],Energy[[Sector]:[Sector]],$A$258, Energy[[Fuel_category]:[Fuel_category]],$B263),"")</f>
        <v>0</v>
      </c>
      <c r="S263" s="28">
        <f ca="1">IFERROR(SUMIFS(Energy[2037_TWh],Energy[[Sector]:[Sector]],$A$258, Energy[[Fuel_category]:[Fuel_category]],$B263),"")</f>
        <v>0</v>
      </c>
      <c r="T263" s="28">
        <f ca="1">IFERROR(SUMIFS(Energy[2038_TWh],Energy[[Sector]:[Sector]],$A$258, Energy[[Fuel_category]:[Fuel_category]],$B263),"")</f>
        <v>0</v>
      </c>
      <c r="U263" s="28">
        <f ca="1">IFERROR(SUMIFS(Energy[2039_TWh],Energy[[Sector]:[Sector]],$A$258, Energy[[Fuel_category]:[Fuel_category]],$B263),"")</f>
        <v>0</v>
      </c>
      <c r="V263" s="28">
        <f ca="1">IFERROR(SUMIFS(Energy[2040_TWh],Energy[[Sector]:[Sector]],$A$258, Energy[[Fuel_category]:[Fuel_category]],$B263),"")</f>
        <v>0</v>
      </c>
      <c r="W263" s="28">
        <f ca="1">IFERROR(SUMIFS(Energy[2041_TWh],Energy[[Sector]:[Sector]],$A$258, Energy[[Fuel_category]:[Fuel_category]],$B263),"")</f>
        <v>0</v>
      </c>
      <c r="X263" s="28">
        <f ca="1">IFERROR(SUMIFS(Energy[2042_TWh],Energy[[Sector]:[Sector]],$A$258, Energy[[Fuel_category]:[Fuel_category]],$B263),"")</f>
        <v>0</v>
      </c>
      <c r="Y263" s="28">
        <f ca="1">IFERROR(SUMIFS(Energy[2043_TWh],Energy[[Sector]:[Sector]],$A$258, Energy[[Fuel_category]:[Fuel_category]],$B263),"")</f>
        <v>0</v>
      </c>
      <c r="Z263" s="28">
        <f ca="1">IFERROR(SUMIFS(Energy[2044_TWh],Energy[[Sector]:[Sector]],$A$258, Energy[[Fuel_category]:[Fuel_category]],$B263),"")</f>
        <v>0</v>
      </c>
      <c r="AA263" s="28">
        <f ca="1">IFERROR(SUMIFS(Energy[2045_TWh],Energy[[Sector]:[Sector]],$A$258, Energy[[Fuel_category]:[Fuel_category]],$B263),"")</f>
        <v>0</v>
      </c>
      <c r="AB263" s="28">
        <f ca="1">IFERROR(SUMIFS(Energy[2046_TWh],Energy[[Sector]:[Sector]],$A$258, Energy[[Fuel_category]:[Fuel_category]],$B263),"")</f>
        <v>0</v>
      </c>
      <c r="AC263" s="28">
        <f ca="1">IFERROR(SUMIFS(Energy[2047_TWh],Energy[[Sector]:[Sector]],$A$258, Energy[[Fuel_category]:[Fuel_category]],$B263),"")</f>
        <v>0</v>
      </c>
      <c r="AD263" s="28">
        <f ca="1">IFERROR(SUMIFS(Energy[2048_TWh],Energy[[Sector]:[Sector]],$A$258, Energy[[Fuel_category]:[Fuel_category]],$B263),"")</f>
        <v>0</v>
      </c>
      <c r="AE263" s="28">
        <f ca="1">IFERROR(SUMIFS(Energy[2049_TWh],Energy[[Sector]:[Sector]],$A$258, Energy[[Fuel_category]:[Fuel_category]],$B263),"")</f>
        <v>0</v>
      </c>
      <c r="AF263" s="28">
        <f ca="1">IFERROR(SUMIFS(Energy[2050_TWh],Energy[[Sector]:[Sector]],$A$258, Energy[[Fuel_category]:[Fuel_category]],$B263),"")</f>
        <v>0</v>
      </c>
      <c r="AG263" s="28">
        <f ca="1">IFERROR(SUMIFS(Energy[2051_TWh],Energy[[Sector]:[Sector]],$A$258, Energy[[Fuel_category]:[Fuel_category]],$B263),"")</f>
        <v>0</v>
      </c>
    </row>
    <row r="264" spans="1:33" x14ac:dyDescent="0.45">
      <c r="B264" s="21" t="s">
        <v>111</v>
      </c>
      <c r="C264" s="28">
        <f ca="1">IFERROR(SUMIFS(Energy[2021_TWh],Energy[[Sector]:[Sector]],$A$258, Energy[[Fuel_category]:[Fuel_category]],$B264),"")</f>
        <v>0</v>
      </c>
      <c r="D264" s="28">
        <f ca="1">IFERROR(SUMIFS(Energy[2022_TWh],Energy[[Sector]:[Sector]],$A$258, Energy[[Fuel_category]:[Fuel_category]],$B264),"")</f>
        <v>0</v>
      </c>
      <c r="E264" s="28">
        <f ca="1">IFERROR(SUMIFS(Energy[2023_TWh],Energy[[Sector]:[Sector]],$A$258, Energy[[Fuel_category]:[Fuel_category]],$B264),"")</f>
        <v>0</v>
      </c>
      <c r="F264" s="28">
        <f ca="1">IFERROR(SUMIFS(Energy[2024_TWh],Energy[[Sector]:[Sector]],$A$258, Energy[[Fuel_category]:[Fuel_category]],$B264),"")</f>
        <v>0</v>
      </c>
      <c r="G264" s="28">
        <f ca="1">IFERROR(SUMIFS(Energy[2025_TWh],Energy[[Sector]:[Sector]],$A$258, Energy[[Fuel_category]:[Fuel_category]],$B264),"")</f>
        <v>0</v>
      </c>
      <c r="H264" s="28">
        <f ca="1">IFERROR(SUMIFS(Energy[2026_TWh],Energy[[Sector]:[Sector]],$A$258, Energy[[Fuel_category]:[Fuel_category]],$B264),"")</f>
        <v>0</v>
      </c>
      <c r="I264" s="28">
        <f ca="1">IFERROR(SUMIFS(Energy[2027_TWh],Energy[[Sector]:[Sector]],$A$258, Energy[[Fuel_category]:[Fuel_category]],$B264),"")</f>
        <v>0</v>
      </c>
      <c r="J264" s="28">
        <f ca="1">IFERROR(SUMIFS(Energy[2028_TWh],Energy[[Sector]:[Sector]],$A$258, Energy[[Fuel_category]:[Fuel_category]],$B264),"")</f>
        <v>0</v>
      </c>
      <c r="K264" s="28">
        <f ca="1">IFERROR(SUMIFS(Energy[2029_TWh],Energy[[Sector]:[Sector]],$A$258, Energy[[Fuel_category]:[Fuel_category]],$B264),"")</f>
        <v>0</v>
      </c>
      <c r="L264" s="28">
        <f ca="1">IFERROR(SUMIFS(Energy[2030_TWh],Energy[[Sector]:[Sector]],$A$258, Energy[[Fuel_category]:[Fuel_category]],$B264),"")</f>
        <v>0</v>
      </c>
      <c r="M264" s="28">
        <f ca="1">IFERROR(SUMIFS(Energy[2031_TWh],Energy[[Sector]:[Sector]],$A$258, Energy[[Fuel_category]:[Fuel_category]],$B264),"")</f>
        <v>0</v>
      </c>
      <c r="N264" s="28">
        <f ca="1">IFERROR(SUMIFS(Energy[2032_TWh],Energy[[Sector]:[Sector]],$A$258, Energy[[Fuel_category]:[Fuel_category]],$B264),"")</f>
        <v>0</v>
      </c>
      <c r="O264" s="28">
        <f ca="1">IFERROR(SUMIFS(Energy[2033_TWh],Energy[[Sector]:[Sector]],$A$258, Energy[[Fuel_category]:[Fuel_category]],$B264),"")</f>
        <v>0</v>
      </c>
      <c r="P264" s="28">
        <f ca="1">IFERROR(SUMIFS(Energy[2034_TWh],Energy[[Sector]:[Sector]],$A$258, Energy[[Fuel_category]:[Fuel_category]],$B264),"")</f>
        <v>0</v>
      </c>
      <c r="Q264" s="28">
        <f ca="1">IFERROR(SUMIFS(Energy[2035_TWh],Energy[[Sector]:[Sector]],$A$258, Energy[[Fuel_category]:[Fuel_category]],$B264),"")</f>
        <v>0</v>
      </c>
      <c r="R264" s="28">
        <f ca="1">IFERROR(SUMIFS(Energy[2036_TWh],Energy[[Sector]:[Sector]],$A$258, Energy[[Fuel_category]:[Fuel_category]],$B264),"")</f>
        <v>0</v>
      </c>
      <c r="S264" s="28">
        <f ca="1">IFERROR(SUMIFS(Energy[2037_TWh],Energy[[Sector]:[Sector]],$A$258, Energy[[Fuel_category]:[Fuel_category]],$B264),"")</f>
        <v>0</v>
      </c>
      <c r="T264" s="28">
        <f ca="1">IFERROR(SUMIFS(Energy[2038_TWh],Energy[[Sector]:[Sector]],$A$258, Energy[[Fuel_category]:[Fuel_category]],$B264),"")</f>
        <v>0</v>
      </c>
      <c r="U264" s="28">
        <f ca="1">IFERROR(SUMIFS(Energy[2039_TWh],Energy[[Sector]:[Sector]],$A$258, Energy[[Fuel_category]:[Fuel_category]],$B264),"")</f>
        <v>0</v>
      </c>
      <c r="V264" s="28">
        <f ca="1">IFERROR(SUMIFS(Energy[2040_TWh],Energy[[Sector]:[Sector]],$A$258, Energy[[Fuel_category]:[Fuel_category]],$B264),"")</f>
        <v>0</v>
      </c>
      <c r="W264" s="28">
        <f ca="1">IFERROR(SUMIFS(Energy[2041_TWh],Energy[[Sector]:[Sector]],$A$258, Energy[[Fuel_category]:[Fuel_category]],$B264),"")</f>
        <v>0</v>
      </c>
      <c r="X264" s="28">
        <f ca="1">IFERROR(SUMIFS(Energy[2042_TWh],Energy[[Sector]:[Sector]],$A$258, Energy[[Fuel_category]:[Fuel_category]],$B264),"")</f>
        <v>0</v>
      </c>
      <c r="Y264" s="28">
        <f ca="1">IFERROR(SUMIFS(Energy[2043_TWh],Energy[[Sector]:[Sector]],$A$258, Energy[[Fuel_category]:[Fuel_category]],$B264),"")</f>
        <v>0</v>
      </c>
      <c r="Z264" s="28">
        <f ca="1">IFERROR(SUMIFS(Energy[2044_TWh],Energy[[Sector]:[Sector]],$A$258, Energy[[Fuel_category]:[Fuel_category]],$B264),"")</f>
        <v>0</v>
      </c>
      <c r="AA264" s="28">
        <f ca="1">IFERROR(SUMIFS(Energy[2045_TWh],Energy[[Sector]:[Sector]],$A$258, Energy[[Fuel_category]:[Fuel_category]],$B264),"")</f>
        <v>0</v>
      </c>
      <c r="AB264" s="28">
        <f ca="1">IFERROR(SUMIFS(Energy[2046_TWh],Energy[[Sector]:[Sector]],$A$258, Energy[[Fuel_category]:[Fuel_category]],$B264),"")</f>
        <v>0</v>
      </c>
      <c r="AC264" s="28">
        <f ca="1">IFERROR(SUMIFS(Energy[2047_TWh],Energy[[Sector]:[Sector]],$A$258, Energy[[Fuel_category]:[Fuel_category]],$B264),"")</f>
        <v>0</v>
      </c>
      <c r="AD264" s="28">
        <f ca="1">IFERROR(SUMIFS(Energy[2048_TWh],Energy[[Sector]:[Sector]],$A$258, Energy[[Fuel_category]:[Fuel_category]],$B264),"")</f>
        <v>0</v>
      </c>
      <c r="AE264" s="28">
        <f ca="1">IFERROR(SUMIFS(Energy[2049_TWh],Energy[[Sector]:[Sector]],$A$258, Energy[[Fuel_category]:[Fuel_category]],$B264),"")</f>
        <v>0</v>
      </c>
      <c r="AF264" s="28">
        <f ca="1">IFERROR(SUMIFS(Energy[2050_TWh],Energy[[Sector]:[Sector]],$A$258, Energy[[Fuel_category]:[Fuel_category]],$B264),"")</f>
        <v>0</v>
      </c>
      <c r="AG264" s="28">
        <f ca="1">IFERROR(SUMIFS(Energy[2051_TWh],Energy[[Sector]:[Sector]],$A$258, Energy[[Fuel_category]:[Fuel_category]],$B264),"")</f>
        <v>0</v>
      </c>
    </row>
    <row r="265" spans="1:33" ht="14.65" thickBot="1" x14ac:dyDescent="0.5">
      <c r="B265" s="29" t="s">
        <v>124</v>
      </c>
      <c r="C265" s="31">
        <f ca="1">IF(C135&lt;&gt;"",SUM(C258:C263),"")</f>
        <v>0</v>
      </c>
      <c r="D265" s="31">
        <f t="shared" ref="D265:AF265" ca="1" si="54">IF(D135&lt;&gt;"",SUM(D258:D263),"")</f>
        <v>0</v>
      </c>
      <c r="E265" s="31">
        <f t="shared" ca="1" si="54"/>
        <v>0</v>
      </c>
      <c r="F265" s="31">
        <f t="shared" ca="1" si="54"/>
        <v>0</v>
      </c>
      <c r="G265" s="31">
        <f t="shared" ca="1" si="54"/>
        <v>0</v>
      </c>
      <c r="H265" s="31">
        <f t="shared" ca="1" si="54"/>
        <v>0</v>
      </c>
      <c r="I265" s="31">
        <f t="shared" ca="1" si="54"/>
        <v>0</v>
      </c>
      <c r="J265" s="31">
        <f t="shared" ca="1" si="54"/>
        <v>0</v>
      </c>
      <c r="K265" s="31">
        <f t="shared" ca="1" si="54"/>
        <v>0</v>
      </c>
      <c r="L265" s="31">
        <f t="shared" ca="1" si="54"/>
        <v>0</v>
      </c>
      <c r="M265" s="31">
        <f t="shared" ca="1" si="54"/>
        <v>0</v>
      </c>
      <c r="N265" s="31">
        <f t="shared" ca="1" si="54"/>
        <v>0</v>
      </c>
      <c r="O265" s="31">
        <f t="shared" ca="1" si="54"/>
        <v>0</v>
      </c>
      <c r="P265" s="31">
        <f t="shared" ca="1" si="54"/>
        <v>0</v>
      </c>
      <c r="Q265" s="31">
        <f t="shared" ca="1" si="54"/>
        <v>0</v>
      </c>
      <c r="R265" s="31">
        <f t="shared" ca="1" si="54"/>
        <v>0</v>
      </c>
      <c r="S265" s="31">
        <f t="shared" ca="1" si="54"/>
        <v>0</v>
      </c>
      <c r="T265" s="31">
        <f t="shared" ca="1" si="54"/>
        <v>0</v>
      </c>
      <c r="U265" s="31">
        <f t="shared" ca="1" si="54"/>
        <v>0</v>
      </c>
      <c r="V265" s="31">
        <f t="shared" ca="1" si="54"/>
        <v>0</v>
      </c>
      <c r="W265" s="31">
        <f t="shared" ca="1" si="54"/>
        <v>0</v>
      </c>
      <c r="X265" s="31">
        <f t="shared" ca="1" si="54"/>
        <v>0</v>
      </c>
      <c r="Y265" s="31">
        <f t="shared" ca="1" si="54"/>
        <v>0</v>
      </c>
      <c r="Z265" s="31">
        <f t="shared" ca="1" si="54"/>
        <v>0</v>
      </c>
      <c r="AA265" s="31">
        <f t="shared" ca="1" si="54"/>
        <v>0</v>
      </c>
      <c r="AB265" s="31">
        <f t="shared" ca="1" si="54"/>
        <v>0</v>
      </c>
      <c r="AC265" s="31">
        <f t="shared" ca="1" si="54"/>
        <v>0</v>
      </c>
      <c r="AD265" s="31">
        <f t="shared" ca="1" si="54"/>
        <v>0</v>
      </c>
      <c r="AE265" s="31">
        <f t="shared" ca="1" si="54"/>
        <v>0</v>
      </c>
      <c r="AF265" s="31">
        <f t="shared" ca="1" si="54"/>
        <v>0</v>
      </c>
      <c r="AG265" s="31">
        <f t="shared" ref="AG265" ca="1" si="55">IF(AG135&lt;&gt;"",SUM(AG258:AG263),"")</f>
        <v>0</v>
      </c>
    </row>
    <row r="266" spans="1:33" s="68" customFormat="1" ht="14.65" thickTop="1" x14ac:dyDescent="0.45">
      <c r="B266" s="69"/>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c r="AB266" s="70"/>
      <c r="AC266" s="70"/>
      <c r="AD266" s="70"/>
      <c r="AE266" s="70"/>
      <c r="AF266" s="70"/>
      <c r="AG266" s="70"/>
    </row>
    <row r="267" spans="1:33" ht="15.75" customHeight="1" x14ac:dyDescent="0.45">
      <c r="B267" s="6"/>
      <c r="C267" s="6">
        <v>2021</v>
      </c>
      <c r="D267" s="6">
        <v>2022</v>
      </c>
      <c r="E267" s="6">
        <v>2023</v>
      </c>
      <c r="F267" s="6">
        <v>2024</v>
      </c>
      <c r="G267" s="6">
        <v>2025</v>
      </c>
      <c r="H267" s="6">
        <v>2026</v>
      </c>
      <c r="I267" s="6">
        <v>2027</v>
      </c>
      <c r="J267" s="6">
        <v>2028</v>
      </c>
      <c r="K267" s="6">
        <v>2029</v>
      </c>
      <c r="L267" s="6">
        <v>2030</v>
      </c>
      <c r="M267" s="6">
        <v>2031</v>
      </c>
      <c r="N267" s="6">
        <v>2032</v>
      </c>
      <c r="O267" s="6">
        <v>2033</v>
      </c>
      <c r="P267" s="6">
        <v>2034</v>
      </c>
      <c r="Q267" s="6">
        <v>2035</v>
      </c>
      <c r="R267" s="6">
        <v>2036</v>
      </c>
      <c r="S267" s="6">
        <v>2037</v>
      </c>
      <c r="T267" s="6">
        <v>2038</v>
      </c>
      <c r="U267" s="6">
        <v>2039</v>
      </c>
      <c r="V267" s="6">
        <v>2040</v>
      </c>
      <c r="W267" s="6">
        <v>2041</v>
      </c>
      <c r="X267" s="6">
        <v>2042</v>
      </c>
      <c r="Y267" s="6">
        <v>2043</v>
      </c>
      <c r="Z267" s="6">
        <v>2044</v>
      </c>
      <c r="AA267" s="6">
        <v>2045</v>
      </c>
      <c r="AB267" s="6">
        <v>2046</v>
      </c>
      <c r="AC267" s="6">
        <v>2047</v>
      </c>
      <c r="AD267" s="6">
        <v>2048</v>
      </c>
      <c r="AE267" s="6">
        <v>2049</v>
      </c>
      <c r="AF267" s="6">
        <v>2050</v>
      </c>
      <c r="AG267" s="6">
        <v>2051</v>
      </c>
    </row>
    <row r="268" spans="1:33" x14ac:dyDescent="0.45">
      <c r="A268" s="60" t="s">
        <v>270</v>
      </c>
      <c r="B268" s="21" t="s">
        <v>82</v>
      </c>
      <c r="C268" s="28">
        <f ca="1">IFERROR(SUMIFS(Energy[2021_TWh],Energy[[Sector]:[Sector]],$A$268, Energy[[Fuel_category]:[Fuel_category]],$B268),"")</f>
        <v>0</v>
      </c>
      <c r="D268" s="28">
        <f ca="1">IFERROR(SUMIFS(Energy[2022_TWh],Energy[[Sector]:[Sector]],$A$268, Energy[[Fuel_category]:[Fuel_category]],$B268),"")</f>
        <v>0</v>
      </c>
      <c r="E268" s="28">
        <f ca="1">IFERROR(SUMIFS(Energy[2023_TWh],Energy[[Sector]:[Sector]],$A$268, Energy[[Fuel_category]:[Fuel_category]],$B268),"")</f>
        <v>0</v>
      </c>
      <c r="F268" s="28">
        <f ca="1">IFERROR(SUMIFS(Energy[2024_TWh],Energy[[Sector]:[Sector]],$A$268, Energy[[Fuel_category]:[Fuel_category]],$B268),"")</f>
        <v>0</v>
      </c>
      <c r="G268" s="28">
        <f ca="1">IFERROR(SUMIFS(Energy[2025_TWh],Energy[[Sector]:[Sector]],$A$268, Energy[[Fuel_category]:[Fuel_category]],$B268),"")</f>
        <v>0</v>
      </c>
      <c r="H268" s="28">
        <f ca="1">IFERROR(SUMIFS(Energy[2026_TWh],Energy[[Sector]:[Sector]],$A$268, Energy[[Fuel_category]:[Fuel_category]],$B268),"")</f>
        <v>0</v>
      </c>
      <c r="I268" s="28">
        <f ca="1">IFERROR(SUMIFS(Energy[2027_TWh],Energy[[Sector]:[Sector]],$A$268, Energy[[Fuel_category]:[Fuel_category]],$B268),"")</f>
        <v>0</v>
      </c>
      <c r="J268" s="28">
        <f ca="1">IFERROR(SUMIFS(Energy[2028_TWh],Energy[[Sector]:[Sector]],$A$268, Energy[[Fuel_category]:[Fuel_category]],$B268),"")</f>
        <v>0</v>
      </c>
      <c r="K268" s="28">
        <f ca="1">IFERROR(SUMIFS(Energy[2029_TWh],Energy[[Sector]:[Sector]],$A$268, Energy[[Fuel_category]:[Fuel_category]],$B268),"")</f>
        <v>0</v>
      </c>
      <c r="L268" s="28">
        <f ca="1">IFERROR(SUMIFS(Energy[2030_TWh],Energy[[Sector]:[Sector]],$A$268, Energy[[Fuel_category]:[Fuel_category]],$B268),"")</f>
        <v>0</v>
      </c>
      <c r="M268" s="28">
        <f ca="1">IFERROR(SUMIFS(Energy[2031_TWh],Energy[[Sector]:[Sector]],$A$268, Energy[[Fuel_category]:[Fuel_category]],$B268),"")</f>
        <v>0</v>
      </c>
      <c r="N268" s="28">
        <f ca="1">IFERROR(SUMIFS(Energy[2032_TWh],Energy[[Sector]:[Sector]],$A$268, Energy[[Fuel_category]:[Fuel_category]],$B268),"")</f>
        <v>0</v>
      </c>
      <c r="O268" s="28">
        <f ca="1">IFERROR(SUMIFS(Energy[2033_TWh],Energy[[Sector]:[Sector]],$A$268, Energy[[Fuel_category]:[Fuel_category]],$B268),"")</f>
        <v>0</v>
      </c>
      <c r="P268" s="28">
        <f ca="1">IFERROR(SUMIFS(Energy[2034_TWh],Energy[[Sector]:[Sector]],$A$268, Energy[[Fuel_category]:[Fuel_category]],$B268),"")</f>
        <v>0</v>
      </c>
      <c r="Q268" s="28">
        <f ca="1">IFERROR(SUMIFS(Energy[2035_TWh],Energy[[Sector]:[Sector]],$A$268, Energy[[Fuel_category]:[Fuel_category]],$B268),"")</f>
        <v>0</v>
      </c>
      <c r="R268" s="28">
        <f ca="1">IFERROR(SUMIFS(Energy[2036_TWh],Energy[[Sector]:[Sector]],$A$268, Energy[[Fuel_category]:[Fuel_category]],$B268),"")</f>
        <v>0</v>
      </c>
      <c r="S268" s="28">
        <f ca="1">IFERROR(SUMIFS(Energy[2037_TWh],Energy[[Sector]:[Sector]],$A$268, Energy[[Fuel_category]:[Fuel_category]],$B268),"")</f>
        <v>0</v>
      </c>
      <c r="T268" s="28">
        <f ca="1">IFERROR(SUMIFS(Energy[2038_TWh],Energy[[Sector]:[Sector]],$A$268, Energy[[Fuel_category]:[Fuel_category]],$B268),"")</f>
        <v>0</v>
      </c>
      <c r="U268" s="28">
        <f ca="1">IFERROR(SUMIFS(Energy[2039_TWh],Energy[[Sector]:[Sector]],$A$268, Energy[[Fuel_category]:[Fuel_category]],$B268),"")</f>
        <v>0</v>
      </c>
      <c r="V268" s="28">
        <f ca="1">IFERROR(SUMIFS(Energy[2040_TWh],Energy[[Sector]:[Sector]],$A$268, Energy[[Fuel_category]:[Fuel_category]],$B268),"")</f>
        <v>0</v>
      </c>
      <c r="W268" s="28">
        <f ca="1">IFERROR(SUMIFS(Energy[2041_TWh],Energy[[Sector]:[Sector]],$A$268, Energy[[Fuel_category]:[Fuel_category]],$B268),"")</f>
        <v>0</v>
      </c>
      <c r="X268" s="28">
        <f ca="1">IFERROR(SUMIFS(Energy[2042_TWh],Energy[[Sector]:[Sector]],$A$268, Energy[[Fuel_category]:[Fuel_category]],$B268),"")</f>
        <v>0</v>
      </c>
      <c r="Y268" s="28">
        <f ca="1">IFERROR(SUMIFS(Energy[2043_TWh],Energy[[Sector]:[Sector]],$A$268, Energy[[Fuel_category]:[Fuel_category]],$B268),"")</f>
        <v>0</v>
      </c>
      <c r="Z268" s="28">
        <f ca="1">IFERROR(SUMIFS(Energy[2044_TWh],Energy[[Sector]:[Sector]],$A$268, Energy[[Fuel_category]:[Fuel_category]],$B268),"")</f>
        <v>0</v>
      </c>
      <c r="AA268" s="28">
        <f ca="1">IFERROR(SUMIFS(Energy[2045_TWh],Energy[[Sector]:[Sector]],$A$268, Energy[[Fuel_category]:[Fuel_category]],$B268),"")</f>
        <v>0</v>
      </c>
      <c r="AB268" s="28">
        <f ca="1">IFERROR(SUMIFS(Energy[2046_TWh],Energy[[Sector]:[Sector]],$A$268, Energy[[Fuel_category]:[Fuel_category]],$B268),"")</f>
        <v>0</v>
      </c>
      <c r="AC268" s="28">
        <f ca="1">IFERROR(SUMIFS(Energy[2047_TWh],Energy[[Sector]:[Sector]],$A$268, Energy[[Fuel_category]:[Fuel_category]],$B268),"")</f>
        <v>0</v>
      </c>
      <c r="AD268" s="28">
        <f ca="1">IFERROR(SUMIFS(Energy[2048_TWh],Energy[[Sector]:[Sector]],$A$268, Energy[[Fuel_category]:[Fuel_category]],$B268),"")</f>
        <v>0</v>
      </c>
      <c r="AE268" s="28">
        <f ca="1">IFERROR(SUMIFS(Energy[2049_TWh],Energy[[Sector]:[Sector]],$A$268, Energy[[Fuel_category]:[Fuel_category]],$B268),"")</f>
        <v>0</v>
      </c>
      <c r="AF268" s="28">
        <f ca="1">IFERROR(SUMIFS(Energy[2050_TWh],Energy[[Sector]:[Sector]],$A$268, Energy[[Fuel_category]:[Fuel_category]],$B268),"")</f>
        <v>0</v>
      </c>
      <c r="AG268" s="28">
        <f ca="1">IFERROR(SUMIFS(Energy[2051_TWh],Energy[[Sector]:[Sector]],$A$268, Energy[[Fuel_category]:[Fuel_category]],$B268),"")</f>
        <v>0</v>
      </c>
    </row>
    <row r="269" spans="1:33" x14ac:dyDescent="0.45">
      <c r="B269" s="21" t="s">
        <v>83</v>
      </c>
      <c r="C269" s="28">
        <f ca="1">IFERROR(SUMIFS(Energy[2021_TWh],Energy[[Sector]:[Sector]],$A$268, Energy[[Fuel_category]:[Fuel_category]],$B269),"")</f>
        <v>0</v>
      </c>
      <c r="D269" s="28">
        <f ca="1">IFERROR(SUMIFS(Energy[2022_TWh],Energy[[Sector]:[Sector]],$A$268, Energy[[Fuel_category]:[Fuel_category]],$B269),"")</f>
        <v>0</v>
      </c>
      <c r="E269" s="28">
        <f ca="1">IFERROR(SUMIFS(Energy[2023_TWh],Energy[[Sector]:[Sector]],$A$268, Energy[[Fuel_category]:[Fuel_category]],$B269),"")</f>
        <v>0</v>
      </c>
      <c r="F269" s="28">
        <f ca="1">IFERROR(SUMIFS(Energy[2024_TWh],Energy[[Sector]:[Sector]],$A$268, Energy[[Fuel_category]:[Fuel_category]],$B269),"")</f>
        <v>0</v>
      </c>
      <c r="G269" s="28">
        <f ca="1">IFERROR(SUMIFS(Energy[2025_TWh],Energy[[Sector]:[Sector]],$A$268, Energy[[Fuel_category]:[Fuel_category]],$B269),"")</f>
        <v>0</v>
      </c>
      <c r="H269" s="28">
        <f ca="1">IFERROR(SUMIFS(Energy[2026_TWh],Energy[[Sector]:[Sector]],$A$268, Energy[[Fuel_category]:[Fuel_category]],$B269),"")</f>
        <v>0</v>
      </c>
      <c r="I269" s="28">
        <f ca="1">IFERROR(SUMIFS(Energy[2027_TWh],Energy[[Sector]:[Sector]],$A$268, Energy[[Fuel_category]:[Fuel_category]],$B269),"")</f>
        <v>0</v>
      </c>
      <c r="J269" s="28">
        <f ca="1">IFERROR(SUMIFS(Energy[2028_TWh],Energy[[Sector]:[Sector]],$A$268, Energy[[Fuel_category]:[Fuel_category]],$B269),"")</f>
        <v>0</v>
      </c>
      <c r="K269" s="28">
        <f ca="1">IFERROR(SUMIFS(Energy[2029_TWh],Energy[[Sector]:[Sector]],$A$268, Energy[[Fuel_category]:[Fuel_category]],$B269),"")</f>
        <v>0</v>
      </c>
      <c r="L269" s="28">
        <f ca="1">IFERROR(SUMIFS(Energy[2030_TWh],Energy[[Sector]:[Sector]],$A$268, Energy[[Fuel_category]:[Fuel_category]],$B269),"")</f>
        <v>0</v>
      </c>
      <c r="M269" s="28">
        <f ca="1">IFERROR(SUMIFS(Energy[2031_TWh],Energy[[Sector]:[Sector]],$A$268, Energy[[Fuel_category]:[Fuel_category]],$B269),"")</f>
        <v>0</v>
      </c>
      <c r="N269" s="28">
        <f ca="1">IFERROR(SUMIFS(Energy[2032_TWh],Energy[[Sector]:[Sector]],$A$268, Energy[[Fuel_category]:[Fuel_category]],$B269),"")</f>
        <v>0</v>
      </c>
      <c r="O269" s="28">
        <f ca="1">IFERROR(SUMIFS(Energy[2033_TWh],Energy[[Sector]:[Sector]],$A$268, Energy[[Fuel_category]:[Fuel_category]],$B269),"")</f>
        <v>0</v>
      </c>
      <c r="P269" s="28">
        <f ca="1">IFERROR(SUMIFS(Energy[2034_TWh],Energy[[Sector]:[Sector]],$A$268, Energy[[Fuel_category]:[Fuel_category]],$B269),"")</f>
        <v>0</v>
      </c>
      <c r="Q269" s="28">
        <f ca="1">IFERROR(SUMIFS(Energy[2035_TWh],Energy[[Sector]:[Sector]],$A$268, Energy[[Fuel_category]:[Fuel_category]],$B269),"")</f>
        <v>0</v>
      </c>
      <c r="R269" s="28">
        <f ca="1">IFERROR(SUMIFS(Energy[2036_TWh],Energy[[Sector]:[Sector]],$A$268, Energy[[Fuel_category]:[Fuel_category]],$B269),"")</f>
        <v>0</v>
      </c>
      <c r="S269" s="28">
        <f ca="1">IFERROR(SUMIFS(Energy[2037_TWh],Energy[[Sector]:[Sector]],$A$268, Energy[[Fuel_category]:[Fuel_category]],$B269),"")</f>
        <v>0</v>
      </c>
      <c r="T269" s="28">
        <f ca="1">IFERROR(SUMIFS(Energy[2038_TWh],Energy[[Sector]:[Sector]],$A$268, Energy[[Fuel_category]:[Fuel_category]],$B269),"")</f>
        <v>0</v>
      </c>
      <c r="U269" s="28">
        <f ca="1">IFERROR(SUMIFS(Energy[2039_TWh],Energy[[Sector]:[Sector]],$A$268, Energy[[Fuel_category]:[Fuel_category]],$B269),"")</f>
        <v>0</v>
      </c>
      <c r="V269" s="28">
        <f ca="1">IFERROR(SUMIFS(Energy[2040_TWh],Energy[[Sector]:[Sector]],$A$268, Energy[[Fuel_category]:[Fuel_category]],$B269),"")</f>
        <v>0</v>
      </c>
      <c r="W269" s="28">
        <f ca="1">IFERROR(SUMIFS(Energy[2041_TWh],Energy[[Sector]:[Sector]],$A$268, Energy[[Fuel_category]:[Fuel_category]],$B269),"")</f>
        <v>0</v>
      </c>
      <c r="X269" s="28">
        <f ca="1">IFERROR(SUMIFS(Energy[2042_TWh],Energy[[Sector]:[Sector]],$A$268, Energy[[Fuel_category]:[Fuel_category]],$B269),"")</f>
        <v>0</v>
      </c>
      <c r="Y269" s="28">
        <f ca="1">IFERROR(SUMIFS(Energy[2043_TWh],Energy[[Sector]:[Sector]],$A$268, Energy[[Fuel_category]:[Fuel_category]],$B269),"")</f>
        <v>0</v>
      </c>
      <c r="Z269" s="28">
        <f ca="1">IFERROR(SUMIFS(Energy[2044_TWh],Energy[[Sector]:[Sector]],$A$268, Energy[[Fuel_category]:[Fuel_category]],$B269),"")</f>
        <v>0</v>
      </c>
      <c r="AA269" s="28">
        <f ca="1">IFERROR(SUMIFS(Energy[2045_TWh],Energy[[Sector]:[Sector]],$A$268, Energy[[Fuel_category]:[Fuel_category]],$B269),"")</f>
        <v>0</v>
      </c>
      <c r="AB269" s="28">
        <f ca="1">IFERROR(SUMIFS(Energy[2046_TWh],Energy[[Sector]:[Sector]],$A$268, Energy[[Fuel_category]:[Fuel_category]],$B269),"")</f>
        <v>0</v>
      </c>
      <c r="AC269" s="28">
        <f ca="1">IFERROR(SUMIFS(Energy[2047_TWh],Energy[[Sector]:[Sector]],$A$268, Energy[[Fuel_category]:[Fuel_category]],$B269),"")</f>
        <v>0</v>
      </c>
      <c r="AD269" s="28">
        <f ca="1">IFERROR(SUMIFS(Energy[2048_TWh],Energy[[Sector]:[Sector]],$A$268, Energy[[Fuel_category]:[Fuel_category]],$B269),"")</f>
        <v>0</v>
      </c>
      <c r="AE269" s="28">
        <f ca="1">IFERROR(SUMIFS(Energy[2049_TWh],Energy[[Sector]:[Sector]],$A$268, Energy[[Fuel_category]:[Fuel_category]],$B269),"")</f>
        <v>0</v>
      </c>
      <c r="AF269" s="28">
        <f ca="1">IFERROR(SUMIFS(Energy[2050_TWh],Energy[[Sector]:[Sector]],$A$268, Energy[[Fuel_category]:[Fuel_category]],$B269),"")</f>
        <v>0</v>
      </c>
      <c r="AG269" s="28">
        <f ca="1">IFERROR(SUMIFS(Energy[2051_TWh],Energy[[Sector]:[Sector]],$A$268, Energy[[Fuel_category]:[Fuel_category]],$B269),"")</f>
        <v>0</v>
      </c>
    </row>
    <row r="270" spans="1:33" x14ac:dyDescent="0.45">
      <c r="B270" s="21" t="s">
        <v>67</v>
      </c>
      <c r="C270" s="28">
        <f ca="1">IFERROR(SUMIFS(Energy[2021_TWh],Energy[[Sector]:[Sector]],$A$268, Energy[[Fuel_category]:[Fuel_category]],$B270),"")</f>
        <v>0</v>
      </c>
      <c r="D270" s="28">
        <f ca="1">IFERROR(SUMIFS(Energy[2022_TWh],Energy[[Sector]:[Sector]],$A$268, Energy[[Fuel_category]:[Fuel_category]],$B270),"")</f>
        <v>0</v>
      </c>
      <c r="E270" s="28">
        <f ca="1">IFERROR(SUMIFS(Energy[2023_TWh],Energy[[Sector]:[Sector]],$A$268, Energy[[Fuel_category]:[Fuel_category]],$B270),"")</f>
        <v>0</v>
      </c>
      <c r="F270" s="28">
        <f ca="1">IFERROR(SUMIFS(Energy[2024_TWh],Energy[[Sector]:[Sector]],$A$268, Energy[[Fuel_category]:[Fuel_category]],$B270),"")</f>
        <v>0</v>
      </c>
      <c r="G270" s="28">
        <f ca="1">IFERROR(SUMIFS(Energy[2025_TWh],Energy[[Sector]:[Sector]],$A$268, Energy[[Fuel_category]:[Fuel_category]],$B270),"")</f>
        <v>0</v>
      </c>
      <c r="H270" s="28">
        <f ca="1">IFERROR(SUMIFS(Energy[2026_TWh],Energy[[Sector]:[Sector]],$A$268, Energy[[Fuel_category]:[Fuel_category]],$B270),"")</f>
        <v>0</v>
      </c>
      <c r="I270" s="28">
        <f ca="1">IFERROR(SUMIFS(Energy[2027_TWh],Energy[[Sector]:[Sector]],$A$268, Energy[[Fuel_category]:[Fuel_category]],$B270),"")</f>
        <v>0</v>
      </c>
      <c r="J270" s="28">
        <f ca="1">IFERROR(SUMIFS(Energy[2028_TWh],Energy[[Sector]:[Sector]],$A$268, Energy[[Fuel_category]:[Fuel_category]],$B270),"")</f>
        <v>0</v>
      </c>
      <c r="K270" s="28">
        <f ca="1">IFERROR(SUMIFS(Energy[2029_TWh],Energy[[Sector]:[Sector]],$A$268, Energy[[Fuel_category]:[Fuel_category]],$B270),"")</f>
        <v>0</v>
      </c>
      <c r="L270" s="28">
        <f ca="1">IFERROR(SUMIFS(Energy[2030_TWh],Energy[[Sector]:[Sector]],$A$268, Energy[[Fuel_category]:[Fuel_category]],$B270),"")</f>
        <v>0</v>
      </c>
      <c r="M270" s="28">
        <f ca="1">IFERROR(SUMIFS(Energy[2031_TWh],Energy[[Sector]:[Sector]],$A$268, Energy[[Fuel_category]:[Fuel_category]],$B270),"")</f>
        <v>0</v>
      </c>
      <c r="N270" s="28">
        <f ca="1">IFERROR(SUMIFS(Energy[2032_TWh],Energy[[Sector]:[Sector]],$A$268, Energy[[Fuel_category]:[Fuel_category]],$B270),"")</f>
        <v>0</v>
      </c>
      <c r="O270" s="28">
        <f ca="1">IFERROR(SUMIFS(Energy[2033_TWh],Energy[[Sector]:[Sector]],$A$268, Energy[[Fuel_category]:[Fuel_category]],$B270),"")</f>
        <v>0</v>
      </c>
      <c r="P270" s="28">
        <f ca="1">IFERROR(SUMIFS(Energy[2034_TWh],Energy[[Sector]:[Sector]],$A$268, Energy[[Fuel_category]:[Fuel_category]],$B270),"")</f>
        <v>0</v>
      </c>
      <c r="Q270" s="28">
        <f ca="1">IFERROR(SUMIFS(Energy[2035_TWh],Energy[[Sector]:[Sector]],$A$268, Energy[[Fuel_category]:[Fuel_category]],$B270),"")</f>
        <v>0</v>
      </c>
      <c r="R270" s="28">
        <f ca="1">IFERROR(SUMIFS(Energy[2036_TWh],Energy[[Sector]:[Sector]],$A$268, Energy[[Fuel_category]:[Fuel_category]],$B270),"")</f>
        <v>0</v>
      </c>
      <c r="S270" s="28">
        <f ca="1">IFERROR(SUMIFS(Energy[2037_TWh],Energy[[Sector]:[Sector]],$A$268, Energy[[Fuel_category]:[Fuel_category]],$B270),"")</f>
        <v>0</v>
      </c>
      <c r="T270" s="28">
        <f ca="1">IFERROR(SUMIFS(Energy[2038_TWh],Energy[[Sector]:[Sector]],$A$268, Energy[[Fuel_category]:[Fuel_category]],$B270),"")</f>
        <v>0</v>
      </c>
      <c r="U270" s="28">
        <f ca="1">IFERROR(SUMIFS(Energy[2039_TWh],Energy[[Sector]:[Sector]],$A$268, Energy[[Fuel_category]:[Fuel_category]],$B270),"")</f>
        <v>0</v>
      </c>
      <c r="V270" s="28">
        <f ca="1">IFERROR(SUMIFS(Energy[2040_TWh],Energy[[Sector]:[Sector]],$A$268, Energy[[Fuel_category]:[Fuel_category]],$B270),"")</f>
        <v>0</v>
      </c>
      <c r="W270" s="28">
        <f ca="1">IFERROR(SUMIFS(Energy[2041_TWh],Energy[[Sector]:[Sector]],$A$268, Energy[[Fuel_category]:[Fuel_category]],$B270),"")</f>
        <v>0</v>
      </c>
      <c r="X270" s="28">
        <f ca="1">IFERROR(SUMIFS(Energy[2042_TWh],Energy[[Sector]:[Sector]],$A$268, Energy[[Fuel_category]:[Fuel_category]],$B270),"")</f>
        <v>0</v>
      </c>
      <c r="Y270" s="28">
        <f ca="1">IFERROR(SUMIFS(Energy[2043_TWh],Energy[[Sector]:[Sector]],$A$268, Energy[[Fuel_category]:[Fuel_category]],$B270),"")</f>
        <v>0</v>
      </c>
      <c r="Z270" s="28">
        <f ca="1">IFERROR(SUMIFS(Energy[2044_TWh],Energy[[Sector]:[Sector]],$A$268, Energy[[Fuel_category]:[Fuel_category]],$B270),"")</f>
        <v>0</v>
      </c>
      <c r="AA270" s="28">
        <f ca="1">IFERROR(SUMIFS(Energy[2045_TWh],Energy[[Sector]:[Sector]],$A$268, Energy[[Fuel_category]:[Fuel_category]],$B270),"")</f>
        <v>0</v>
      </c>
      <c r="AB270" s="28">
        <f ca="1">IFERROR(SUMIFS(Energy[2046_TWh],Energy[[Sector]:[Sector]],$A$268, Energy[[Fuel_category]:[Fuel_category]],$B270),"")</f>
        <v>0</v>
      </c>
      <c r="AC270" s="28">
        <f ca="1">IFERROR(SUMIFS(Energy[2047_TWh],Energy[[Sector]:[Sector]],$A$268, Energy[[Fuel_category]:[Fuel_category]],$B270),"")</f>
        <v>0</v>
      </c>
      <c r="AD270" s="28">
        <f ca="1">IFERROR(SUMIFS(Energy[2048_TWh],Energy[[Sector]:[Sector]],$A$268, Energy[[Fuel_category]:[Fuel_category]],$B270),"")</f>
        <v>0</v>
      </c>
      <c r="AE270" s="28">
        <f ca="1">IFERROR(SUMIFS(Energy[2049_TWh],Energy[[Sector]:[Sector]],$A$268, Energy[[Fuel_category]:[Fuel_category]],$B270),"")</f>
        <v>0</v>
      </c>
      <c r="AF270" s="28">
        <f ca="1">IFERROR(SUMIFS(Energy[2050_TWh],Energy[[Sector]:[Sector]],$A$268, Energy[[Fuel_category]:[Fuel_category]],$B270),"")</f>
        <v>0</v>
      </c>
      <c r="AG270" s="28">
        <f ca="1">IFERROR(SUMIFS(Energy[2051_TWh],Energy[[Sector]:[Sector]],$A$268, Energy[[Fuel_category]:[Fuel_category]],$B270),"")</f>
        <v>0</v>
      </c>
    </row>
    <row r="271" spans="1:33" x14ac:dyDescent="0.45">
      <c r="B271" s="21" t="s">
        <v>35</v>
      </c>
      <c r="C271" s="28">
        <f ca="1">IFERROR(SUMIFS(Energy[2021_TWh],Energy[[Sector]:[Sector]],$A$268, Energy[[Fuel_category]:[Fuel_category]],$B271),"")</f>
        <v>0</v>
      </c>
      <c r="D271" s="28">
        <f ca="1">IFERROR(SUMIFS(Energy[2022_TWh],Energy[[Sector]:[Sector]],$A$268, Energy[[Fuel_category]:[Fuel_category]],$B271),"")</f>
        <v>0</v>
      </c>
      <c r="E271" s="28">
        <f ca="1">IFERROR(SUMIFS(Energy[2023_TWh],Energy[[Sector]:[Sector]],$A$268, Energy[[Fuel_category]:[Fuel_category]],$B271),"")</f>
        <v>0</v>
      </c>
      <c r="F271" s="28">
        <f ca="1">IFERROR(SUMIFS(Energy[2024_TWh],Energy[[Sector]:[Sector]],$A$268, Energy[[Fuel_category]:[Fuel_category]],$B271),"")</f>
        <v>0</v>
      </c>
      <c r="G271" s="28">
        <f ca="1">IFERROR(SUMIFS(Energy[2025_TWh],Energy[[Sector]:[Sector]],$A$268, Energy[[Fuel_category]:[Fuel_category]],$B271),"")</f>
        <v>0</v>
      </c>
      <c r="H271" s="28">
        <f ca="1">IFERROR(SUMIFS(Energy[2026_TWh],Energy[[Sector]:[Sector]],$A$268, Energy[[Fuel_category]:[Fuel_category]],$B271),"")</f>
        <v>0</v>
      </c>
      <c r="I271" s="28">
        <f ca="1">IFERROR(SUMIFS(Energy[2027_TWh],Energy[[Sector]:[Sector]],$A$268, Energy[[Fuel_category]:[Fuel_category]],$B271),"")</f>
        <v>0</v>
      </c>
      <c r="J271" s="28">
        <f ca="1">IFERROR(SUMIFS(Energy[2028_TWh],Energy[[Sector]:[Sector]],$A$268, Energy[[Fuel_category]:[Fuel_category]],$B271),"")</f>
        <v>0</v>
      </c>
      <c r="K271" s="28">
        <f ca="1">IFERROR(SUMIFS(Energy[2029_TWh],Energy[[Sector]:[Sector]],$A$268, Energy[[Fuel_category]:[Fuel_category]],$B271),"")</f>
        <v>0</v>
      </c>
      <c r="L271" s="28">
        <f ca="1">IFERROR(SUMIFS(Energy[2030_TWh],Energy[[Sector]:[Sector]],$A$268, Energy[[Fuel_category]:[Fuel_category]],$B271),"")</f>
        <v>0</v>
      </c>
      <c r="M271" s="28">
        <f ca="1">IFERROR(SUMIFS(Energy[2031_TWh],Energy[[Sector]:[Sector]],$A$268, Energy[[Fuel_category]:[Fuel_category]],$B271),"")</f>
        <v>0</v>
      </c>
      <c r="N271" s="28">
        <f ca="1">IFERROR(SUMIFS(Energy[2032_TWh],Energy[[Sector]:[Sector]],$A$268, Energy[[Fuel_category]:[Fuel_category]],$B271),"")</f>
        <v>0</v>
      </c>
      <c r="O271" s="28">
        <f ca="1">IFERROR(SUMIFS(Energy[2033_TWh],Energy[[Sector]:[Sector]],$A$268, Energy[[Fuel_category]:[Fuel_category]],$B271),"")</f>
        <v>0</v>
      </c>
      <c r="P271" s="28">
        <f ca="1">IFERROR(SUMIFS(Energy[2034_TWh],Energy[[Sector]:[Sector]],$A$268, Energy[[Fuel_category]:[Fuel_category]],$B271),"")</f>
        <v>0</v>
      </c>
      <c r="Q271" s="28">
        <f ca="1">IFERROR(SUMIFS(Energy[2035_TWh],Energy[[Sector]:[Sector]],$A$268, Energy[[Fuel_category]:[Fuel_category]],$B271),"")</f>
        <v>0</v>
      </c>
      <c r="R271" s="28">
        <f ca="1">IFERROR(SUMIFS(Energy[2036_TWh],Energy[[Sector]:[Sector]],$A$268, Energy[[Fuel_category]:[Fuel_category]],$B271),"")</f>
        <v>0</v>
      </c>
      <c r="S271" s="28">
        <f ca="1">IFERROR(SUMIFS(Energy[2037_TWh],Energy[[Sector]:[Sector]],$A$268, Energy[[Fuel_category]:[Fuel_category]],$B271),"")</f>
        <v>0</v>
      </c>
      <c r="T271" s="28">
        <f ca="1">IFERROR(SUMIFS(Energy[2038_TWh],Energy[[Sector]:[Sector]],$A$268, Energy[[Fuel_category]:[Fuel_category]],$B271),"")</f>
        <v>0</v>
      </c>
      <c r="U271" s="28">
        <f ca="1">IFERROR(SUMIFS(Energy[2039_TWh],Energy[[Sector]:[Sector]],$A$268, Energy[[Fuel_category]:[Fuel_category]],$B271),"")</f>
        <v>0</v>
      </c>
      <c r="V271" s="28">
        <f ca="1">IFERROR(SUMIFS(Energy[2040_TWh],Energy[[Sector]:[Sector]],$A$268, Energy[[Fuel_category]:[Fuel_category]],$B271),"")</f>
        <v>0</v>
      </c>
      <c r="W271" s="28">
        <f ca="1">IFERROR(SUMIFS(Energy[2041_TWh],Energy[[Sector]:[Sector]],$A$268, Energy[[Fuel_category]:[Fuel_category]],$B271),"")</f>
        <v>0</v>
      </c>
      <c r="X271" s="28">
        <f ca="1">IFERROR(SUMIFS(Energy[2042_TWh],Energy[[Sector]:[Sector]],$A$268, Energy[[Fuel_category]:[Fuel_category]],$B271),"")</f>
        <v>0</v>
      </c>
      <c r="Y271" s="28">
        <f ca="1">IFERROR(SUMIFS(Energy[2043_TWh],Energy[[Sector]:[Sector]],$A$268, Energy[[Fuel_category]:[Fuel_category]],$B271),"")</f>
        <v>0</v>
      </c>
      <c r="Z271" s="28">
        <f ca="1">IFERROR(SUMIFS(Energy[2044_TWh],Energy[[Sector]:[Sector]],$A$268, Energy[[Fuel_category]:[Fuel_category]],$B271),"")</f>
        <v>0</v>
      </c>
      <c r="AA271" s="28">
        <f ca="1">IFERROR(SUMIFS(Energy[2045_TWh],Energy[[Sector]:[Sector]],$A$268, Energy[[Fuel_category]:[Fuel_category]],$B271),"")</f>
        <v>0</v>
      </c>
      <c r="AB271" s="28">
        <f ca="1">IFERROR(SUMIFS(Energy[2046_TWh],Energy[[Sector]:[Sector]],$A$268, Energy[[Fuel_category]:[Fuel_category]],$B271),"")</f>
        <v>0</v>
      </c>
      <c r="AC271" s="28">
        <f ca="1">IFERROR(SUMIFS(Energy[2047_TWh],Energy[[Sector]:[Sector]],$A$268, Energy[[Fuel_category]:[Fuel_category]],$B271),"")</f>
        <v>0</v>
      </c>
      <c r="AD271" s="28">
        <f ca="1">IFERROR(SUMIFS(Energy[2048_TWh],Energy[[Sector]:[Sector]],$A$268, Energy[[Fuel_category]:[Fuel_category]],$B271),"")</f>
        <v>0</v>
      </c>
      <c r="AE271" s="28">
        <f ca="1">IFERROR(SUMIFS(Energy[2049_TWh],Energy[[Sector]:[Sector]],$A$268, Energy[[Fuel_category]:[Fuel_category]],$B271),"")</f>
        <v>0</v>
      </c>
      <c r="AF271" s="28">
        <f ca="1">IFERROR(SUMIFS(Energy[2050_TWh],Energy[[Sector]:[Sector]],$A$268, Energy[[Fuel_category]:[Fuel_category]],$B271),"")</f>
        <v>0</v>
      </c>
      <c r="AG271" s="28">
        <f ca="1">IFERROR(SUMIFS(Energy[2051_TWh],Energy[[Sector]:[Sector]],$A$268, Energy[[Fuel_category]:[Fuel_category]],$B271),"")</f>
        <v>0</v>
      </c>
    </row>
    <row r="272" spans="1:33" x14ac:dyDescent="0.45">
      <c r="B272" s="21" t="s">
        <v>26</v>
      </c>
      <c r="C272" s="28">
        <f ca="1">IFERROR(SUMIFS(Energy[2021_TWh],Energy[[Sector]:[Sector]],$A$268, Energy[[Fuel_category]:[Fuel_category]],$B272),"")</f>
        <v>0</v>
      </c>
      <c r="D272" s="28">
        <f ca="1">IFERROR(SUMIFS(Energy[2022_TWh],Energy[[Sector]:[Sector]],$A$268, Energy[[Fuel_category]:[Fuel_category]],$B272),"")</f>
        <v>0</v>
      </c>
      <c r="E272" s="28">
        <f ca="1">IFERROR(SUMIFS(Energy[2023_TWh],Energy[[Sector]:[Sector]],$A$268, Energy[[Fuel_category]:[Fuel_category]],$B272),"")</f>
        <v>0</v>
      </c>
      <c r="F272" s="28">
        <f ca="1">IFERROR(SUMIFS(Energy[2024_TWh],Energy[[Sector]:[Sector]],$A$268, Energy[[Fuel_category]:[Fuel_category]],$B272),"")</f>
        <v>0</v>
      </c>
      <c r="G272" s="28">
        <f ca="1">IFERROR(SUMIFS(Energy[2025_TWh],Energy[[Sector]:[Sector]],$A$268, Energy[[Fuel_category]:[Fuel_category]],$B272),"")</f>
        <v>0</v>
      </c>
      <c r="H272" s="28">
        <f ca="1">IFERROR(SUMIFS(Energy[2026_TWh],Energy[[Sector]:[Sector]],$A$268, Energy[[Fuel_category]:[Fuel_category]],$B272),"")</f>
        <v>0</v>
      </c>
      <c r="I272" s="28">
        <f ca="1">IFERROR(SUMIFS(Energy[2027_TWh],Energy[[Sector]:[Sector]],$A$268, Energy[[Fuel_category]:[Fuel_category]],$B272),"")</f>
        <v>0</v>
      </c>
      <c r="J272" s="28">
        <f ca="1">IFERROR(SUMIFS(Energy[2028_TWh],Energy[[Sector]:[Sector]],$A$268, Energy[[Fuel_category]:[Fuel_category]],$B272),"")</f>
        <v>0</v>
      </c>
      <c r="K272" s="28">
        <f ca="1">IFERROR(SUMIFS(Energy[2029_TWh],Energy[[Sector]:[Sector]],$A$268, Energy[[Fuel_category]:[Fuel_category]],$B272),"")</f>
        <v>0</v>
      </c>
      <c r="L272" s="28">
        <f ca="1">IFERROR(SUMIFS(Energy[2030_TWh],Energy[[Sector]:[Sector]],$A$268, Energy[[Fuel_category]:[Fuel_category]],$B272),"")</f>
        <v>0</v>
      </c>
      <c r="M272" s="28">
        <f ca="1">IFERROR(SUMIFS(Energy[2031_TWh],Energy[[Sector]:[Sector]],$A$268, Energy[[Fuel_category]:[Fuel_category]],$B272),"")</f>
        <v>0</v>
      </c>
      <c r="N272" s="28">
        <f ca="1">IFERROR(SUMIFS(Energy[2032_TWh],Energy[[Sector]:[Sector]],$A$268, Energy[[Fuel_category]:[Fuel_category]],$B272),"")</f>
        <v>0</v>
      </c>
      <c r="O272" s="28">
        <f ca="1">IFERROR(SUMIFS(Energy[2033_TWh],Energy[[Sector]:[Sector]],$A$268, Energy[[Fuel_category]:[Fuel_category]],$B272),"")</f>
        <v>0</v>
      </c>
      <c r="P272" s="28">
        <f ca="1">IFERROR(SUMIFS(Energy[2034_TWh],Energy[[Sector]:[Sector]],$A$268, Energy[[Fuel_category]:[Fuel_category]],$B272),"")</f>
        <v>0</v>
      </c>
      <c r="Q272" s="28">
        <f ca="1">IFERROR(SUMIFS(Energy[2035_TWh],Energy[[Sector]:[Sector]],$A$268, Energy[[Fuel_category]:[Fuel_category]],$B272),"")</f>
        <v>0</v>
      </c>
      <c r="R272" s="28">
        <f ca="1">IFERROR(SUMIFS(Energy[2036_TWh],Energy[[Sector]:[Sector]],$A$268, Energy[[Fuel_category]:[Fuel_category]],$B272),"")</f>
        <v>0</v>
      </c>
      <c r="S272" s="28">
        <f ca="1">IFERROR(SUMIFS(Energy[2037_TWh],Energy[[Sector]:[Sector]],$A$268, Energy[[Fuel_category]:[Fuel_category]],$B272),"")</f>
        <v>0</v>
      </c>
      <c r="T272" s="28">
        <f ca="1">IFERROR(SUMIFS(Energy[2038_TWh],Energy[[Sector]:[Sector]],$A$268, Energy[[Fuel_category]:[Fuel_category]],$B272),"")</f>
        <v>0</v>
      </c>
      <c r="U272" s="28">
        <f ca="1">IFERROR(SUMIFS(Energy[2039_TWh],Energy[[Sector]:[Sector]],$A$268, Energy[[Fuel_category]:[Fuel_category]],$B272),"")</f>
        <v>0</v>
      </c>
      <c r="V272" s="28">
        <f ca="1">IFERROR(SUMIFS(Energy[2040_TWh],Energy[[Sector]:[Sector]],$A$268, Energy[[Fuel_category]:[Fuel_category]],$B272),"")</f>
        <v>0</v>
      </c>
      <c r="W272" s="28">
        <f ca="1">IFERROR(SUMIFS(Energy[2041_TWh],Energy[[Sector]:[Sector]],$A$268, Energy[[Fuel_category]:[Fuel_category]],$B272),"")</f>
        <v>0</v>
      </c>
      <c r="X272" s="28">
        <f ca="1">IFERROR(SUMIFS(Energy[2042_TWh],Energy[[Sector]:[Sector]],$A$268, Energy[[Fuel_category]:[Fuel_category]],$B272),"")</f>
        <v>0</v>
      </c>
      <c r="Y272" s="28">
        <f ca="1">IFERROR(SUMIFS(Energy[2043_TWh],Energy[[Sector]:[Sector]],$A$268, Energy[[Fuel_category]:[Fuel_category]],$B272),"")</f>
        <v>0</v>
      </c>
      <c r="Z272" s="28">
        <f ca="1">IFERROR(SUMIFS(Energy[2044_TWh],Energy[[Sector]:[Sector]],$A$268, Energy[[Fuel_category]:[Fuel_category]],$B272),"")</f>
        <v>0</v>
      </c>
      <c r="AA272" s="28">
        <f ca="1">IFERROR(SUMIFS(Energy[2045_TWh],Energy[[Sector]:[Sector]],$A$268, Energy[[Fuel_category]:[Fuel_category]],$B272),"")</f>
        <v>0</v>
      </c>
      <c r="AB272" s="28">
        <f ca="1">IFERROR(SUMIFS(Energy[2046_TWh],Energy[[Sector]:[Sector]],$A$268, Energy[[Fuel_category]:[Fuel_category]],$B272),"")</f>
        <v>0</v>
      </c>
      <c r="AC272" s="28">
        <f ca="1">IFERROR(SUMIFS(Energy[2047_TWh],Energy[[Sector]:[Sector]],$A$268, Energy[[Fuel_category]:[Fuel_category]],$B272),"")</f>
        <v>0</v>
      </c>
      <c r="AD272" s="28">
        <f ca="1">IFERROR(SUMIFS(Energy[2048_TWh],Energy[[Sector]:[Sector]],$A$268, Energy[[Fuel_category]:[Fuel_category]],$B272),"")</f>
        <v>0</v>
      </c>
      <c r="AE272" s="28">
        <f ca="1">IFERROR(SUMIFS(Energy[2049_TWh],Energy[[Sector]:[Sector]],$A$268, Energy[[Fuel_category]:[Fuel_category]],$B272),"")</f>
        <v>0</v>
      </c>
      <c r="AF272" s="28">
        <f ca="1">IFERROR(SUMIFS(Energy[2050_TWh],Energy[[Sector]:[Sector]],$A$268, Energy[[Fuel_category]:[Fuel_category]],$B272),"")</f>
        <v>0</v>
      </c>
      <c r="AG272" s="28">
        <f ca="1">IFERROR(SUMIFS(Energy[2051_TWh],Energy[[Sector]:[Sector]],$A$268, Energy[[Fuel_category]:[Fuel_category]],$B272),"")</f>
        <v>0</v>
      </c>
    </row>
    <row r="273" spans="1:36" x14ac:dyDescent="0.45">
      <c r="B273" s="21" t="s">
        <v>113</v>
      </c>
      <c r="C273" s="28">
        <f ca="1">IFERROR(SUMIFS(Energy[2021_TWh],Energy[[Sector]:[Sector]],$A$268, Energy[[Fuel_category]:[Fuel_category]],$B273),"")</f>
        <v>0</v>
      </c>
      <c r="D273" s="28">
        <f ca="1">IFERROR(SUMIFS(Energy[2022_TWh],Energy[[Sector]:[Sector]],$A$268, Energy[[Fuel_category]:[Fuel_category]],$B273),"")</f>
        <v>0</v>
      </c>
      <c r="E273" s="28">
        <f ca="1">IFERROR(SUMIFS(Energy[2023_TWh],Energy[[Sector]:[Sector]],$A$268, Energy[[Fuel_category]:[Fuel_category]],$B273),"")</f>
        <v>0</v>
      </c>
      <c r="F273" s="28">
        <f ca="1">IFERROR(SUMIFS(Energy[2024_TWh],Energy[[Sector]:[Sector]],$A$268, Energy[[Fuel_category]:[Fuel_category]],$B273),"")</f>
        <v>0</v>
      </c>
      <c r="G273" s="28">
        <f ca="1">IFERROR(SUMIFS(Energy[2025_TWh],Energy[[Sector]:[Sector]],$A$268, Energy[[Fuel_category]:[Fuel_category]],$B273),"")</f>
        <v>0</v>
      </c>
      <c r="H273" s="28">
        <f ca="1">IFERROR(SUMIFS(Energy[2026_TWh],Energy[[Sector]:[Sector]],$A$268, Energy[[Fuel_category]:[Fuel_category]],$B273),"")</f>
        <v>0</v>
      </c>
      <c r="I273" s="28">
        <f ca="1">IFERROR(SUMIFS(Energy[2027_TWh],Energy[[Sector]:[Sector]],$A$268, Energy[[Fuel_category]:[Fuel_category]],$B273),"")</f>
        <v>0</v>
      </c>
      <c r="J273" s="28">
        <f ca="1">IFERROR(SUMIFS(Energy[2028_TWh],Energy[[Sector]:[Sector]],$A$268, Energy[[Fuel_category]:[Fuel_category]],$B273),"")</f>
        <v>0</v>
      </c>
      <c r="K273" s="28">
        <f ca="1">IFERROR(SUMIFS(Energy[2029_TWh],Energy[[Sector]:[Sector]],$A$268, Energy[[Fuel_category]:[Fuel_category]],$B273),"")</f>
        <v>0</v>
      </c>
      <c r="L273" s="28">
        <f ca="1">IFERROR(SUMIFS(Energy[2030_TWh],Energy[[Sector]:[Sector]],$A$268, Energy[[Fuel_category]:[Fuel_category]],$B273),"")</f>
        <v>0</v>
      </c>
      <c r="M273" s="28">
        <f ca="1">IFERROR(SUMIFS(Energy[2031_TWh],Energy[[Sector]:[Sector]],$A$268, Energy[[Fuel_category]:[Fuel_category]],$B273),"")</f>
        <v>0</v>
      </c>
      <c r="N273" s="28">
        <f ca="1">IFERROR(SUMIFS(Energy[2032_TWh],Energy[[Sector]:[Sector]],$A$268, Energy[[Fuel_category]:[Fuel_category]],$B273),"")</f>
        <v>0</v>
      </c>
      <c r="O273" s="28">
        <f ca="1">IFERROR(SUMIFS(Energy[2033_TWh],Energy[[Sector]:[Sector]],$A$268, Energy[[Fuel_category]:[Fuel_category]],$B273),"")</f>
        <v>0</v>
      </c>
      <c r="P273" s="28">
        <f ca="1">IFERROR(SUMIFS(Energy[2034_TWh],Energy[[Sector]:[Sector]],$A$268, Energy[[Fuel_category]:[Fuel_category]],$B273),"")</f>
        <v>0</v>
      </c>
      <c r="Q273" s="28">
        <f ca="1">IFERROR(SUMIFS(Energy[2035_TWh],Energy[[Sector]:[Sector]],$A$268, Energy[[Fuel_category]:[Fuel_category]],$B273),"")</f>
        <v>0</v>
      </c>
      <c r="R273" s="28">
        <f ca="1">IFERROR(SUMIFS(Energy[2036_TWh],Energy[[Sector]:[Sector]],$A$268, Energy[[Fuel_category]:[Fuel_category]],$B273),"")</f>
        <v>0</v>
      </c>
      <c r="S273" s="28">
        <f ca="1">IFERROR(SUMIFS(Energy[2037_TWh],Energy[[Sector]:[Sector]],$A$268, Energy[[Fuel_category]:[Fuel_category]],$B273),"")</f>
        <v>0</v>
      </c>
      <c r="T273" s="28">
        <f ca="1">IFERROR(SUMIFS(Energy[2038_TWh],Energy[[Sector]:[Sector]],$A$268, Energy[[Fuel_category]:[Fuel_category]],$B273),"")</f>
        <v>0</v>
      </c>
      <c r="U273" s="28">
        <f ca="1">IFERROR(SUMIFS(Energy[2039_TWh],Energy[[Sector]:[Sector]],$A$268, Energy[[Fuel_category]:[Fuel_category]],$B273),"")</f>
        <v>0</v>
      </c>
      <c r="V273" s="28">
        <f ca="1">IFERROR(SUMIFS(Energy[2040_TWh],Energy[[Sector]:[Sector]],$A$268, Energy[[Fuel_category]:[Fuel_category]],$B273),"")</f>
        <v>0</v>
      </c>
      <c r="W273" s="28">
        <f ca="1">IFERROR(SUMIFS(Energy[2041_TWh],Energy[[Sector]:[Sector]],$A$268, Energy[[Fuel_category]:[Fuel_category]],$B273),"")</f>
        <v>0</v>
      </c>
      <c r="X273" s="28">
        <f ca="1">IFERROR(SUMIFS(Energy[2042_TWh],Energy[[Sector]:[Sector]],$A$268, Energy[[Fuel_category]:[Fuel_category]],$B273),"")</f>
        <v>0</v>
      </c>
      <c r="Y273" s="28">
        <f ca="1">IFERROR(SUMIFS(Energy[2043_TWh],Energy[[Sector]:[Sector]],$A$268, Energy[[Fuel_category]:[Fuel_category]],$B273),"")</f>
        <v>0</v>
      </c>
      <c r="Z273" s="28">
        <f ca="1">IFERROR(SUMIFS(Energy[2044_TWh],Energy[[Sector]:[Sector]],$A$268, Energy[[Fuel_category]:[Fuel_category]],$B273),"")</f>
        <v>0</v>
      </c>
      <c r="AA273" s="28">
        <f ca="1">IFERROR(SUMIFS(Energy[2045_TWh],Energy[[Sector]:[Sector]],$A$268, Energy[[Fuel_category]:[Fuel_category]],$B273),"")</f>
        <v>0</v>
      </c>
      <c r="AB273" s="28">
        <f ca="1">IFERROR(SUMIFS(Energy[2046_TWh],Energy[[Sector]:[Sector]],$A$268, Energy[[Fuel_category]:[Fuel_category]],$B273),"")</f>
        <v>0</v>
      </c>
      <c r="AC273" s="28">
        <f ca="1">IFERROR(SUMIFS(Energy[2047_TWh],Energy[[Sector]:[Sector]],$A$268, Energy[[Fuel_category]:[Fuel_category]],$B273),"")</f>
        <v>0</v>
      </c>
      <c r="AD273" s="28">
        <f ca="1">IFERROR(SUMIFS(Energy[2048_TWh],Energy[[Sector]:[Sector]],$A$268, Energy[[Fuel_category]:[Fuel_category]],$B273),"")</f>
        <v>0</v>
      </c>
      <c r="AE273" s="28">
        <f ca="1">IFERROR(SUMIFS(Energy[2049_TWh],Energy[[Sector]:[Sector]],$A$268, Energy[[Fuel_category]:[Fuel_category]],$B273),"")</f>
        <v>0</v>
      </c>
      <c r="AF273" s="28">
        <f ca="1">IFERROR(SUMIFS(Energy[2050_TWh],Energy[[Sector]:[Sector]],$A$268, Energy[[Fuel_category]:[Fuel_category]],$B273),"")</f>
        <v>0</v>
      </c>
      <c r="AG273" s="28">
        <f ca="1">IFERROR(SUMIFS(Energy[2051_TWh],Energy[[Sector]:[Sector]],$A$268, Energy[[Fuel_category]:[Fuel_category]],$B273),"")</f>
        <v>0</v>
      </c>
    </row>
    <row r="274" spans="1:36" x14ac:dyDescent="0.45">
      <c r="B274" s="21" t="s">
        <v>111</v>
      </c>
      <c r="C274" s="28">
        <f ca="1">IFERROR(SUMIFS(Energy[2021_TWh],Energy[[Sector]:[Sector]],$A$268, Energy[[Fuel_category]:[Fuel_category]],$B274),"")</f>
        <v>0</v>
      </c>
      <c r="D274" s="28">
        <f ca="1">IFERROR(SUMIFS(Energy[2022_TWh],Energy[[Sector]:[Sector]],$A$268, Energy[[Fuel_category]:[Fuel_category]],$B274),"")</f>
        <v>0</v>
      </c>
      <c r="E274" s="28">
        <f ca="1">IFERROR(SUMIFS(Energy[2023_TWh],Energy[[Sector]:[Sector]],$A$268, Energy[[Fuel_category]:[Fuel_category]],$B274),"")</f>
        <v>0</v>
      </c>
      <c r="F274" s="28">
        <f ca="1">IFERROR(SUMIFS(Energy[2024_TWh],Energy[[Sector]:[Sector]],$A$268, Energy[[Fuel_category]:[Fuel_category]],$B274),"")</f>
        <v>0</v>
      </c>
      <c r="G274" s="28">
        <f ca="1">IFERROR(SUMIFS(Energy[2025_TWh],Energy[[Sector]:[Sector]],$A$268, Energy[[Fuel_category]:[Fuel_category]],$B274),"")</f>
        <v>0</v>
      </c>
      <c r="H274" s="28">
        <f ca="1">IFERROR(SUMIFS(Energy[2026_TWh],Energy[[Sector]:[Sector]],$A$268, Energy[[Fuel_category]:[Fuel_category]],$B274),"")</f>
        <v>0</v>
      </c>
      <c r="I274" s="28">
        <f ca="1">IFERROR(SUMIFS(Energy[2027_TWh],Energy[[Sector]:[Sector]],$A$268, Energy[[Fuel_category]:[Fuel_category]],$B274),"")</f>
        <v>0</v>
      </c>
      <c r="J274" s="28">
        <f ca="1">IFERROR(SUMIFS(Energy[2028_TWh],Energy[[Sector]:[Sector]],$A$268, Energy[[Fuel_category]:[Fuel_category]],$B274),"")</f>
        <v>0</v>
      </c>
      <c r="K274" s="28">
        <f ca="1">IFERROR(SUMIFS(Energy[2029_TWh],Energy[[Sector]:[Sector]],$A$268, Energy[[Fuel_category]:[Fuel_category]],$B274),"")</f>
        <v>0</v>
      </c>
      <c r="L274" s="28">
        <f ca="1">IFERROR(SUMIFS(Energy[2030_TWh],Energy[[Sector]:[Sector]],$A$268, Energy[[Fuel_category]:[Fuel_category]],$B274),"")</f>
        <v>0</v>
      </c>
      <c r="M274" s="28">
        <f ca="1">IFERROR(SUMIFS(Energy[2031_TWh],Energy[[Sector]:[Sector]],$A$268, Energy[[Fuel_category]:[Fuel_category]],$B274),"")</f>
        <v>0</v>
      </c>
      <c r="N274" s="28">
        <f ca="1">IFERROR(SUMIFS(Energy[2032_TWh],Energy[[Sector]:[Sector]],$A$268, Energy[[Fuel_category]:[Fuel_category]],$B274),"")</f>
        <v>0</v>
      </c>
      <c r="O274" s="28">
        <f ca="1">IFERROR(SUMIFS(Energy[2033_TWh],Energy[[Sector]:[Sector]],$A$268, Energy[[Fuel_category]:[Fuel_category]],$B274),"")</f>
        <v>0</v>
      </c>
      <c r="P274" s="28">
        <f ca="1">IFERROR(SUMIFS(Energy[2034_TWh],Energy[[Sector]:[Sector]],$A$268, Energy[[Fuel_category]:[Fuel_category]],$B274),"")</f>
        <v>0</v>
      </c>
      <c r="Q274" s="28">
        <f ca="1">IFERROR(SUMIFS(Energy[2035_TWh],Energy[[Sector]:[Sector]],$A$268, Energy[[Fuel_category]:[Fuel_category]],$B274),"")</f>
        <v>0</v>
      </c>
      <c r="R274" s="28">
        <f ca="1">IFERROR(SUMIFS(Energy[2036_TWh],Energy[[Sector]:[Sector]],$A$268, Energy[[Fuel_category]:[Fuel_category]],$B274),"")</f>
        <v>0</v>
      </c>
      <c r="S274" s="28">
        <f ca="1">IFERROR(SUMIFS(Energy[2037_TWh],Energy[[Sector]:[Sector]],$A$268, Energy[[Fuel_category]:[Fuel_category]],$B274),"")</f>
        <v>0</v>
      </c>
      <c r="T274" s="28">
        <f ca="1">IFERROR(SUMIFS(Energy[2038_TWh],Energy[[Sector]:[Sector]],$A$268, Energy[[Fuel_category]:[Fuel_category]],$B274),"")</f>
        <v>0</v>
      </c>
      <c r="U274" s="28">
        <f ca="1">IFERROR(SUMIFS(Energy[2039_TWh],Energy[[Sector]:[Sector]],$A$268, Energy[[Fuel_category]:[Fuel_category]],$B274),"")</f>
        <v>0</v>
      </c>
      <c r="V274" s="28">
        <f ca="1">IFERROR(SUMIFS(Energy[2040_TWh],Energy[[Sector]:[Sector]],$A$268, Energy[[Fuel_category]:[Fuel_category]],$B274),"")</f>
        <v>0</v>
      </c>
      <c r="W274" s="28">
        <f ca="1">IFERROR(SUMIFS(Energy[2041_TWh],Energy[[Sector]:[Sector]],$A$268, Energy[[Fuel_category]:[Fuel_category]],$B274),"")</f>
        <v>0</v>
      </c>
      <c r="X274" s="28">
        <f ca="1">IFERROR(SUMIFS(Energy[2042_TWh],Energy[[Sector]:[Sector]],$A$268, Energy[[Fuel_category]:[Fuel_category]],$B274),"")</f>
        <v>0</v>
      </c>
      <c r="Y274" s="28">
        <f ca="1">IFERROR(SUMIFS(Energy[2043_TWh],Energy[[Sector]:[Sector]],$A$268, Energy[[Fuel_category]:[Fuel_category]],$B274),"")</f>
        <v>0</v>
      </c>
      <c r="Z274" s="28">
        <f ca="1">IFERROR(SUMIFS(Energy[2044_TWh],Energy[[Sector]:[Sector]],$A$268, Energy[[Fuel_category]:[Fuel_category]],$B274),"")</f>
        <v>0</v>
      </c>
      <c r="AA274" s="28">
        <f ca="1">IFERROR(SUMIFS(Energy[2045_TWh],Energy[[Sector]:[Sector]],$A$268, Energy[[Fuel_category]:[Fuel_category]],$B274),"")</f>
        <v>0</v>
      </c>
      <c r="AB274" s="28">
        <f ca="1">IFERROR(SUMIFS(Energy[2046_TWh],Energy[[Sector]:[Sector]],$A$268, Energy[[Fuel_category]:[Fuel_category]],$B274),"")</f>
        <v>0</v>
      </c>
      <c r="AC274" s="28">
        <f ca="1">IFERROR(SUMIFS(Energy[2047_TWh],Energy[[Sector]:[Sector]],$A$268, Energy[[Fuel_category]:[Fuel_category]],$B274),"")</f>
        <v>0</v>
      </c>
      <c r="AD274" s="28">
        <f ca="1">IFERROR(SUMIFS(Energy[2048_TWh],Energy[[Sector]:[Sector]],$A$268, Energy[[Fuel_category]:[Fuel_category]],$B274),"")</f>
        <v>0</v>
      </c>
      <c r="AE274" s="28">
        <f ca="1">IFERROR(SUMIFS(Energy[2049_TWh],Energy[[Sector]:[Sector]],$A$268, Energy[[Fuel_category]:[Fuel_category]],$B274),"")</f>
        <v>0</v>
      </c>
      <c r="AF274" s="28">
        <f ca="1">IFERROR(SUMIFS(Energy[2050_TWh],Energy[[Sector]:[Sector]],$A$268, Energy[[Fuel_category]:[Fuel_category]],$B274),"")</f>
        <v>0</v>
      </c>
      <c r="AG274" s="28">
        <f ca="1">IFERROR(SUMIFS(Energy[2051_TWh],Energy[[Sector]:[Sector]],$A$268, Energy[[Fuel_category]:[Fuel_category]],$B274),"")</f>
        <v>0</v>
      </c>
    </row>
    <row r="275" spans="1:36" ht="14.65" thickBot="1" x14ac:dyDescent="0.5">
      <c r="B275" s="29" t="s">
        <v>124</v>
      </c>
      <c r="C275" s="31">
        <f ca="1">IF(C154&lt;&gt;"",SUM(C268:C273),"")</f>
        <v>0</v>
      </c>
      <c r="D275" s="31">
        <f t="shared" ref="D275:AF275" ca="1" si="56">IF(D154&lt;&gt;"",SUM(D268:D273),"")</f>
        <v>0</v>
      </c>
      <c r="E275" s="31">
        <f t="shared" ca="1" si="56"/>
        <v>0</v>
      </c>
      <c r="F275" s="31">
        <f t="shared" ca="1" si="56"/>
        <v>0</v>
      </c>
      <c r="G275" s="31">
        <f t="shared" ca="1" si="56"/>
        <v>0</v>
      </c>
      <c r="H275" s="31">
        <f t="shared" ca="1" si="56"/>
        <v>0</v>
      </c>
      <c r="I275" s="31">
        <f t="shared" ca="1" si="56"/>
        <v>0</v>
      </c>
      <c r="J275" s="31">
        <f t="shared" ca="1" si="56"/>
        <v>0</v>
      </c>
      <c r="K275" s="31">
        <f t="shared" ca="1" si="56"/>
        <v>0</v>
      </c>
      <c r="L275" s="31">
        <f t="shared" ca="1" si="56"/>
        <v>0</v>
      </c>
      <c r="M275" s="31">
        <f t="shared" ca="1" si="56"/>
        <v>0</v>
      </c>
      <c r="N275" s="31">
        <f t="shared" ca="1" si="56"/>
        <v>0</v>
      </c>
      <c r="O275" s="31">
        <f t="shared" ca="1" si="56"/>
        <v>0</v>
      </c>
      <c r="P275" s="31">
        <f t="shared" ca="1" si="56"/>
        <v>0</v>
      </c>
      <c r="Q275" s="31">
        <f t="shared" ca="1" si="56"/>
        <v>0</v>
      </c>
      <c r="R275" s="31">
        <f t="shared" ca="1" si="56"/>
        <v>0</v>
      </c>
      <c r="S275" s="31">
        <f t="shared" ca="1" si="56"/>
        <v>0</v>
      </c>
      <c r="T275" s="31">
        <f t="shared" ca="1" si="56"/>
        <v>0</v>
      </c>
      <c r="U275" s="31">
        <f t="shared" ca="1" si="56"/>
        <v>0</v>
      </c>
      <c r="V275" s="31">
        <f t="shared" ca="1" si="56"/>
        <v>0</v>
      </c>
      <c r="W275" s="31">
        <f t="shared" ca="1" si="56"/>
        <v>0</v>
      </c>
      <c r="X275" s="31">
        <f t="shared" ca="1" si="56"/>
        <v>0</v>
      </c>
      <c r="Y275" s="31">
        <f t="shared" ca="1" si="56"/>
        <v>0</v>
      </c>
      <c r="Z275" s="31">
        <f t="shared" ca="1" si="56"/>
        <v>0</v>
      </c>
      <c r="AA275" s="31">
        <f t="shared" ca="1" si="56"/>
        <v>0</v>
      </c>
      <c r="AB275" s="31">
        <f t="shared" ca="1" si="56"/>
        <v>0</v>
      </c>
      <c r="AC275" s="31">
        <f t="shared" ca="1" si="56"/>
        <v>0</v>
      </c>
      <c r="AD275" s="31">
        <f t="shared" ca="1" si="56"/>
        <v>0</v>
      </c>
      <c r="AE275" s="31">
        <f t="shared" ca="1" si="56"/>
        <v>0</v>
      </c>
      <c r="AF275" s="31">
        <f t="shared" ca="1" si="56"/>
        <v>0</v>
      </c>
      <c r="AG275" s="31">
        <f t="shared" ref="AG275" ca="1" si="57">IF(AG154&lt;&gt;"",SUM(AG268:AG273),"")</f>
        <v>0</v>
      </c>
    </row>
    <row r="276" spans="1:36" ht="14.65" thickTop="1" x14ac:dyDescent="0.45"/>
    <row r="277" spans="1:36" ht="15.75" customHeight="1" x14ac:dyDescent="0.45">
      <c r="B277" s="6"/>
      <c r="C277" s="6">
        <v>2021</v>
      </c>
      <c r="D277" s="6">
        <v>2022</v>
      </c>
      <c r="E277" s="6">
        <v>2023</v>
      </c>
      <c r="F277" s="6">
        <v>2024</v>
      </c>
      <c r="G277" s="6">
        <v>2025</v>
      </c>
      <c r="H277" s="6">
        <v>2026</v>
      </c>
      <c r="I277" s="6">
        <v>2027</v>
      </c>
      <c r="J277" s="6">
        <v>2028</v>
      </c>
      <c r="K277" s="6">
        <v>2029</v>
      </c>
      <c r="L277" s="6">
        <v>2030</v>
      </c>
      <c r="M277" s="6">
        <v>2031</v>
      </c>
      <c r="N277" s="6">
        <v>2032</v>
      </c>
      <c r="O277" s="6">
        <v>2033</v>
      </c>
      <c r="P277" s="6">
        <v>2034</v>
      </c>
      <c r="Q277" s="6">
        <v>2035</v>
      </c>
      <c r="R277" s="6">
        <v>2036</v>
      </c>
      <c r="S277" s="6">
        <v>2037</v>
      </c>
      <c r="T277" s="6">
        <v>2038</v>
      </c>
      <c r="U277" s="6">
        <v>2039</v>
      </c>
      <c r="V277" s="6">
        <v>2040</v>
      </c>
      <c r="W277" s="6">
        <v>2041</v>
      </c>
      <c r="X277" s="6">
        <v>2042</v>
      </c>
      <c r="Y277" s="6">
        <v>2043</v>
      </c>
      <c r="Z277" s="6">
        <v>2044</v>
      </c>
      <c r="AA277" s="6">
        <v>2045</v>
      </c>
      <c r="AB277" s="6">
        <v>2046</v>
      </c>
      <c r="AC277" s="6">
        <v>2047</v>
      </c>
      <c r="AD277" s="6">
        <v>2048</v>
      </c>
      <c r="AE277" s="6">
        <v>2049</v>
      </c>
      <c r="AF277" s="6">
        <v>2050</v>
      </c>
      <c r="AG277" s="6">
        <v>2051</v>
      </c>
    </row>
    <row r="278" spans="1:36" x14ac:dyDescent="0.45">
      <c r="A278" t="s">
        <v>271</v>
      </c>
      <c r="B278" s="21" t="s">
        <v>82</v>
      </c>
      <c r="C278" s="28">
        <f ca="1">IFERROR(SUMIFS(Energy[2021_TWh],Energy[[Sector]:[Sector]],$A$278, Energy[[Fuel_category]:[Fuel_category]],$B278),"")</f>
        <v>0</v>
      </c>
      <c r="D278" s="28">
        <f ca="1">IFERROR(SUMIFS(Energy[2022_TWh],Energy[[Sector]:[Sector]],$A$278, Energy[[Fuel_category]:[Fuel_category]],$B278),"")</f>
        <v>0</v>
      </c>
      <c r="E278" s="28">
        <f ca="1">IFERROR(SUMIFS(Energy[2023_TWh],Energy[[Sector]:[Sector]],$A$278, Energy[[Fuel_category]:[Fuel_category]],$B278),"")</f>
        <v>0</v>
      </c>
      <c r="F278" s="28">
        <f ca="1">IFERROR(SUMIFS(Energy[2024_TWh],Energy[[Sector]:[Sector]],$A$278, Energy[[Fuel_category]:[Fuel_category]],$B278),"")</f>
        <v>0</v>
      </c>
      <c r="G278" s="28">
        <f ca="1">IFERROR(SUMIFS(Energy[2025_TWh],Energy[[Sector]:[Sector]],$A$278, Energy[[Fuel_category]:[Fuel_category]],$B278),"")</f>
        <v>0</v>
      </c>
      <c r="H278" s="28">
        <f ca="1">IFERROR(SUMIFS(Energy[2026_TWh],Energy[[Sector]:[Sector]],$A$278, Energy[[Fuel_category]:[Fuel_category]],$B278),"")</f>
        <v>0</v>
      </c>
      <c r="I278" s="28">
        <f ca="1">IFERROR(SUMIFS(Energy[2027_TWh],Energy[[Sector]:[Sector]],$A$278, Energy[[Fuel_category]:[Fuel_category]],$B278),"")</f>
        <v>0</v>
      </c>
      <c r="J278" s="28">
        <f ca="1">IFERROR(SUMIFS(Energy[2028_TWh],Energy[[Sector]:[Sector]],$A$278, Energy[[Fuel_category]:[Fuel_category]],$B278),"")</f>
        <v>0</v>
      </c>
      <c r="K278" s="28">
        <f ca="1">IFERROR(SUMIFS(Energy[2029_TWh],Energy[[Sector]:[Sector]],$A$278, Energy[[Fuel_category]:[Fuel_category]],$B278),"")</f>
        <v>0</v>
      </c>
      <c r="L278" s="28">
        <f ca="1">IFERROR(SUMIFS(Energy[2030_TWh],Energy[[Sector]:[Sector]],$A$278, Energy[[Fuel_category]:[Fuel_category]],$B278),"")</f>
        <v>0</v>
      </c>
      <c r="M278" s="28">
        <f ca="1">IFERROR(SUMIFS(Energy[2031_TWh],Energy[[Sector]:[Sector]],$A$278, Energy[[Fuel_category]:[Fuel_category]],$B278),"")</f>
        <v>0</v>
      </c>
      <c r="N278" s="28">
        <f ca="1">IFERROR(SUMIFS(Energy[2032_TWh],Energy[[Sector]:[Sector]],$A$278, Energy[[Fuel_category]:[Fuel_category]],$B278),"")</f>
        <v>0</v>
      </c>
      <c r="O278" s="28">
        <f ca="1">IFERROR(SUMIFS(Energy[2033_TWh],Energy[[Sector]:[Sector]],$A$278, Energy[[Fuel_category]:[Fuel_category]],$B278),"")</f>
        <v>0</v>
      </c>
      <c r="P278" s="28">
        <f ca="1">IFERROR(SUMIFS(Energy[2034_TWh],Energy[[Sector]:[Sector]],$A$278, Energy[[Fuel_category]:[Fuel_category]],$B278),"")</f>
        <v>0</v>
      </c>
      <c r="Q278" s="28">
        <f ca="1">IFERROR(SUMIFS(Energy[2035_TWh],Energy[[Sector]:[Sector]],$A$278, Energy[[Fuel_category]:[Fuel_category]],$B278),"")</f>
        <v>0</v>
      </c>
      <c r="R278" s="28">
        <f ca="1">IFERROR(SUMIFS(Energy[2036_TWh],Energy[[Sector]:[Sector]],$A$278, Energy[[Fuel_category]:[Fuel_category]],$B278),"")</f>
        <v>0</v>
      </c>
      <c r="S278" s="28">
        <f ca="1">IFERROR(SUMIFS(Energy[2037_TWh],Energy[[Sector]:[Sector]],$A$278, Energy[[Fuel_category]:[Fuel_category]],$B278),"")</f>
        <v>0</v>
      </c>
      <c r="T278" s="28">
        <f ca="1">IFERROR(SUMIFS(Energy[2038_TWh],Energy[[Sector]:[Sector]],$A$278, Energy[[Fuel_category]:[Fuel_category]],$B278),"")</f>
        <v>0</v>
      </c>
      <c r="U278" s="28">
        <f ca="1">IFERROR(SUMIFS(Energy[2039_TWh],Energy[[Sector]:[Sector]],$A$278, Energy[[Fuel_category]:[Fuel_category]],$B278),"")</f>
        <v>0</v>
      </c>
      <c r="V278" s="28">
        <f ca="1">IFERROR(SUMIFS(Energy[2040_TWh],Energy[[Sector]:[Sector]],$A$278, Energy[[Fuel_category]:[Fuel_category]],$B278),"")</f>
        <v>0</v>
      </c>
      <c r="W278" s="28">
        <f ca="1">IFERROR(SUMIFS(Energy[2041_TWh],Energy[[Sector]:[Sector]],$A$278, Energy[[Fuel_category]:[Fuel_category]],$B278),"")</f>
        <v>0</v>
      </c>
      <c r="X278" s="28">
        <f ca="1">IFERROR(SUMIFS(Energy[2042_TWh],Energy[[Sector]:[Sector]],$A$278, Energy[[Fuel_category]:[Fuel_category]],$B278),"")</f>
        <v>0</v>
      </c>
      <c r="Y278" s="28">
        <f ca="1">IFERROR(SUMIFS(Energy[2043_TWh],Energy[[Sector]:[Sector]],$A$278, Energy[[Fuel_category]:[Fuel_category]],$B278),"")</f>
        <v>0</v>
      </c>
      <c r="Z278" s="28">
        <f ca="1">IFERROR(SUMIFS(Energy[2044_TWh],Energy[[Sector]:[Sector]],$A$278, Energy[[Fuel_category]:[Fuel_category]],$B278),"")</f>
        <v>0</v>
      </c>
      <c r="AA278" s="28">
        <f ca="1">IFERROR(SUMIFS(Energy[2045_TWh],Energy[[Sector]:[Sector]],$A$278, Energy[[Fuel_category]:[Fuel_category]],$B278),"")</f>
        <v>0</v>
      </c>
      <c r="AB278" s="28">
        <f ca="1">IFERROR(SUMIFS(Energy[2046_TWh],Energy[[Sector]:[Sector]],$A$278, Energy[[Fuel_category]:[Fuel_category]],$B278),"")</f>
        <v>0</v>
      </c>
      <c r="AC278" s="28">
        <f ca="1">IFERROR(SUMIFS(Energy[2047_TWh],Energy[[Sector]:[Sector]],$A$278, Energy[[Fuel_category]:[Fuel_category]],$B278),"")</f>
        <v>0</v>
      </c>
      <c r="AD278" s="28">
        <f ca="1">IFERROR(SUMIFS(Energy[2048_TWh],Energy[[Sector]:[Sector]],$A$278, Energy[[Fuel_category]:[Fuel_category]],$B278),"")</f>
        <v>0</v>
      </c>
      <c r="AE278" s="28">
        <f ca="1">IFERROR(SUMIFS(Energy[2049_TWh],Energy[[Sector]:[Sector]],$A$278, Energy[[Fuel_category]:[Fuel_category]],$B278),"")</f>
        <v>0</v>
      </c>
      <c r="AF278" s="28">
        <f ca="1">IFERROR(SUMIFS(Energy[2050_TWh],Energy[[Sector]:[Sector]],$A$278, Energy[[Fuel_category]:[Fuel_category]],$B278),"")</f>
        <v>0</v>
      </c>
      <c r="AG278" s="28">
        <f ca="1">IFERROR(SUMIFS(Energy[2051_TWh],Energy[[Sector]:[Sector]],$A$278, Energy[[Fuel_category]:[Fuel_category]],$B278),"")</f>
        <v>0</v>
      </c>
    </row>
    <row r="279" spans="1:36" x14ac:dyDescent="0.45">
      <c r="B279" s="21" t="s">
        <v>83</v>
      </c>
      <c r="C279" s="28">
        <f ca="1">IFERROR(SUMIFS(Energy[2021_TWh],Energy[[Sector]:[Sector]],$A$278, Energy[[Fuel_category]:[Fuel_category]],$B279),"")</f>
        <v>0</v>
      </c>
      <c r="D279" s="28">
        <f ca="1">IFERROR(SUMIFS(Energy[2022_TWh],Energy[[Sector]:[Sector]],$A$278, Energy[[Fuel_category]:[Fuel_category]],$B279),"")</f>
        <v>0</v>
      </c>
      <c r="E279" s="28">
        <f ca="1">IFERROR(SUMIFS(Energy[2023_TWh],Energy[[Sector]:[Sector]],$A$278, Energy[[Fuel_category]:[Fuel_category]],$B279),"")</f>
        <v>0</v>
      </c>
      <c r="F279" s="28">
        <f ca="1">IFERROR(SUMIFS(Energy[2024_TWh],Energy[[Sector]:[Sector]],$A$278, Energy[[Fuel_category]:[Fuel_category]],$B279),"")</f>
        <v>0</v>
      </c>
      <c r="G279" s="28">
        <f ca="1">IFERROR(SUMIFS(Energy[2025_TWh],Energy[[Sector]:[Sector]],$A$278, Energy[[Fuel_category]:[Fuel_category]],$B279),"")</f>
        <v>0</v>
      </c>
      <c r="H279" s="28">
        <f ca="1">IFERROR(SUMIFS(Energy[2026_TWh],Energy[[Sector]:[Sector]],$A$278, Energy[[Fuel_category]:[Fuel_category]],$B279),"")</f>
        <v>0</v>
      </c>
      <c r="I279" s="28">
        <f ca="1">IFERROR(SUMIFS(Energy[2027_TWh],Energy[[Sector]:[Sector]],$A$278, Energy[[Fuel_category]:[Fuel_category]],$B279),"")</f>
        <v>0</v>
      </c>
      <c r="J279" s="28">
        <f ca="1">IFERROR(SUMIFS(Energy[2028_TWh],Energy[[Sector]:[Sector]],$A$278, Energy[[Fuel_category]:[Fuel_category]],$B279),"")</f>
        <v>0</v>
      </c>
      <c r="K279" s="28">
        <f ca="1">IFERROR(SUMIFS(Energy[2029_TWh],Energy[[Sector]:[Sector]],$A$278, Energy[[Fuel_category]:[Fuel_category]],$B279),"")</f>
        <v>0</v>
      </c>
      <c r="L279" s="28">
        <f ca="1">IFERROR(SUMIFS(Energy[2030_TWh],Energy[[Sector]:[Sector]],$A$278, Energy[[Fuel_category]:[Fuel_category]],$B279),"")</f>
        <v>0</v>
      </c>
      <c r="M279" s="28">
        <f ca="1">IFERROR(SUMIFS(Energy[2031_TWh],Energy[[Sector]:[Sector]],$A$278, Energy[[Fuel_category]:[Fuel_category]],$B279),"")</f>
        <v>0</v>
      </c>
      <c r="N279" s="28">
        <f ca="1">IFERROR(SUMIFS(Energy[2032_TWh],Energy[[Sector]:[Sector]],$A$278, Energy[[Fuel_category]:[Fuel_category]],$B279),"")</f>
        <v>0</v>
      </c>
      <c r="O279" s="28">
        <f ca="1">IFERROR(SUMIFS(Energy[2033_TWh],Energy[[Sector]:[Sector]],$A$278, Energy[[Fuel_category]:[Fuel_category]],$B279),"")</f>
        <v>0</v>
      </c>
      <c r="P279" s="28">
        <f ca="1">IFERROR(SUMIFS(Energy[2034_TWh],Energy[[Sector]:[Sector]],$A$278, Energy[[Fuel_category]:[Fuel_category]],$B279),"")</f>
        <v>0</v>
      </c>
      <c r="Q279" s="28">
        <f ca="1">IFERROR(SUMIFS(Energy[2035_TWh],Energy[[Sector]:[Sector]],$A$278, Energy[[Fuel_category]:[Fuel_category]],$B279),"")</f>
        <v>0</v>
      </c>
      <c r="R279" s="28">
        <f ca="1">IFERROR(SUMIFS(Energy[2036_TWh],Energy[[Sector]:[Sector]],$A$278, Energy[[Fuel_category]:[Fuel_category]],$B279),"")</f>
        <v>0</v>
      </c>
      <c r="S279" s="28">
        <f ca="1">IFERROR(SUMIFS(Energy[2037_TWh],Energy[[Sector]:[Sector]],$A$278, Energy[[Fuel_category]:[Fuel_category]],$B279),"")</f>
        <v>0</v>
      </c>
      <c r="T279" s="28">
        <f ca="1">IFERROR(SUMIFS(Energy[2038_TWh],Energy[[Sector]:[Sector]],$A$278, Energy[[Fuel_category]:[Fuel_category]],$B279),"")</f>
        <v>0</v>
      </c>
      <c r="U279" s="28">
        <f ca="1">IFERROR(SUMIFS(Energy[2039_TWh],Energy[[Sector]:[Sector]],$A$278, Energy[[Fuel_category]:[Fuel_category]],$B279),"")</f>
        <v>0</v>
      </c>
      <c r="V279" s="28">
        <f ca="1">IFERROR(SUMIFS(Energy[2040_TWh],Energy[[Sector]:[Sector]],$A$278, Energy[[Fuel_category]:[Fuel_category]],$B279),"")</f>
        <v>0</v>
      </c>
      <c r="W279" s="28">
        <f ca="1">IFERROR(SUMIFS(Energy[2041_TWh],Energy[[Sector]:[Sector]],$A$278, Energy[[Fuel_category]:[Fuel_category]],$B279),"")</f>
        <v>0</v>
      </c>
      <c r="X279" s="28">
        <f ca="1">IFERROR(SUMIFS(Energy[2042_TWh],Energy[[Sector]:[Sector]],$A$278, Energy[[Fuel_category]:[Fuel_category]],$B279),"")</f>
        <v>0</v>
      </c>
      <c r="Y279" s="28">
        <f ca="1">IFERROR(SUMIFS(Energy[2043_TWh],Energy[[Sector]:[Sector]],$A$278, Energy[[Fuel_category]:[Fuel_category]],$B279),"")</f>
        <v>0</v>
      </c>
      <c r="Z279" s="28">
        <f ca="1">IFERROR(SUMIFS(Energy[2044_TWh],Energy[[Sector]:[Sector]],$A$278, Energy[[Fuel_category]:[Fuel_category]],$B279),"")</f>
        <v>0</v>
      </c>
      <c r="AA279" s="28">
        <f ca="1">IFERROR(SUMIFS(Energy[2045_TWh],Energy[[Sector]:[Sector]],$A$278, Energy[[Fuel_category]:[Fuel_category]],$B279),"")</f>
        <v>0</v>
      </c>
      <c r="AB279" s="28">
        <f ca="1">IFERROR(SUMIFS(Energy[2046_TWh],Energy[[Sector]:[Sector]],$A$278, Energy[[Fuel_category]:[Fuel_category]],$B279),"")</f>
        <v>0</v>
      </c>
      <c r="AC279" s="28">
        <f ca="1">IFERROR(SUMIFS(Energy[2047_TWh],Energy[[Sector]:[Sector]],$A$278, Energy[[Fuel_category]:[Fuel_category]],$B279),"")</f>
        <v>0</v>
      </c>
      <c r="AD279" s="28">
        <f ca="1">IFERROR(SUMIFS(Energy[2048_TWh],Energy[[Sector]:[Sector]],$A$278, Energy[[Fuel_category]:[Fuel_category]],$B279),"")</f>
        <v>0</v>
      </c>
      <c r="AE279" s="28">
        <f ca="1">IFERROR(SUMIFS(Energy[2049_TWh],Energy[[Sector]:[Sector]],$A$278, Energy[[Fuel_category]:[Fuel_category]],$B279),"")</f>
        <v>0</v>
      </c>
      <c r="AF279" s="28">
        <f ca="1">IFERROR(SUMIFS(Energy[2050_TWh],Energy[[Sector]:[Sector]],$A$278, Energy[[Fuel_category]:[Fuel_category]],$B279),"")</f>
        <v>0</v>
      </c>
      <c r="AG279" s="28">
        <f ca="1">IFERROR(SUMIFS(Energy[2051_TWh],Energy[[Sector]:[Sector]],$A$278, Energy[[Fuel_category]:[Fuel_category]],$B279),"")</f>
        <v>0</v>
      </c>
    </row>
    <row r="280" spans="1:36" x14ac:dyDescent="0.45">
      <c r="B280" s="21" t="s">
        <v>67</v>
      </c>
      <c r="C280" s="28">
        <f ca="1">IFERROR(SUMIFS(Energy[2021_TWh],Energy[[Sector]:[Sector]],$A$278, Energy[[Fuel_category]:[Fuel_category]],$B280),"")</f>
        <v>0</v>
      </c>
      <c r="D280" s="28">
        <f ca="1">IFERROR(SUMIFS(Energy[2022_TWh],Energy[[Sector]:[Sector]],$A$278, Energy[[Fuel_category]:[Fuel_category]],$B280),"")</f>
        <v>0</v>
      </c>
      <c r="E280" s="28">
        <f ca="1">IFERROR(SUMIFS(Energy[2023_TWh],Energy[[Sector]:[Sector]],$A$278, Energy[[Fuel_category]:[Fuel_category]],$B280),"")</f>
        <v>0</v>
      </c>
      <c r="F280" s="28">
        <f ca="1">IFERROR(SUMIFS(Energy[2024_TWh],Energy[[Sector]:[Sector]],$A$278, Energy[[Fuel_category]:[Fuel_category]],$B280),"")</f>
        <v>0</v>
      </c>
      <c r="G280" s="28">
        <f ca="1">IFERROR(SUMIFS(Energy[2025_TWh],Energy[[Sector]:[Sector]],$A$278, Energy[[Fuel_category]:[Fuel_category]],$B280),"")</f>
        <v>0</v>
      </c>
      <c r="H280" s="28">
        <f ca="1">IFERROR(SUMIFS(Energy[2026_TWh],Energy[[Sector]:[Sector]],$A$278, Energy[[Fuel_category]:[Fuel_category]],$B280),"")</f>
        <v>0</v>
      </c>
      <c r="I280" s="28">
        <f ca="1">IFERROR(SUMIFS(Energy[2027_TWh],Energy[[Sector]:[Sector]],$A$278, Energy[[Fuel_category]:[Fuel_category]],$B280),"")</f>
        <v>0</v>
      </c>
      <c r="J280" s="28">
        <f ca="1">IFERROR(SUMIFS(Energy[2028_TWh],Energy[[Sector]:[Sector]],$A$278, Energy[[Fuel_category]:[Fuel_category]],$B280),"")</f>
        <v>0</v>
      </c>
      <c r="K280" s="28">
        <f ca="1">IFERROR(SUMIFS(Energy[2029_TWh],Energy[[Sector]:[Sector]],$A$278, Energy[[Fuel_category]:[Fuel_category]],$B280),"")</f>
        <v>0</v>
      </c>
      <c r="L280" s="28">
        <f ca="1">IFERROR(SUMIFS(Energy[2030_TWh],Energy[[Sector]:[Sector]],$A$278, Energy[[Fuel_category]:[Fuel_category]],$B280),"")</f>
        <v>0</v>
      </c>
      <c r="M280" s="28">
        <f ca="1">IFERROR(SUMIFS(Energy[2031_TWh],Energy[[Sector]:[Sector]],$A$278, Energy[[Fuel_category]:[Fuel_category]],$B280),"")</f>
        <v>0</v>
      </c>
      <c r="N280" s="28">
        <f ca="1">IFERROR(SUMIFS(Energy[2032_TWh],Energy[[Sector]:[Sector]],$A$278, Energy[[Fuel_category]:[Fuel_category]],$B280),"")</f>
        <v>0</v>
      </c>
      <c r="O280" s="28">
        <f ca="1">IFERROR(SUMIFS(Energy[2033_TWh],Energy[[Sector]:[Sector]],$A$278, Energy[[Fuel_category]:[Fuel_category]],$B280),"")</f>
        <v>0</v>
      </c>
      <c r="P280" s="28">
        <f ca="1">IFERROR(SUMIFS(Energy[2034_TWh],Energy[[Sector]:[Sector]],$A$278, Energy[[Fuel_category]:[Fuel_category]],$B280),"")</f>
        <v>0</v>
      </c>
      <c r="Q280" s="28">
        <f ca="1">IFERROR(SUMIFS(Energy[2035_TWh],Energy[[Sector]:[Sector]],$A$278, Energy[[Fuel_category]:[Fuel_category]],$B280),"")</f>
        <v>0</v>
      </c>
      <c r="R280" s="28">
        <f ca="1">IFERROR(SUMIFS(Energy[2036_TWh],Energy[[Sector]:[Sector]],$A$278, Energy[[Fuel_category]:[Fuel_category]],$B280),"")</f>
        <v>0</v>
      </c>
      <c r="S280" s="28">
        <f ca="1">IFERROR(SUMIFS(Energy[2037_TWh],Energy[[Sector]:[Sector]],$A$278, Energy[[Fuel_category]:[Fuel_category]],$B280),"")</f>
        <v>0</v>
      </c>
      <c r="T280" s="28">
        <f ca="1">IFERROR(SUMIFS(Energy[2038_TWh],Energy[[Sector]:[Sector]],$A$278, Energy[[Fuel_category]:[Fuel_category]],$B280),"")</f>
        <v>0</v>
      </c>
      <c r="U280" s="28">
        <f ca="1">IFERROR(SUMIFS(Energy[2039_TWh],Energy[[Sector]:[Sector]],$A$278, Energy[[Fuel_category]:[Fuel_category]],$B280),"")</f>
        <v>0</v>
      </c>
      <c r="V280" s="28">
        <f ca="1">IFERROR(SUMIFS(Energy[2040_TWh],Energy[[Sector]:[Sector]],$A$278, Energy[[Fuel_category]:[Fuel_category]],$B280),"")</f>
        <v>0</v>
      </c>
      <c r="W280" s="28">
        <f ca="1">IFERROR(SUMIFS(Energy[2041_TWh],Energy[[Sector]:[Sector]],$A$278, Energy[[Fuel_category]:[Fuel_category]],$B280),"")</f>
        <v>0</v>
      </c>
      <c r="X280" s="28">
        <f ca="1">IFERROR(SUMIFS(Energy[2042_TWh],Energy[[Sector]:[Sector]],$A$278, Energy[[Fuel_category]:[Fuel_category]],$B280),"")</f>
        <v>0</v>
      </c>
      <c r="Y280" s="28">
        <f ca="1">IFERROR(SUMIFS(Energy[2043_TWh],Energy[[Sector]:[Sector]],$A$278, Energy[[Fuel_category]:[Fuel_category]],$B280),"")</f>
        <v>0</v>
      </c>
      <c r="Z280" s="28">
        <f ca="1">IFERROR(SUMIFS(Energy[2044_TWh],Energy[[Sector]:[Sector]],$A$278, Energy[[Fuel_category]:[Fuel_category]],$B280),"")</f>
        <v>0</v>
      </c>
      <c r="AA280" s="28">
        <f ca="1">IFERROR(SUMIFS(Energy[2045_TWh],Energy[[Sector]:[Sector]],$A$278, Energy[[Fuel_category]:[Fuel_category]],$B280),"")</f>
        <v>0</v>
      </c>
      <c r="AB280" s="28">
        <f ca="1">IFERROR(SUMIFS(Energy[2046_TWh],Energy[[Sector]:[Sector]],$A$278, Energy[[Fuel_category]:[Fuel_category]],$B280),"")</f>
        <v>0</v>
      </c>
      <c r="AC280" s="28">
        <f ca="1">IFERROR(SUMIFS(Energy[2047_TWh],Energy[[Sector]:[Sector]],$A$278, Energy[[Fuel_category]:[Fuel_category]],$B280),"")</f>
        <v>0</v>
      </c>
      <c r="AD280" s="28">
        <f ca="1">IFERROR(SUMIFS(Energy[2048_TWh],Energy[[Sector]:[Sector]],$A$278, Energy[[Fuel_category]:[Fuel_category]],$B280),"")</f>
        <v>0</v>
      </c>
      <c r="AE280" s="28">
        <f ca="1">IFERROR(SUMIFS(Energy[2049_TWh],Energy[[Sector]:[Sector]],$A$278, Energy[[Fuel_category]:[Fuel_category]],$B280),"")</f>
        <v>0</v>
      </c>
      <c r="AF280" s="28">
        <f ca="1">IFERROR(SUMIFS(Energy[2050_TWh],Energy[[Sector]:[Sector]],$A$278, Energy[[Fuel_category]:[Fuel_category]],$B280),"")</f>
        <v>0</v>
      </c>
      <c r="AG280" s="28">
        <f ca="1">IFERROR(SUMIFS(Energy[2051_TWh],Energy[[Sector]:[Sector]],$A$278, Energy[[Fuel_category]:[Fuel_category]],$B280),"")</f>
        <v>0</v>
      </c>
    </row>
    <row r="281" spans="1:36" x14ac:dyDescent="0.45">
      <c r="B281" s="21" t="s">
        <v>35</v>
      </c>
      <c r="C281" s="28">
        <f ca="1">IFERROR(SUMIFS(Energy[2021_TWh],Energy[[Sector]:[Sector]],$A$278, Energy[[Fuel_category]:[Fuel_category]],$B281),"")</f>
        <v>0</v>
      </c>
      <c r="D281" s="28">
        <f ca="1">IFERROR(SUMIFS(Energy[2022_TWh],Energy[[Sector]:[Sector]],$A$278, Energy[[Fuel_category]:[Fuel_category]],$B281),"")</f>
        <v>0</v>
      </c>
      <c r="E281" s="28">
        <f ca="1">IFERROR(SUMIFS(Energy[2023_TWh],Energy[[Sector]:[Sector]],$A$278, Energy[[Fuel_category]:[Fuel_category]],$B281),"")</f>
        <v>0</v>
      </c>
      <c r="F281" s="28">
        <f ca="1">IFERROR(SUMIFS(Energy[2024_TWh],Energy[[Sector]:[Sector]],$A$278, Energy[[Fuel_category]:[Fuel_category]],$B281),"")</f>
        <v>0</v>
      </c>
      <c r="G281" s="28">
        <f ca="1">IFERROR(SUMIFS(Energy[2025_TWh],Energy[[Sector]:[Sector]],$A$278, Energy[[Fuel_category]:[Fuel_category]],$B281),"")</f>
        <v>0</v>
      </c>
      <c r="H281" s="28">
        <f ca="1">IFERROR(SUMIFS(Energy[2026_TWh],Energy[[Sector]:[Sector]],$A$278, Energy[[Fuel_category]:[Fuel_category]],$B281),"")</f>
        <v>0</v>
      </c>
      <c r="I281" s="28">
        <f ca="1">IFERROR(SUMIFS(Energy[2027_TWh],Energy[[Sector]:[Sector]],$A$278, Energy[[Fuel_category]:[Fuel_category]],$B281),"")</f>
        <v>0</v>
      </c>
      <c r="J281" s="28">
        <f ca="1">IFERROR(SUMIFS(Energy[2028_TWh],Energy[[Sector]:[Sector]],$A$278, Energy[[Fuel_category]:[Fuel_category]],$B281),"")</f>
        <v>0</v>
      </c>
      <c r="K281" s="28">
        <f ca="1">IFERROR(SUMIFS(Energy[2029_TWh],Energy[[Sector]:[Sector]],$A$278, Energy[[Fuel_category]:[Fuel_category]],$B281),"")</f>
        <v>0</v>
      </c>
      <c r="L281" s="28">
        <f ca="1">IFERROR(SUMIFS(Energy[2030_TWh],Energy[[Sector]:[Sector]],$A$278, Energy[[Fuel_category]:[Fuel_category]],$B281),"")</f>
        <v>0</v>
      </c>
      <c r="M281" s="28">
        <f ca="1">IFERROR(SUMIFS(Energy[2031_TWh],Energy[[Sector]:[Sector]],$A$278, Energy[[Fuel_category]:[Fuel_category]],$B281),"")</f>
        <v>0</v>
      </c>
      <c r="N281" s="28">
        <f ca="1">IFERROR(SUMIFS(Energy[2032_TWh],Energy[[Sector]:[Sector]],$A$278, Energy[[Fuel_category]:[Fuel_category]],$B281),"")</f>
        <v>0</v>
      </c>
      <c r="O281" s="28">
        <f ca="1">IFERROR(SUMIFS(Energy[2033_TWh],Energy[[Sector]:[Sector]],$A$278, Energy[[Fuel_category]:[Fuel_category]],$B281),"")</f>
        <v>0</v>
      </c>
      <c r="P281" s="28">
        <f ca="1">IFERROR(SUMIFS(Energy[2034_TWh],Energy[[Sector]:[Sector]],$A$278, Energy[[Fuel_category]:[Fuel_category]],$B281),"")</f>
        <v>0</v>
      </c>
      <c r="Q281" s="28">
        <f ca="1">IFERROR(SUMIFS(Energy[2035_TWh],Energy[[Sector]:[Sector]],$A$278, Energy[[Fuel_category]:[Fuel_category]],$B281),"")</f>
        <v>0</v>
      </c>
      <c r="R281" s="28">
        <f ca="1">IFERROR(SUMIFS(Energy[2036_TWh],Energy[[Sector]:[Sector]],$A$278, Energy[[Fuel_category]:[Fuel_category]],$B281),"")</f>
        <v>0</v>
      </c>
      <c r="S281" s="28">
        <f ca="1">IFERROR(SUMIFS(Energy[2037_TWh],Energy[[Sector]:[Sector]],$A$278, Energy[[Fuel_category]:[Fuel_category]],$B281),"")</f>
        <v>0</v>
      </c>
      <c r="T281" s="28">
        <f ca="1">IFERROR(SUMIFS(Energy[2038_TWh],Energy[[Sector]:[Sector]],$A$278, Energy[[Fuel_category]:[Fuel_category]],$B281),"")</f>
        <v>0</v>
      </c>
      <c r="U281" s="28">
        <f ca="1">IFERROR(SUMIFS(Energy[2039_TWh],Energy[[Sector]:[Sector]],$A$278, Energy[[Fuel_category]:[Fuel_category]],$B281),"")</f>
        <v>0</v>
      </c>
      <c r="V281" s="28">
        <f ca="1">IFERROR(SUMIFS(Energy[2040_TWh],Energy[[Sector]:[Sector]],$A$278, Energy[[Fuel_category]:[Fuel_category]],$B281),"")</f>
        <v>0</v>
      </c>
      <c r="W281" s="28">
        <f ca="1">IFERROR(SUMIFS(Energy[2041_TWh],Energy[[Sector]:[Sector]],$A$278, Energy[[Fuel_category]:[Fuel_category]],$B281),"")</f>
        <v>0</v>
      </c>
      <c r="X281" s="28">
        <f ca="1">IFERROR(SUMIFS(Energy[2042_TWh],Energy[[Sector]:[Sector]],$A$278, Energy[[Fuel_category]:[Fuel_category]],$B281),"")</f>
        <v>0</v>
      </c>
      <c r="Y281" s="28">
        <f ca="1">IFERROR(SUMIFS(Energy[2043_TWh],Energy[[Sector]:[Sector]],$A$278, Energy[[Fuel_category]:[Fuel_category]],$B281),"")</f>
        <v>0</v>
      </c>
      <c r="Z281" s="28">
        <f ca="1">IFERROR(SUMIFS(Energy[2044_TWh],Energy[[Sector]:[Sector]],$A$278, Energy[[Fuel_category]:[Fuel_category]],$B281),"")</f>
        <v>0</v>
      </c>
      <c r="AA281" s="28">
        <f ca="1">IFERROR(SUMIFS(Energy[2045_TWh],Energy[[Sector]:[Sector]],$A$278, Energy[[Fuel_category]:[Fuel_category]],$B281),"")</f>
        <v>0</v>
      </c>
      <c r="AB281" s="28">
        <f ca="1">IFERROR(SUMIFS(Energy[2046_TWh],Energy[[Sector]:[Sector]],$A$278, Energy[[Fuel_category]:[Fuel_category]],$B281),"")</f>
        <v>0</v>
      </c>
      <c r="AC281" s="28">
        <f ca="1">IFERROR(SUMIFS(Energy[2047_TWh],Energy[[Sector]:[Sector]],$A$278, Energy[[Fuel_category]:[Fuel_category]],$B281),"")</f>
        <v>0</v>
      </c>
      <c r="AD281" s="28">
        <f ca="1">IFERROR(SUMIFS(Energy[2048_TWh],Energy[[Sector]:[Sector]],$A$278, Energy[[Fuel_category]:[Fuel_category]],$B281),"")</f>
        <v>0</v>
      </c>
      <c r="AE281" s="28">
        <f ca="1">IFERROR(SUMIFS(Energy[2049_TWh],Energy[[Sector]:[Sector]],$A$278, Energy[[Fuel_category]:[Fuel_category]],$B281),"")</f>
        <v>0</v>
      </c>
      <c r="AF281" s="28">
        <f ca="1">IFERROR(SUMIFS(Energy[2050_TWh],Energy[[Sector]:[Sector]],$A$278, Energy[[Fuel_category]:[Fuel_category]],$B281),"")</f>
        <v>0</v>
      </c>
      <c r="AG281" s="28">
        <f ca="1">IFERROR(SUMIFS(Energy[2051_TWh],Energy[[Sector]:[Sector]],$A$278, Energy[[Fuel_category]:[Fuel_category]],$B281),"")</f>
        <v>0</v>
      </c>
    </row>
    <row r="282" spans="1:36" x14ac:dyDescent="0.45">
      <c r="B282" s="21" t="s">
        <v>26</v>
      </c>
      <c r="C282" s="28">
        <f ca="1">IFERROR(SUMIFS(Energy[2021_TWh],Energy[[Sector]:[Sector]],$A$278, Energy[[Fuel_category]:[Fuel_category]],$B282),"")</f>
        <v>0</v>
      </c>
      <c r="D282" s="28">
        <f ca="1">IFERROR(SUMIFS(Energy[2022_TWh],Energy[[Sector]:[Sector]],$A$278, Energy[[Fuel_category]:[Fuel_category]],$B282),"")</f>
        <v>0</v>
      </c>
      <c r="E282" s="28">
        <f ca="1">IFERROR(SUMIFS(Energy[2023_TWh],Energy[[Sector]:[Sector]],$A$278, Energy[[Fuel_category]:[Fuel_category]],$B282),"")</f>
        <v>0</v>
      </c>
      <c r="F282" s="28">
        <f ca="1">IFERROR(SUMIFS(Energy[2024_TWh],Energy[[Sector]:[Sector]],$A$278, Energy[[Fuel_category]:[Fuel_category]],$B282),"")</f>
        <v>0</v>
      </c>
      <c r="G282" s="28">
        <f ca="1">IFERROR(SUMIFS(Energy[2025_TWh],Energy[[Sector]:[Sector]],$A$278, Energy[[Fuel_category]:[Fuel_category]],$B282),"")</f>
        <v>0</v>
      </c>
      <c r="H282" s="28">
        <f ca="1">IFERROR(SUMIFS(Energy[2026_TWh],Energy[[Sector]:[Sector]],$A$278, Energy[[Fuel_category]:[Fuel_category]],$B282),"")</f>
        <v>0</v>
      </c>
      <c r="I282" s="28">
        <f ca="1">IFERROR(SUMIFS(Energy[2027_TWh],Energy[[Sector]:[Sector]],$A$278, Energy[[Fuel_category]:[Fuel_category]],$B282),"")</f>
        <v>0</v>
      </c>
      <c r="J282" s="28">
        <f ca="1">IFERROR(SUMIFS(Energy[2028_TWh],Energy[[Sector]:[Sector]],$A$278, Energy[[Fuel_category]:[Fuel_category]],$B282),"")</f>
        <v>0</v>
      </c>
      <c r="K282" s="28">
        <f ca="1">IFERROR(SUMIFS(Energy[2029_TWh],Energy[[Sector]:[Sector]],$A$278, Energy[[Fuel_category]:[Fuel_category]],$B282),"")</f>
        <v>0</v>
      </c>
      <c r="L282" s="28">
        <f ca="1">IFERROR(SUMIFS(Energy[2030_TWh],Energy[[Sector]:[Sector]],$A$278, Energy[[Fuel_category]:[Fuel_category]],$B282),"")</f>
        <v>0</v>
      </c>
      <c r="M282" s="28">
        <f ca="1">IFERROR(SUMIFS(Energy[2031_TWh],Energy[[Sector]:[Sector]],$A$278, Energy[[Fuel_category]:[Fuel_category]],$B282),"")</f>
        <v>0</v>
      </c>
      <c r="N282" s="28">
        <f ca="1">IFERROR(SUMIFS(Energy[2032_TWh],Energy[[Sector]:[Sector]],$A$278, Energy[[Fuel_category]:[Fuel_category]],$B282),"")</f>
        <v>0</v>
      </c>
      <c r="O282" s="28">
        <f ca="1">IFERROR(SUMIFS(Energy[2033_TWh],Energy[[Sector]:[Sector]],$A$278, Energy[[Fuel_category]:[Fuel_category]],$B282),"")</f>
        <v>0</v>
      </c>
      <c r="P282" s="28">
        <f ca="1">IFERROR(SUMIFS(Energy[2034_TWh],Energy[[Sector]:[Sector]],$A$278, Energy[[Fuel_category]:[Fuel_category]],$B282),"")</f>
        <v>0</v>
      </c>
      <c r="Q282" s="28">
        <f ca="1">IFERROR(SUMIFS(Energy[2035_TWh],Energy[[Sector]:[Sector]],$A$278, Energy[[Fuel_category]:[Fuel_category]],$B282),"")</f>
        <v>0</v>
      </c>
      <c r="R282" s="28">
        <f ca="1">IFERROR(SUMIFS(Energy[2036_TWh],Energy[[Sector]:[Sector]],$A$278, Energy[[Fuel_category]:[Fuel_category]],$B282),"")</f>
        <v>0</v>
      </c>
      <c r="S282" s="28">
        <f ca="1">IFERROR(SUMIFS(Energy[2037_TWh],Energy[[Sector]:[Sector]],$A$278, Energy[[Fuel_category]:[Fuel_category]],$B282),"")</f>
        <v>0</v>
      </c>
      <c r="T282" s="28">
        <f ca="1">IFERROR(SUMIFS(Energy[2038_TWh],Energy[[Sector]:[Sector]],$A$278, Energy[[Fuel_category]:[Fuel_category]],$B282),"")</f>
        <v>0</v>
      </c>
      <c r="U282" s="28">
        <f ca="1">IFERROR(SUMIFS(Energy[2039_TWh],Energy[[Sector]:[Sector]],$A$278, Energy[[Fuel_category]:[Fuel_category]],$B282),"")</f>
        <v>0</v>
      </c>
      <c r="V282" s="28">
        <f ca="1">IFERROR(SUMIFS(Energy[2040_TWh],Energy[[Sector]:[Sector]],$A$278, Energy[[Fuel_category]:[Fuel_category]],$B282),"")</f>
        <v>0</v>
      </c>
      <c r="W282" s="28">
        <f ca="1">IFERROR(SUMIFS(Energy[2041_TWh],Energy[[Sector]:[Sector]],$A$278, Energy[[Fuel_category]:[Fuel_category]],$B282),"")</f>
        <v>0</v>
      </c>
      <c r="X282" s="28">
        <f ca="1">IFERROR(SUMIFS(Energy[2042_TWh],Energy[[Sector]:[Sector]],$A$278, Energy[[Fuel_category]:[Fuel_category]],$B282),"")</f>
        <v>0</v>
      </c>
      <c r="Y282" s="28">
        <f ca="1">IFERROR(SUMIFS(Energy[2043_TWh],Energy[[Sector]:[Sector]],$A$278, Energy[[Fuel_category]:[Fuel_category]],$B282),"")</f>
        <v>0</v>
      </c>
      <c r="Z282" s="28">
        <f ca="1">IFERROR(SUMIFS(Energy[2044_TWh],Energy[[Sector]:[Sector]],$A$278, Energy[[Fuel_category]:[Fuel_category]],$B282),"")</f>
        <v>0</v>
      </c>
      <c r="AA282" s="28">
        <f ca="1">IFERROR(SUMIFS(Energy[2045_TWh],Energy[[Sector]:[Sector]],$A$278, Energy[[Fuel_category]:[Fuel_category]],$B282),"")</f>
        <v>0</v>
      </c>
      <c r="AB282" s="28">
        <f ca="1">IFERROR(SUMIFS(Energy[2046_TWh],Energy[[Sector]:[Sector]],$A$278, Energy[[Fuel_category]:[Fuel_category]],$B282),"")</f>
        <v>0</v>
      </c>
      <c r="AC282" s="28">
        <f ca="1">IFERROR(SUMIFS(Energy[2047_TWh],Energy[[Sector]:[Sector]],$A$278, Energy[[Fuel_category]:[Fuel_category]],$B282),"")</f>
        <v>0</v>
      </c>
      <c r="AD282" s="28">
        <f ca="1">IFERROR(SUMIFS(Energy[2048_TWh],Energy[[Sector]:[Sector]],$A$278, Energy[[Fuel_category]:[Fuel_category]],$B282),"")</f>
        <v>0</v>
      </c>
      <c r="AE282" s="28">
        <f ca="1">IFERROR(SUMIFS(Energy[2049_TWh],Energy[[Sector]:[Sector]],$A$278, Energy[[Fuel_category]:[Fuel_category]],$B282),"")</f>
        <v>0</v>
      </c>
      <c r="AF282" s="28">
        <f ca="1">IFERROR(SUMIFS(Energy[2050_TWh],Energy[[Sector]:[Sector]],$A$278, Energy[[Fuel_category]:[Fuel_category]],$B282),"")</f>
        <v>0</v>
      </c>
      <c r="AG282" s="28">
        <f ca="1">IFERROR(SUMIFS(Energy[2051_TWh],Energy[[Sector]:[Sector]],$A$278, Energy[[Fuel_category]:[Fuel_category]],$B282),"")</f>
        <v>0</v>
      </c>
    </row>
    <row r="283" spans="1:36" x14ac:dyDescent="0.45">
      <c r="B283" s="21" t="s">
        <v>113</v>
      </c>
      <c r="C283" s="28">
        <f ca="1">IFERROR(SUMIFS(Energy[2021_TWh],Energy[[Sector]:[Sector]],$A$278, Energy[[Fuel_category]:[Fuel_category]],$B283),"")</f>
        <v>0</v>
      </c>
      <c r="D283" s="28">
        <f ca="1">IFERROR(SUMIFS(Energy[2022_TWh],Energy[[Sector]:[Sector]],$A$278, Energy[[Fuel_category]:[Fuel_category]],$B283),"")</f>
        <v>0</v>
      </c>
      <c r="E283" s="28">
        <f ca="1">IFERROR(SUMIFS(Energy[2023_TWh],Energy[[Sector]:[Sector]],$A$278, Energy[[Fuel_category]:[Fuel_category]],$B283),"")</f>
        <v>0</v>
      </c>
      <c r="F283" s="28">
        <f ca="1">IFERROR(SUMIFS(Energy[2024_TWh],Energy[[Sector]:[Sector]],$A$278, Energy[[Fuel_category]:[Fuel_category]],$B283),"")</f>
        <v>0</v>
      </c>
      <c r="G283" s="28">
        <f ca="1">IFERROR(SUMIFS(Energy[2025_TWh],Energy[[Sector]:[Sector]],$A$278, Energy[[Fuel_category]:[Fuel_category]],$B283),"")</f>
        <v>0</v>
      </c>
      <c r="H283" s="28">
        <f ca="1">IFERROR(SUMIFS(Energy[2026_TWh],Energy[[Sector]:[Sector]],$A$278, Energy[[Fuel_category]:[Fuel_category]],$B283),"")</f>
        <v>0</v>
      </c>
      <c r="I283" s="28">
        <f ca="1">IFERROR(SUMIFS(Energy[2027_TWh],Energy[[Sector]:[Sector]],$A$278, Energy[[Fuel_category]:[Fuel_category]],$B283),"")</f>
        <v>0</v>
      </c>
      <c r="J283" s="28">
        <f ca="1">IFERROR(SUMIFS(Energy[2028_TWh],Energy[[Sector]:[Sector]],$A$278, Energy[[Fuel_category]:[Fuel_category]],$B283),"")</f>
        <v>0</v>
      </c>
      <c r="K283" s="28">
        <f ca="1">IFERROR(SUMIFS(Energy[2029_TWh],Energy[[Sector]:[Sector]],$A$278, Energy[[Fuel_category]:[Fuel_category]],$B283),"")</f>
        <v>0</v>
      </c>
      <c r="L283" s="28">
        <f ca="1">IFERROR(SUMIFS(Energy[2030_TWh],Energy[[Sector]:[Sector]],$A$278, Energy[[Fuel_category]:[Fuel_category]],$B283),"")</f>
        <v>0</v>
      </c>
      <c r="M283" s="28">
        <f ca="1">IFERROR(SUMIFS(Energy[2031_TWh],Energy[[Sector]:[Sector]],$A$278, Energy[[Fuel_category]:[Fuel_category]],$B283),"")</f>
        <v>0</v>
      </c>
      <c r="N283" s="28">
        <f ca="1">IFERROR(SUMIFS(Energy[2032_TWh],Energy[[Sector]:[Sector]],$A$278, Energy[[Fuel_category]:[Fuel_category]],$B283),"")</f>
        <v>0</v>
      </c>
      <c r="O283" s="28">
        <f ca="1">IFERROR(SUMIFS(Energy[2033_TWh],Energy[[Sector]:[Sector]],$A$278, Energy[[Fuel_category]:[Fuel_category]],$B283),"")</f>
        <v>0</v>
      </c>
      <c r="P283" s="28">
        <f ca="1">IFERROR(SUMIFS(Energy[2034_TWh],Energy[[Sector]:[Sector]],$A$278, Energy[[Fuel_category]:[Fuel_category]],$B283),"")</f>
        <v>0</v>
      </c>
      <c r="Q283" s="28">
        <f ca="1">IFERROR(SUMIFS(Energy[2035_TWh],Energy[[Sector]:[Sector]],$A$278, Energy[[Fuel_category]:[Fuel_category]],$B283),"")</f>
        <v>0</v>
      </c>
      <c r="R283" s="28">
        <f ca="1">IFERROR(SUMIFS(Energy[2036_TWh],Energy[[Sector]:[Sector]],$A$278, Energy[[Fuel_category]:[Fuel_category]],$B283),"")</f>
        <v>0</v>
      </c>
      <c r="S283" s="28">
        <f ca="1">IFERROR(SUMIFS(Energy[2037_TWh],Energy[[Sector]:[Sector]],$A$278, Energy[[Fuel_category]:[Fuel_category]],$B283),"")</f>
        <v>0</v>
      </c>
      <c r="T283" s="28">
        <f ca="1">IFERROR(SUMIFS(Energy[2038_TWh],Energy[[Sector]:[Sector]],$A$278, Energy[[Fuel_category]:[Fuel_category]],$B283),"")</f>
        <v>0</v>
      </c>
      <c r="U283" s="28">
        <f ca="1">IFERROR(SUMIFS(Energy[2039_TWh],Energy[[Sector]:[Sector]],$A$278, Energy[[Fuel_category]:[Fuel_category]],$B283),"")</f>
        <v>0</v>
      </c>
      <c r="V283" s="28">
        <f ca="1">IFERROR(SUMIFS(Energy[2040_TWh],Energy[[Sector]:[Sector]],$A$278, Energy[[Fuel_category]:[Fuel_category]],$B283),"")</f>
        <v>0</v>
      </c>
      <c r="W283" s="28">
        <f ca="1">IFERROR(SUMIFS(Energy[2041_TWh],Energy[[Sector]:[Sector]],$A$278, Energy[[Fuel_category]:[Fuel_category]],$B283),"")</f>
        <v>0</v>
      </c>
      <c r="X283" s="28">
        <f ca="1">IFERROR(SUMIFS(Energy[2042_TWh],Energy[[Sector]:[Sector]],$A$278, Energy[[Fuel_category]:[Fuel_category]],$B283),"")</f>
        <v>0</v>
      </c>
      <c r="Y283" s="28">
        <f ca="1">IFERROR(SUMIFS(Energy[2043_TWh],Energy[[Sector]:[Sector]],$A$278, Energy[[Fuel_category]:[Fuel_category]],$B283),"")</f>
        <v>0</v>
      </c>
      <c r="Z283" s="28">
        <f ca="1">IFERROR(SUMIFS(Energy[2044_TWh],Energy[[Sector]:[Sector]],$A$278, Energy[[Fuel_category]:[Fuel_category]],$B283),"")</f>
        <v>0</v>
      </c>
      <c r="AA283" s="28">
        <f ca="1">IFERROR(SUMIFS(Energy[2045_TWh],Energy[[Sector]:[Sector]],$A$278, Energy[[Fuel_category]:[Fuel_category]],$B283),"")</f>
        <v>0</v>
      </c>
      <c r="AB283" s="28">
        <f ca="1">IFERROR(SUMIFS(Energy[2046_TWh],Energy[[Sector]:[Sector]],$A$278, Energy[[Fuel_category]:[Fuel_category]],$B283),"")</f>
        <v>0</v>
      </c>
      <c r="AC283" s="28">
        <f ca="1">IFERROR(SUMIFS(Energy[2047_TWh],Energy[[Sector]:[Sector]],$A$278, Energy[[Fuel_category]:[Fuel_category]],$B283),"")</f>
        <v>0</v>
      </c>
      <c r="AD283" s="28">
        <f ca="1">IFERROR(SUMIFS(Energy[2048_TWh],Energy[[Sector]:[Sector]],$A$278, Energy[[Fuel_category]:[Fuel_category]],$B283),"")</f>
        <v>0</v>
      </c>
      <c r="AE283" s="28">
        <f ca="1">IFERROR(SUMIFS(Energy[2049_TWh],Energy[[Sector]:[Sector]],$A$278, Energy[[Fuel_category]:[Fuel_category]],$B283),"")</f>
        <v>0</v>
      </c>
      <c r="AF283" s="28">
        <f ca="1">IFERROR(SUMIFS(Energy[2050_TWh],Energy[[Sector]:[Sector]],$A$278, Energy[[Fuel_category]:[Fuel_category]],$B283),"")</f>
        <v>0</v>
      </c>
      <c r="AG283" s="28">
        <f ca="1">IFERROR(SUMIFS(Energy[2051_TWh],Energy[[Sector]:[Sector]],$A$278, Energy[[Fuel_category]:[Fuel_category]],$B283),"")</f>
        <v>0</v>
      </c>
    </row>
    <row r="284" spans="1:36" x14ac:dyDescent="0.45">
      <c r="B284" s="21" t="s">
        <v>111</v>
      </c>
      <c r="C284" s="28">
        <f ca="1">IFERROR(SUMIFS(Energy[2021_TWh],Energy[[Sector]:[Sector]],$A$278, Energy[[Fuel_category]:[Fuel_category]],$B284),"")</f>
        <v>0</v>
      </c>
      <c r="D284" s="28">
        <f ca="1">IFERROR(SUMIFS(Energy[2022_TWh],Energy[[Sector]:[Sector]],$A$278, Energy[[Fuel_category]:[Fuel_category]],$B284),"")</f>
        <v>0</v>
      </c>
      <c r="E284" s="28">
        <f ca="1">IFERROR(SUMIFS(Energy[2023_TWh],Energy[[Sector]:[Sector]],$A$278, Energy[[Fuel_category]:[Fuel_category]],$B284),"")</f>
        <v>0</v>
      </c>
      <c r="F284" s="28">
        <f ca="1">IFERROR(SUMIFS(Energy[2024_TWh],Energy[[Sector]:[Sector]],$A$278, Energy[[Fuel_category]:[Fuel_category]],$B284),"")</f>
        <v>0</v>
      </c>
      <c r="G284" s="28">
        <f ca="1">IFERROR(SUMIFS(Energy[2025_TWh],Energy[[Sector]:[Sector]],$A$278, Energy[[Fuel_category]:[Fuel_category]],$B284),"")</f>
        <v>0</v>
      </c>
      <c r="H284" s="28">
        <f ca="1">IFERROR(SUMIFS(Energy[2026_TWh],Energy[[Sector]:[Sector]],$A$278, Energy[[Fuel_category]:[Fuel_category]],$B284),"")</f>
        <v>0</v>
      </c>
      <c r="I284" s="28">
        <f ca="1">IFERROR(SUMIFS(Energy[2027_TWh],Energy[[Sector]:[Sector]],$A$278, Energy[[Fuel_category]:[Fuel_category]],$B284),"")</f>
        <v>0</v>
      </c>
      <c r="J284" s="28">
        <f ca="1">IFERROR(SUMIFS(Energy[2028_TWh],Energy[[Sector]:[Sector]],$A$278, Energy[[Fuel_category]:[Fuel_category]],$B284),"")</f>
        <v>0</v>
      </c>
      <c r="K284" s="28">
        <f ca="1">IFERROR(SUMIFS(Energy[2029_TWh],Energy[[Sector]:[Sector]],$A$278, Energy[[Fuel_category]:[Fuel_category]],$B284),"")</f>
        <v>0</v>
      </c>
      <c r="L284" s="28">
        <f ca="1">IFERROR(SUMIFS(Energy[2030_TWh],Energy[[Sector]:[Sector]],$A$278, Energy[[Fuel_category]:[Fuel_category]],$B284),"")</f>
        <v>0</v>
      </c>
      <c r="M284" s="28">
        <f ca="1">IFERROR(SUMIFS(Energy[2031_TWh],Energy[[Sector]:[Sector]],$A$278, Energy[[Fuel_category]:[Fuel_category]],$B284),"")</f>
        <v>0</v>
      </c>
      <c r="N284" s="28">
        <f ca="1">IFERROR(SUMIFS(Energy[2032_TWh],Energy[[Sector]:[Sector]],$A$278, Energy[[Fuel_category]:[Fuel_category]],$B284),"")</f>
        <v>0</v>
      </c>
      <c r="O284" s="28">
        <f ca="1">IFERROR(SUMIFS(Energy[2033_TWh],Energy[[Sector]:[Sector]],$A$278, Energy[[Fuel_category]:[Fuel_category]],$B284),"")</f>
        <v>0</v>
      </c>
      <c r="P284" s="28">
        <f ca="1">IFERROR(SUMIFS(Energy[2034_TWh],Energy[[Sector]:[Sector]],$A$278, Energy[[Fuel_category]:[Fuel_category]],$B284),"")</f>
        <v>0</v>
      </c>
      <c r="Q284" s="28">
        <f ca="1">IFERROR(SUMIFS(Energy[2035_TWh],Energy[[Sector]:[Sector]],$A$278, Energy[[Fuel_category]:[Fuel_category]],$B284),"")</f>
        <v>0</v>
      </c>
      <c r="R284" s="28">
        <f ca="1">IFERROR(SUMIFS(Energy[2036_TWh],Energy[[Sector]:[Sector]],$A$278, Energy[[Fuel_category]:[Fuel_category]],$B284),"")</f>
        <v>0</v>
      </c>
      <c r="S284" s="28">
        <f ca="1">IFERROR(SUMIFS(Energy[2037_TWh],Energy[[Sector]:[Sector]],$A$278, Energy[[Fuel_category]:[Fuel_category]],$B284),"")</f>
        <v>0</v>
      </c>
      <c r="T284" s="28">
        <f ca="1">IFERROR(SUMIFS(Energy[2038_TWh],Energy[[Sector]:[Sector]],$A$278, Energy[[Fuel_category]:[Fuel_category]],$B284),"")</f>
        <v>0</v>
      </c>
      <c r="U284" s="28">
        <f ca="1">IFERROR(SUMIFS(Energy[2039_TWh],Energy[[Sector]:[Sector]],$A$278, Energy[[Fuel_category]:[Fuel_category]],$B284),"")</f>
        <v>0</v>
      </c>
      <c r="V284" s="28">
        <f ca="1">IFERROR(SUMIFS(Energy[2040_TWh],Energy[[Sector]:[Sector]],$A$278, Energy[[Fuel_category]:[Fuel_category]],$B284),"")</f>
        <v>0</v>
      </c>
      <c r="W284" s="28">
        <f ca="1">IFERROR(SUMIFS(Energy[2041_TWh],Energy[[Sector]:[Sector]],$A$278, Energy[[Fuel_category]:[Fuel_category]],$B284),"")</f>
        <v>0</v>
      </c>
      <c r="X284" s="28">
        <f ca="1">IFERROR(SUMIFS(Energy[2042_TWh],Energy[[Sector]:[Sector]],$A$278, Energy[[Fuel_category]:[Fuel_category]],$B284),"")</f>
        <v>0</v>
      </c>
      <c r="Y284" s="28">
        <f ca="1">IFERROR(SUMIFS(Energy[2043_TWh],Energy[[Sector]:[Sector]],$A$278, Energy[[Fuel_category]:[Fuel_category]],$B284),"")</f>
        <v>0</v>
      </c>
      <c r="Z284" s="28">
        <f ca="1">IFERROR(SUMIFS(Energy[2044_TWh],Energy[[Sector]:[Sector]],$A$278, Energy[[Fuel_category]:[Fuel_category]],$B284),"")</f>
        <v>0</v>
      </c>
      <c r="AA284" s="28">
        <f ca="1">IFERROR(SUMIFS(Energy[2045_TWh],Energy[[Sector]:[Sector]],$A$278, Energy[[Fuel_category]:[Fuel_category]],$B284),"")</f>
        <v>0</v>
      </c>
      <c r="AB284" s="28">
        <f ca="1">IFERROR(SUMIFS(Energy[2046_TWh],Energy[[Sector]:[Sector]],$A$278, Energy[[Fuel_category]:[Fuel_category]],$B284),"")</f>
        <v>0</v>
      </c>
      <c r="AC284" s="28">
        <f ca="1">IFERROR(SUMIFS(Energy[2047_TWh],Energy[[Sector]:[Sector]],$A$278, Energy[[Fuel_category]:[Fuel_category]],$B284),"")</f>
        <v>0</v>
      </c>
      <c r="AD284" s="28">
        <f ca="1">IFERROR(SUMIFS(Energy[2048_TWh],Energy[[Sector]:[Sector]],$A$278, Energy[[Fuel_category]:[Fuel_category]],$B284),"")</f>
        <v>0</v>
      </c>
      <c r="AE284" s="28">
        <f ca="1">IFERROR(SUMIFS(Energy[2049_TWh],Energy[[Sector]:[Sector]],$A$278, Energy[[Fuel_category]:[Fuel_category]],$B284),"")</f>
        <v>0</v>
      </c>
      <c r="AF284" s="28">
        <f ca="1">IFERROR(SUMIFS(Energy[2050_TWh],Energy[[Sector]:[Sector]],$A$278, Energy[[Fuel_category]:[Fuel_category]],$B284),"")</f>
        <v>0</v>
      </c>
      <c r="AG284" s="28">
        <f ca="1">IFERROR(SUMIFS(Energy[2051_TWh],Energy[[Sector]:[Sector]],$A$278, Energy[[Fuel_category]:[Fuel_category]],$B284),"")</f>
        <v>0</v>
      </c>
    </row>
    <row r="285" spans="1:36" ht="14.65" thickBot="1" x14ac:dyDescent="0.5">
      <c r="B285" s="29" t="s">
        <v>124</v>
      </c>
      <c r="C285" s="31">
        <f ca="1">IF(C154&lt;&gt;"",SUM(C278:C283),"")</f>
        <v>0</v>
      </c>
      <c r="D285" s="31">
        <f t="shared" ref="D285:AF285" ca="1" si="58">IF(D154&lt;&gt;"",SUM(D278:D283),"")</f>
        <v>0</v>
      </c>
      <c r="E285" s="31">
        <f t="shared" ca="1" si="58"/>
        <v>0</v>
      </c>
      <c r="F285" s="31">
        <f t="shared" ca="1" si="58"/>
        <v>0</v>
      </c>
      <c r="G285" s="31">
        <f t="shared" ca="1" si="58"/>
        <v>0</v>
      </c>
      <c r="H285" s="31">
        <f t="shared" ca="1" si="58"/>
        <v>0</v>
      </c>
      <c r="I285" s="31">
        <f t="shared" ca="1" si="58"/>
        <v>0</v>
      </c>
      <c r="J285" s="31">
        <f t="shared" ca="1" si="58"/>
        <v>0</v>
      </c>
      <c r="K285" s="31">
        <f t="shared" ca="1" si="58"/>
        <v>0</v>
      </c>
      <c r="L285" s="31">
        <f t="shared" ca="1" si="58"/>
        <v>0</v>
      </c>
      <c r="M285" s="31">
        <f t="shared" ca="1" si="58"/>
        <v>0</v>
      </c>
      <c r="N285" s="31">
        <f t="shared" ca="1" si="58"/>
        <v>0</v>
      </c>
      <c r="O285" s="31">
        <f t="shared" ca="1" si="58"/>
        <v>0</v>
      </c>
      <c r="P285" s="31">
        <f t="shared" ca="1" si="58"/>
        <v>0</v>
      </c>
      <c r="Q285" s="31">
        <f t="shared" ca="1" si="58"/>
        <v>0</v>
      </c>
      <c r="R285" s="31">
        <f t="shared" ca="1" si="58"/>
        <v>0</v>
      </c>
      <c r="S285" s="31">
        <f t="shared" ca="1" si="58"/>
        <v>0</v>
      </c>
      <c r="T285" s="31">
        <f t="shared" ca="1" si="58"/>
        <v>0</v>
      </c>
      <c r="U285" s="31">
        <f t="shared" ca="1" si="58"/>
        <v>0</v>
      </c>
      <c r="V285" s="31">
        <f t="shared" ca="1" si="58"/>
        <v>0</v>
      </c>
      <c r="W285" s="31">
        <f t="shared" ca="1" si="58"/>
        <v>0</v>
      </c>
      <c r="X285" s="31">
        <f t="shared" ca="1" si="58"/>
        <v>0</v>
      </c>
      <c r="Y285" s="31">
        <f t="shared" ca="1" si="58"/>
        <v>0</v>
      </c>
      <c r="Z285" s="31">
        <f t="shared" ca="1" si="58"/>
        <v>0</v>
      </c>
      <c r="AA285" s="31">
        <f t="shared" ca="1" si="58"/>
        <v>0</v>
      </c>
      <c r="AB285" s="31">
        <f t="shared" ca="1" si="58"/>
        <v>0</v>
      </c>
      <c r="AC285" s="31">
        <f t="shared" ca="1" si="58"/>
        <v>0</v>
      </c>
      <c r="AD285" s="31">
        <f t="shared" ca="1" si="58"/>
        <v>0</v>
      </c>
      <c r="AE285" s="31">
        <f t="shared" ca="1" si="58"/>
        <v>0</v>
      </c>
      <c r="AF285" s="31">
        <f t="shared" ca="1" si="58"/>
        <v>0</v>
      </c>
      <c r="AG285" s="31">
        <f t="shared" ref="AG285" ca="1" si="59">IF(AG154&lt;&gt;"",SUM(AG278:AG283),"")</f>
        <v>0</v>
      </c>
    </row>
    <row r="286" spans="1:36" ht="23.65" thickTop="1" x14ac:dyDescent="0.7">
      <c r="A286" s="10" t="s">
        <v>134</v>
      </c>
      <c r="B286" s="8" t="s">
        <v>11</v>
      </c>
      <c r="AJ286" s="20"/>
    </row>
    <row r="287" spans="1:36" x14ac:dyDescent="0.45">
      <c r="A287" s="2"/>
      <c r="B287" s="6"/>
      <c r="C287" s="6">
        <v>2021</v>
      </c>
      <c r="D287" s="6">
        <v>2022</v>
      </c>
      <c r="E287" s="6">
        <v>2023</v>
      </c>
      <c r="F287" s="6">
        <v>2024</v>
      </c>
      <c r="G287" s="6">
        <v>2025</v>
      </c>
      <c r="H287" s="6">
        <v>2026</v>
      </c>
      <c r="I287" s="6">
        <v>2027</v>
      </c>
      <c r="J287" s="6">
        <v>2028</v>
      </c>
      <c r="K287" s="6">
        <v>2029</v>
      </c>
      <c r="L287" s="6">
        <v>2030</v>
      </c>
      <c r="M287" s="6">
        <v>2031</v>
      </c>
      <c r="N287" s="6">
        <v>2032</v>
      </c>
      <c r="O287" s="6">
        <v>2033</v>
      </c>
      <c r="P287" s="6">
        <v>2034</v>
      </c>
      <c r="Q287" s="6">
        <v>2035</v>
      </c>
      <c r="R287" s="6">
        <v>2036</v>
      </c>
      <c r="S287" s="6">
        <v>2037</v>
      </c>
      <c r="T287" s="6">
        <v>2038</v>
      </c>
      <c r="U287" s="6">
        <v>2039</v>
      </c>
      <c r="V287" s="6">
        <v>2040</v>
      </c>
      <c r="W287" s="6">
        <v>2041</v>
      </c>
      <c r="X287" s="6">
        <v>2042</v>
      </c>
      <c r="Y287" s="6">
        <v>2043</v>
      </c>
      <c r="Z287" s="6">
        <v>2044</v>
      </c>
      <c r="AA287" s="6">
        <v>2045</v>
      </c>
      <c r="AB287" s="6">
        <v>2046</v>
      </c>
      <c r="AC287" s="6">
        <v>2047</v>
      </c>
      <c r="AD287" s="6">
        <v>2048</v>
      </c>
      <c r="AE287" s="6">
        <v>2049</v>
      </c>
      <c r="AF287" s="6">
        <v>2050</v>
      </c>
      <c r="AG287" s="6">
        <v>2051</v>
      </c>
    </row>
    <row r="288" spans="1:36" x14ac:dyDescent="0.45">
      <c r="B288" s="21" t="s">
        <v>82</v>
      </c>
      <c r="C288" s="28">
        <f ca="1">IFERROR(SUMIFS(Energy[2021_TWh],Energy[[Sector]:[Sector]],"Hydrogen", Energy[[Fuel_category]:[Fuel_category]],$B288),"")</f>
        <v>0</v>
      </c>
      <c r="D288" s="28">
        <f ca="1">IFERROR(SUMIFS(Energy[2022_TWh],Energy[[Sector]:[Sector]],"Hydrogen", Energy[[Fuel_category]:[Fuel_category]],$B288),"")</f>
        <v>0</v>
      </c>
      <c r="E288" s="28">
        <f ca="1">IFERROR(SUMIFS(Energy[2023_TWh],Energy[[Sector]:[Sector]],"Hydrogen", Energy[[Fuel_category]:[Fuel_category]],$B288),"")</f>
        <v>0</v>
      </c>
      <c r="F288" s="28">
        <f ca="1">IFERROR(SUMIFS(Energy[2024_TWh],Energy[[Sector]:[Sector]],"Hydrogen", Energy[[Fuel_category]:[Fuel_category]],$B288),"")</f>
        <v>0</v>
      </c>
      <c r="G288" s="28">
        <f ca="1">IFERROR(SUMIFS(Energy[2025_TWh],Energy[[Sector]:[Sector]],"Hydrogen", Energy[[Fuel_category]:[Fuel_category]],$B288),"")</f>
        <v>0</v>
      </c>
      <c r="H288" s="28">
        <f ca="1">IFERROR(SUMIFS(Energy[2026_TWh],Energy[[Sector]:[Sector]],"Hydrogen", Energy[[Fuel_category]:[Fuel_category]],$B288),"")</f>
        <v>0</v>
      </c>
      <c r="I288" s="28">
        <f ca="1">IFERROR(SUMIFS(Energy[2027_TWh],Energy[[Sector]:[Sector]],"Hydrogen", Energy[[Fuel_category]:[Fuel_category]],$B288),"")</f>
        <v>0</v>
      </c>
      <c r="J288" s="28">
        <f ca="1">IFERROR(SUMIFS(Energy[2028_TWh],Energy[[Sector]:[Sector]],"Hydrogen", Energy[[Fuel_category]:[Fuel_category]],$B288),"")</f>
        <v>0</v>
      </c>
      <c r="K288" s="28">
        <f ca="1">IFERROR(SUMIFS(Energy[2029_TWh],Energy[[Sector]:[Sector]],"Hydrogen", Energy[[Fuel_category]:[Fuel_category]],$B288),"")</f>
        <v>0</v>
      </c>
      <c r="L288" s="28">
        <f ca="1">IFERROR(SUMIFS(Energy[2030_TWh],Energy[[Sector]:[Sector]],"Hydrogen", Energy[[Fuel_category]:[Fuel_category]],$B288),"")</f>
        <v>0</v>
      </c>
      <c r="M288" s="28">
        <f ca="1">IFERROR(SUMIFS(Energy[2031_TWh],Energy[[Sector]:[Sector]],"Hydrogen", Energy[[Fuel_category]:[Fuel_category]],$B288),"")</f>
        <v>0</v>
      </c>
      <c r="N288" s="28">
        <f ca="1">IFERROR(SUMIFS(Energy[2032_TWh],Energy[[Sector]:[Sector]],"Hydrogen", Energy[[Fuel_category]:[Fuel_category]],$B288),"")</f>
        <v>0</v>
      </c>
      <c r="O288" s="28">
        <f ca="1">IFERROR(SUMIFS(Energy[2033_TWh],Energy[[Sector]:[Sector]],"Hydrogen", Energy[[Fuel_category]:[Fuel_category]],$B288),"")</f>
        <v>0</v>
      </c>
      <c r="P288" s="28">
        <f ca="1">IFERROR(SUMIFS(Energy[2034_TWh],Energy[[Sector]:[Sector]],"Hydrogen", Energy[[Fuel_category]:[Fuel_category]],$B288),"")</f>
        <v>0</v>
      </c>
      <c r="Q288" s="28">
        <f ca="1">IFERROR(SUMIFS(Energy[2035_TWh],Energy[[Sector]:[Sector]],"Hydrogen", Energy[[Fuel_category]:[Fuel_category]],$B288),"")</f>
        <v>0</v>
      </c>
      <c r="R288" s="28">
        <f ca="1">IFERROR(SUMIFS(Energy[2036_TWh],Energy[[Sector]:[Sector]],"Hydrogen", Energy[[Fuel_category]:[Fuel_category]],$B288),"")</f>
        <v>0</v>
      </c>
      <c r="S288" s="28">
        <f ca="1">IFERROR(SUMIFS(Energy[2037_TWh],Energy[[Sector]:[Sector]],"Hydrogen", Energy[[Fuel_category]:[Fuel_category]],$B288),"")</f>
        <v>0</v>
      </c>
      <c r="T288" s="28">
        <f ca="1">IFERROR(SUMIFS(Energy[2038_TWh],Energy[[Sector]:[Sector]],"Hydrogen", Energy[[Fuel_category]:[Fuel_category]],$B288),"")</f>
        <v>0</v>
      </c>
      <c r="U288" s="28">
        <f ca="1">IFERROR(SUMIFS(Energy[2039_TWh],Energy[[Sector]:[Sector]],"Hydrogen", Energy[[Fuel_category]:[Fuel_category]],$B288),"")</f>
        <v>0</v>
      </c>
      <c r="V288" s="28">
        <f ca="1">IFERROR(SUMIFS(Energy[2040_TWh],Energy[[Sector]:[Sector]],"Hydrogen", Energy[[Fuel_category]:[Fuel_category]],$B288),"")</f>
        <v>0</v>
      </c>
      <c r="W288" s="28">
        <f ca="1">IFERROR(SUMIFS(Energy[2041_TWh],Energy[[Sector]:[Sector]],"Hydrogen", Energy[[Fuel_category]:[Fuel_category]],$B288),"")</f>
        <v>0</v>
      </c>
      <c r="X288" s="28">
        <f ca="1">IFERROR(SUMIFS(Energy[2042_TWh],Energy[[Sector]:[Sector]],"Hydrogen", Energy[[Fuel_category]:[Fuel_category]],$B288),"")</f>
        <v>0</v>
      </c>
      <c r="Y288" s="28">
        <f ca="1">IFERROR(SUMIFS(Energy[2043_TWh],Energy[[Sector]:[Sector]],"Hydrogen", Energy[[Fuel_category]:[Fuel_category]],$B288),"")</f>
        <v>0</v>
      </c>
      <c r="Z288" s="28">
        <f ca="1">IFERROR(SUMIFS(Energy[2044_TWh],Energy[[Sector]:[Sector]],"Hydrogen", Energy[[Fuel_category]:[Fuel_category]],$B288),"")</f>
        <v>0</v>
      </c>
      <c r="AA288" s="28">
        <f ca="1">IFERROR(SUMIFS(Energy[2045_TWh],Energy[[Sector]:[Sector]],"Hydrogen", Energy[[Fuel_category]:[Fuel_category]],$B288),"")</f>
        <v>0</v>
      </c>
      <c r="AB288" s="28">
        <f ca="1">IFERROR(SUMIFS(Energy[2046_TWh],Energy[[Sector]:[Sector]],"Hydrogen", Energy[[Fuel_category]:[Fuel_category]],$B288),"")</f>
        <v>0</v>
      </c>
      <c r="AC288" s="28">
        <f ca="1">IFERROR(SUMIFS(Energy[2047_TWh],Energy[[Sector]:[Sector]],"Hydrogen", Energy[[Fuel_category]:[Fuel_category]],$B288),"")</f>
        <v>0</v>
      </c>
      <c r="AD288" s="28">
        <f ca="1">IFERROR(SUMIFS(Energy[2048_TWh],Energy[[Sector]:[Sector]],"Hydrogen", Energy[[Fuel_category]:[Fuel_category]],$B288),"")</f>
        <v>0</v>
      </c>
      <c r="AE288" s="28">
        <f ca="1">IFERROR(SUMIFS(Energy[2049_TWh],Energy[[Sector]:[Sector]],"Hydrogen", Energy[[Fuel_category]:[Fuel_category]],$B288),"")</f>
        <v>0</v>
      </c>
      <c r="AF288" s="28">
        <f ca="1">IFERROR(SUMIFS(Energy[2050_TWh],Energy[[Sector]:[Sector]],"Hydrogen", Energy[[Fuel_category]:[Fuel_category]],$B288),"")</f>
        <v>0</v>
      </c>
      <c r="AG288" s="28">
        <f ca="1">IFERROR(SUMIFS(Energy[2051_TWh],Energy[[Sector]:[Sector]],"Hydrogen", Energy[[Fuel_category]:[Fuel_category]],$B288),"")</f>
        <v>0</v>
      </c>
      <c r="AJ288" s="20"/>
    </row>
    <row r="289" spans="1:33" x14ac:dyDescent="0.45">
      <c r="A289" s="2"/>
      <c r="B289" s="21" t="s">
        <v>83</v>
      </c>
      <c r="C289" s="28">
        <f ca="1">IFERROR(SUMIFS(Energy[2021_TWh],Energy[[Sector]:[Sector]],"Hydrogen", Energy[[Fuel_category]:[Fuel_category]],$B289),"")</f>
        <v>0</v>
      </c>
      <c r="D289" s="28">
        <f ca="1">IFERROR(SUMIFS(Energy[2022_TWh],Energy[[Sector]:[Sector]],"Hydrogen", Energy[[Fuel_category]:[Fuel_category]],$B289),"")</f>
        <v>0</v>
      </c>
      <c r="E289" s="28">
        <f ca="1">IFERROR(SUMIFS(Energy[2023_TWh],Energy[[Sector]:[Sector]],"Hydrogen", Energy[[Fuel_category]:[Fuel_category]],$B289),"")</f>
        <v>0</v>
      </c>
      <c r="F289" s="28">
        <f ca="1">IFERROR(SUMIFS(Energy[2024_TWh],Energy[[Sector]:[Sector]],"Hydrogen", Energy[[Fuel_category]:[Fuel_category]],$B289),"")</f>
        <v>0</v>
      </c>
      <c r="G289" s="28">
        <f ca="1">IFERROR(SUMIFS(Energy[2025_TWh],Energy[[Sector]:[Sector]],"Hydrogen", Energy[[Fuel_category]:[Fuel_category]],$B289),"")</f>
        <v>0</v>
      </c>
      <c r="H289" s="28">
        <f ca="1">IFERROR(SUMIFS(Energy[2026_TWh],Energy[[Sector]:[Sector]],"Hydrogen", Energy[[Fuel_category]:[Fuel_category]],$B289),"")</f>
        <v>0</v>
      </c>
      <c r="I289" s="28">
        <f ca="1">IFERROR(SUMIFS(Energy[2027_TWh],Energy[[Sector]:[Sector]],"Hydrogen", Energy[[Fuel_category]:[Fuel_category]],$B289),"")</f>
        <v>0</v>
      </c>
      <c r="J289" s="28">
        <f ca="1">IFERROR(SUMIFS(Energy[2028_TWh],Energy[[Sector]:[Sector]],"Hydrogen", Energy[[Fuel_category]:[Fuel_category]],$B289),"")</f>
        <v>0</v>
      </c>
      <c r="K289" s="28">
        <f ca="1">IFERROR(SUMIFS(Energy[2029_TWh],Energy[[Sector]:[Sector]],"Hydrogen", Energy[[Fuel_category]:[Fuel_category]],$B289),"")</f>
        <v>0</v>
      </c>
      <c r="L289" s="28">
        <f ca="1">IFERROR(SUMIFS(Energy[2030_TWh],Energy[[Sector]:[Sector]],"Hydrogen", Energy[[Fuel_category]:[Fuel_category]],$B289),"")</f>
        <v>0</v>
      </c>
      <c r="M289" s="28">
        <f ca="1">IFERROR(SUMIFS(Energy[2031_TWh],Energy[[Sector]:[Sector]],"Hydrogen", Energy[[Fuel_category]:[Fuel_category]],$B289),"")</f>
        <v>0</v>
      </c>
      <c r="N289" s="28">
        <f ca="1">IFERROR(SUMIFS(Energy[2032_TWh],Energy[[Sector]:[Sector]],"Hydrogen", Energy[[Fuel_category]:[Fuel_category]],$B289),"")</f>
        <v>0</v>
      </c>
      <c r="O289" s="28">
        <f ca="1">IFERROR(SUMIFS(Energy[2033_TWh],Energy[[Sector]:[Sector]],"Hydrogen", Energy[[Fuel_category]:[Fuel_category]],$B289),"")</f>
        <v>0</v>
      </c>
      <c r="P289" s="28">
        <f ca="1">IFERROR(SUMIFS(Energy[2034_TWh],Energy[[Sector]:[Sector]],"Hydrogen", Energy[[Fuel_category]:[Fuel_category]],$B289),"")</f>
        <v>0</v>
      </c>
      <c r="Q289" s="28">
        <f ca="1">IFERROR(SUMIFS(Energy[2035_TWh],Energy[[Sector]:[Sector]],"Hydrogen", Energy[[Fuel_category]:[Fuel_category]],$B289),"")</f>
        <v>0</v>
      </c>
      <c r="R289" s="28">
        <f ca="1">IFERROR(SUMIFS(Energy[2036_TWh],Energy[[Sector]:[Sector]],"Hydrogen", Energy[[Fuel_category]:[Fuel_category]],$B289),"")</f>
        <v>0</v>
      </c>
      <c r="S289" s="28">
        <f ca="1">IFERROR(SUMIFS(Energy[2037_TWh],Energy[[Sector]:[Sector]],"Hydrogen", Energy[[Fuel_category]:[Fuel_category]],$B289),"")</f>
        <v>0</v>
      </c>
      <c r="T289" s="28">
        <f ca="1">IFERROR(SUMIFS(Energy[2038_TWh],Energy[[Sector]:[Sector]],"Hydrogen", Energy[[Fuel_category]:[Fuel_category]],$B289),"")</f>
        <v>0</v>
      </c>
      <c r="U289" s="28">
        <f ca="1">IFERROR(SUMIFS(Energy[2039_TWh],Energy[[Sector]:[Sector]],"Hydrogen", Energy[[Fuel_category]:[Fuel_category]],$B289),"")</f>
        <v>0</v>
      </c>
      <c r="V289" s="28">
        <f ca="1">IFERROR(SUMIFS(Energy[2040_TWh],Energy[[Sector]:[Sector]],"Hydrogen", Energy[[Fuel_category]:[Fuel_category]],$B289),"")</f>
        <v>0</v>
      </c>
      <c r="W289" s="28">
        <f ca="1">IFERROR(SUMIFS(Energy[2041_TWh],Energy[[Sector]:[Sector]],"Hydrogen", Energy[[Fuel_category]:[Fuel_category]],$B289),"")</f>
        <v>0</v>
      </c>
      <c r="X289" s="28">
        <f ca="1">IFERROR(SUMIFS(Energy[2042_TWh],Energy[[Sector]:[Sector]],"Hydrogen", Energy[[Fuel_category]:[Fuel_category]],$B289),"")</f>
        <v>0</v>
      </c>
      <c r="Y289" s="28">
        <f ca="1">IFERROR(SUMIFS(Energy[2043_TWh],Energy[[Sector]:[Sector]],"Hydrogen", Energy[[Fuel_category]:[Fuel_category]],$B289),"")</f>
        <v>0</v>
      </c>
      <c r="Z289" s="28">
        <f ca="1">IFERROR(SUMIFS(Energy[2044_TWh],Energy[[Sector]:[Sector]],"Hydrogen", Energy[[Fuel_category]:[Fuel_category]],$B289),"")</f>
        <v>0</v>
      </c>
      <c r="AA289" s="28">
        <f ca="1">IFERROR(SUMIFS(Energy[2045_TWh],Energy[[Sector]:[Sector]],"Hydrogen", Energy[[Fuel_category]:[Fuel_category]],$B289),"")</f>
        <v>0</v>
      </c>
      <c r="AB289" s="28">
        <f ca="1">IFERROR(SUMIFS(Energy[2046_TWh],Energy[[Sector]:[Sector]],"Hydrogen", Energy[[Fuel_category]:[Fuel_category]],$B289),"")</f>
        <v>0</v>
      </c>
      <c r="AC289" s="28">
        <f ca="1">IFERROR(SUMIFS(Energy[2047_TWh],Energy[[Sector]:[Sector]],"Hydrogen", Energy[[Fuel_category]:[Fuel_category]],$B289),"")</f>
        <v>0</v>
      </c>
      <c r="AD289" s="28">
        <f ca="1">IFERROR(SUMIFS(Energy[2048_TWh],Energy[[Sector]:[Sector]],"Hydrogen", Energy[[Fuel_category]:[Fuel_category]],$B289),"")</f>
        <v>0</v>
      </c>
      <c r="AE289" s="28">
        <f ca="1">IFERROR(SUMIFS(Energy[2049_TWh],Energy[[Sector]:[Sector]],"Hydrogen", Energy[[Fuel_category]:[Fuel_category]],$B289),"")</f>
        <v>0</v>
      </c>
      <c r="AF289" s="28">
        <f ca="1">IFERROR(SUMIFS(Energy[2050_TWh],Energy[[Sector]:[Sector]],"Hydrogen", Energy[[Fuel_category]:[Fuel_category]],$B289),"")</f>
        <v>0</v>
      </c>
      <c r="AG289" s="28">
        <f ca="1">IFERROR(SUMIFS(Energy[2051_TWh],Energy[[Sector]:[Sector]],"Hydrogen", Energy[[Fuel_category]:[Fuel_category]],$B289),"")</f>
        <v>0</v>
      </c>
    </row>
    <row r="290" spans="1:33" x14ac:dyDescent="0.45">
      <c r="A290" s="2"/>
      <c r="B290" s="21" t="s">
        <v>67</v>
      </c>
      <c r="C290" s="28">
        <f ca="1">IFERROR(SUMIFS(Energy[2021_TWh],Energy[[Sector]:[Sector]],"Hydrogen", Energy[[Fuel_category]:[Fuel_category]],$B290),"")</f>
        <v>0</v>
      </c>
      <c r="D290" s="28">
        <f ca="1">IFERROR(SUMIFS(Energy[2022_TWh],Energy[[Sector]:[Sector]],"Hydrogen", Energy[[Fuel_category]:[Fuel_category]],$B290),"")</f>
        <v>0</v>
      </c>
      <c r="E290" s="28">
        <f ca="1">IFERROR(SUMIFS(Energy[2023_TWh],Energy[[Sector]:[Sector]],"Hydrogen", Energy[[Fuel_category]:[Fuel_category]],$B290),"")</f>
        <v>0</v>
      </c>
      <c r="F290" s="28">
        <f ca="1">IFERROR(SUMIFS(Energy[2024_TWh],Energy[[Sector]:[Sector]],"Hydrogen", Energy[[Fuel_category]:[Fuel_category]],$B290),"")</f>
        <v>0</v>
      </c>
      <c r="G290" s="28">
        <f ca="1">IFERROR(SUMIFS(Energy[2025_TWh],Energy[[Sector]:[Sector]],"Hydrogen", Energy[[Fuel_category]:[Fuel_category]],$B290),"")</f>
        <v>0</v>
      </c>
      <c r="H290" s="28">
        <f ca="1">IFERROR(SUMIFS(Energy[2026_TWh],Energy[[Sector]:[Sector]],"Hydrogen", Energy[[Fuel_category]:[Fuel_category]],$B290),"")</f>
        <v>0</v>
      </c>
      <c r="I290" s="28">
        <f ca="1">IFERROR(SUMIFS(Energy[2027_TWh],Energy[[Sector]:[Sector]],"Hydrogen", Energy[[Fuel_category]:[Fuel_category]],$B290),"")</f>
        <v>0</v>
      </c>
      <c r="J290" s="28">
        <f ca="1">IFERROR(SUMIFS(Energy[2028_TWh],Energy[[Sector]:[Sector]],"Hydrogen", Energy[[Fuel_category]:[Fuel_category]],$B290),"")</f>
        <v>0</v>
      </c>
      <c r="K290" s="28">
        <f ca="1">IFERROR(SUMIFS(Energy[2029_TWh],Energy[[Sector]:[Sector]],"Hydrogen", Energy[[Fuel_category]:[Fuel_category]],$B290),"")</f>
        <v>0</v>
      </c>
      <c r="L290" s="28">
        <f ca="1">IFERROR(SUMIFS(Energy[2030_TWh],Energy[[Sector]:[Sector]],"Hydrogen", Energy[[Fuel_category]:[Fuel_category]],$B290),"")</f>
        <v>0</v>
      </c>
      <c r="M290" s="28">
        <f ca="1">IFERROR(SUMIFS(Energy[2031_TWh],Energy[[Sector]:[Sector]],"Hydrogen", Energy[[Fuel_category]:[Fuel_category]],$B290),"")</f>
        <v>0</v>
      </c>
      <c r="N290" s="28">
        <f ca="1">IFERROR(SUMIFS(Energy[2032_TWh],Energy[[Sector]:[Sector]],"Hydrogen", Energy[[Fuel_category]:[Fuel_category]],$B290),"")</f>
        <v>0</v>
      </c>
      <c r="O290" s="28">
        <f ca="1">IFERROR(SUMIFS(Energy[2033_TWh],Energy[[Sector]:[Sector]],"Hydrogen", Energy[[Fuel_category]:[Fuel_category]],$B290),"")</f>
        <v>0</v>
      </c>
      <c r="P290" s="28">
        <f ca="1">IFERROR(SUMIFS(Energy[2034_TWh],Energy[[Sector]:[Sector]],"Hydrogen", Energy[[Fuel_category]:[Fuel_category]],$B290),"")</f>
        <v>0</v>
      </c>
      <c r="Q290" s="28">
        <f ca="1">IFERROR(SUMIFS(Energy[2035_TWh],Energy[[Sector]:[Sector]],"Hydrogen", Energy[[Fuel_category]:[Fuel_category]],$B290),"")</f>
        <v>0</v>
      </c>
      <c r="R290" s="28">
        <f ca="1">IFERROR(SUMIFS(Energy[2036_TWh],Energy[[Sector]:[Sector]],"Hydrogen", Energy[[Fuel_category]:[Fuel_category]],$B290),"")</f>
        <v>0</v>
      </c>
      <c r="S290" s="28">
        <f ca="1">IFERROR(SUMIFS(Energy[2037_TWh],Energy[[Sector]:[Sector]],"Hydrogen", Energy[[Fuel_category]:[Fuel_category]],$B290),"")</f>
        <v>0</v>
      </c>
      <c r="T290" s="28">
        <f ca="1">IFERROR(SUMIFS(Energy[2038_TWh],Energy[[Sector]:[Sector]],"Hydrogen", Energy[[Fuel_category]:[Fuel_category]],$B290),"")</f>
        <v>0</v>
      </c>
      <c r="U290" s="28">
        <f ca="1">IFERROR(SUMIFS(Energy[2039_TWh],Energy[[Sector]:[Sector]],"Hydrogen", Energy[[Fuel_category]:[Fuel_category]],$B290),"")</f>
        <v>0</v>
      </c>
      <c r="V290" s="28">
        <f ca="1">IFERROR(SUMIFS(Energy[2040_TWh],Energy[[Sector]:[Sector]],"Hydrogen", Energy[[Fuel_category]:[Fuel_category]],$B290),"")</f>
        <v>0</v>
      </c>
      <c r="W290" s="28">
        <f ca="1">IFERROR(SUMIFS(Energy[2041_TWh],Energy[[Sector]:[Sector]],"Hydrogen", Energy[[Fuel_category]:[Fuel_category]],$B290),"")</f>
        <v>0</v>
      </c>
      <c r="X290" s="28">
        <f ca="1">IFERROR(SUMIFS(Energy[2042_TWh],Energy[[Sector]:[Sector]],"Hydrogen", Energy[[Fuel_category]:[Fuel_category]],$B290),"")</f>
        <v>0</v>
      </c>
      <c r="Y290" s="28">
        <f ca="1">IFERROR(SUMIFS(Energy[2043_TWh],Energy[[Sector]:[Sector]],"Hydrogen", Energy[[Fuel_category]:[Fuel_category]],$B290),"")</f>
        <v>0</v>
      </c>
      <c r="Z290" s="28">
        <f ca="1">IFERROR(SUMIFS(Energy[2044_TWh],Energy[[Sector]:[Sector]],"Hydrogen", Energy[[Fuel_category]:[Fuel_category]],$B290),"")</f>
        <v>0</v>
      </c>
      <c r="AA290" s="28">
        <f ca="1">IFERROR(SUMIFS(Energy[2045_TWh],Energy[[Sector]:[Sector]],"Hydrogen", Energy[[Fuel_category]:[Fuel_category]],$B290),"")</f>
        <v>0</v>
      </c>
      <c r="AB290" s="28">
        <f ca="1">IFERROR(SUMIFS(Energy[2046_TWh],Energy[[Sector]:[Sector]],"Hydrogen", Energy[[Fuel_category]:[Fuel_category]],$B290),"")</f>
        <v>0</v>
      </c>
      <c r="AC290" s="28">
        <f ca="1">IFERROR(SUMIFS(Energy[2047_TWh],Energy[[Sector]:[Sector]],"Hydrogen", Energy[[Fuel_category]:[Fuel_category]],$B290),"")</f>
        <v>0</v>
      </c>
      <c r="AD290" s="28">
        <f ca="1">IFERROR(SUMIFS(Energy[2048_TWh],Energy[[Sector]:[Sector]],"Hydrogen", Energy[[Fuel_category]:[Fuel_category]],$B290),"")</f>
        <v>0</v>
      </c>
      <c r="AE290" s="28">
        <f ca="1">IFERROR(SUMIFS(Energy[2049_TWh],Energy[[Sector]:[Sector]],"Hydrogen", Energy[[Fuel_category]:[Fuel_category]],$B290),"")</f>
        <v>0</v>
      </c>
      <c r="AF290" s="28">
        <f ca="1">IFERROR(SUMIFS(Energy[2050_TWh],Energy[[Sector]:[Sector]],"Hydrogen", Energy[[Fuel_category]:[Fuel_category]],$B290),"")</f>
        <v>0</v>
      </c>
      <c r="AG290" s="28">
        <f ca="1">IFERROR(SUMIFS(Energy[2051_TWh],Energy[[Sector]:[Sector]],"Hydrogen", Energy[[Fuel_category]:[Fuel_category]],$B290),"")</f>
        <v>0</v>
      </c>
    </row>
    <row r="291" spans="1:33" x14ac:dyDescent="0.45">
      <c r="A291" s="2"/>
      <c r="B291" s="21" t="s">
        <v>35</v>
      </c>
      <c r="C291" s="28">
        <f ca="1">IFERROR(SUMIFS(Energy[2021_TWh],Energy[[Sector]:[Sector]],"Hydrogen", Energy[[Fuel_category]:[Fuel_category]],$B291),"")</f>
        <v>0</v>
      </c>
      <c r="D291" s="28">
        <f ca="1">IFERROR(SUMIFS(Energy[2022_TWh],Energy[[Sector]:[Sector]],"Hydrogen", Energy[[Fuel_category]:[Fuel_category]],$B291),"")</f>
        <v>0</v>
      </c>
      <c r="E291" s="28">
        <f ca="1">IFERROR(SUMIFS(Energy[2023_TWh],Energy[[Sector]:[Sector]],"Hydrogen", Energy[[Fuel_category]:[Fuel_category]],$B291),"")</f>
        <v>0</v>
      </c>
      <c r="F291" s="28">
        <f ca="1">IFERROR(SUMIFS(Energy[2024_TWh],Energy[[Sector]:[Sector]],"Hydrogen", Energy[[Fuel_category]:[Fuel_category]],$B291),"")</f>
        <v>0</v>
      </c>
      <c r="G291" s="28">
        <f ca="1">IFERROR(SUMIFS(Energy[2025_TWh],Energy[[Sector]:[Sector]],"Hydrogen", Energy[[Fuel_category]:[Fuel_category]],$B291),"")</f>
        <v>0</v>
      </c>
      <c r="H291" s="28">
        <f ca="1">IFERROR(SUMIFS(Energy[2026_TWh],Energy[[Sector]:[Sector]],"Hydrogen", Energy[[Fuel_category]:[Fuel_category]],$B291),"")</f>
        <v>0</v>
      </c>
      <c r="I291" s="28">
        <f ca="1">IFERROR(SUMIFS(Energy[2027_TWh],Energy[[Sector]:[Sector]],"Hydrogen", Energy[[Fuel_category]:[Fuel_category]],$B291),"")</f>
        <v>0</v>
      </c>
      <c r="J291" s="28">
        <f ca="1">IFERROR(SUMIFS(Energy[2028_TWh],Energy[[Sector]:[Sector]],"Hydrogen", Energy[[Fuel_category]:[Fuel_category]],$B291),"")</f>
        <v>0</v>
      </c>
      <c r="K291" s="28">
        <f ca="1">IFERROR(SUMIFS(Energy[2029_TWh],Energy[[Sector]:[Sector]],"Hydrogen", Energy[[Fuel_category]:[Fuel_category]],$B291),"")</f>
        <v>0</v>
      </c>
      <c r="L291" s="28">
        <f ca="1">IFERROR(SUMIFS(Energy[2030_TWh],Energy[[Sector]:[Sector]],"Hydrogen", Energy[[Fuel_category]:[Fuel_category]],$B291),"")</f>
        <v>0</v>
      </c>
      <c r="M291" s="28">
        <f ca="1">IFERROR(SUMIFS(Energy[2031_TWh],Energy[[Sector]:[Sector]],"Hydrogen", Energy[[Fuel_category]:[Fuel_category]],$B291),"")</f>
        <v>0</v>
      </c>
      <c r="N291" s="28">
        <f ca="1">IFERROR(SUMIFS(Energy[2032_TWh],Energy[[Sector]:[Sector]],"Hydrogen", Energy[[Fuel_category]:[Fuel_category]],$B291),"")</f>
        <v>0</v>
      </c>
      <c r="O291" s="28">
        <f ca="1">IFERROR(SUMIFS(Energy[2033_TWh],Energy[[Sector]:[Sector]],"Hydrogen", Energy[[Fuel_category]:[Fuel_category]],$B291),"")</f>
        <v>0</v>
      </c>
      <c r="P291" s="28">
        <f ca="1">IFERROR(SUMIFS(Energy[2034_TWh],Energy[[Sector]:[Sector]],"Hydrogen", Energy[[Fuel_category]:[Fuel_category]],$B291),"")</f>
        <v>0</v>
      </c>
      <c r="Q291" s="28">
        <f ca="1">IFERROR(SUMIFS(Energy[2035_TWh],Energy[[Sector]:[Sector]],"Hydrogen", Energy[[Fuel_category]:[Fuel_category]],$B291),"")</f>
        <v>0</v>
      </c>
      <c r="R291" s="28">
        <f ca="1">IFERROR(SUMIFS(Energy[2036_TWh],Energy[[Sector]:[Sector]],"Hydrogen", Energy[[Fuel_category]:[Fuel_category]],$B291),"")</f>
        <v>0</v>
      </c>
      <c r="S291" s="28">
        <f ca="1">IFERROR(SUMIFS(Energy[2037_TWh],Energy[[Sector]:[Sector]],"Hydrogen", Energy[[Fuel_category]:[Fuel_category]],$B291),"")</f>
        <v>0</v>
      </c>
      <c r="T291" s="28">
        <f ca="1">IFERROR(SUMIFS(Energy[2038_TWh],Energy[[Sector]:[Sector]],"Hydrogen", Energy[[Fuel_category]:[Fuel_category]],$B291),"")</f>
        <v>0</v>
      </c>
      <c r="U291" s="28">
        <f ca="1">IFERROR(SUMIFS(Energy[2039_TWh],Energy[[Sector]:[Sector]],"Hydrogen", Energy[[Fuel_category]:[Fuel_category]],$B291),"")</f>
        <v>0</v>
      </c>
      <c r="V291" s="28">
        <f ca="1">IFERROR(SUMIFS(Energy[2040_TWh],Energy[[Sector]:[Sector]],"Hydrogen", Energy[[Fuel_category]:[Fuel_category]],$B291),"")</f>
        <v>0</v>
      </c>
      <c r="W291" s="28">
        <f ca="1">IFERROR(SUMIFS(Energy[2041_TWh],Energy[[Sector]:[Sector]],"Hydrogen", Energy[[Fuel_category]:[Fuel_category]],$B291),"")</f>
        <v>0</v>
      </c>
      <c r="X291" s="28">
        <f ca="1">IFERROR(SUMIFS(Energy[2042_TWh],Energy[[Sector]:[Sector]],"Hydrogen", Energy[[Fuel_category]:[Fuel_category]],$B291),"")</f>
        <v>0</v>
      </c>
      <c r="Y291" s="28">
        <f ca="1">IFERROR(SUMIFS(Energy[2043_TWh],Energy[[Sector]:[Sector]],"Hydrogen", Energy[[Fuel_category]:[Fuel_category]],$B291),"")</f>
        <v>0</v>
      </c>
      <c r="Z291" s="28">
        <f ca="1">IFERROR(SUMIFS(Energy[2044_TWh],Energy[[Sector]:[Sector]],"Hydrogen", Energy[[Fuel_category]:[Fuel_category]],$B291),"")</f>
        <v>0</v>
      </c>
      <c r="AA291" s="28">
        <f ca="1">IFERROR(SUMIFS(Energy[2045_TWh],Energy[[Sector]:[Sector]],"Hydrogen", Energy[[Fuel_category]:[Fuel_category]],$B291),"")</f>
        <v>0</v>
      </c>
      <c r="AB291" s="28">
        <f ca="1">IFERROR(SUMIFS(Energy[2046_TWh],Energy[[Sector]:[Sector]],"Hydrogen", Energy[[Fuel_category]:[Fuel_category]],$B291),"")</f>
        <v>0</v>
      </c>
      <c r="AC291" s="28">
        <f ca="1">IFERROR(SUMIFS(Energy[2047_TWh],Energy[[Sector]:[Sector]],"Hydrogen", Energy[[Fuel_category]:[Fuel_category]],$B291),"")</f>
        <v>0</v>
      </c>
      <c r="AD291" s="28">
        <f ca="1">IFERROR(SUMIFS(Energy[2048_TWh],Energy[[Sector]:[Sector]],"Hydrogen", Energy[[Fuel_category]:[Fuel_category]],$B291),"")</f>
        <v>0</v>
      </c>
      <c r="AE291" s="28">
        <f ca="1">IFERROR(SUMIFS(Energy[2049_TWh],Energy[[Sector]:[Sector]],"Hydrogen", Energy[[Fuel_category]:[Fuel_category]],$B291),"")</f>
        <v>0</v>
      </c>
      <c r="AF291" s="28">
        <f ca="1">IFERROR(SUMIFS(Energy[2050_TWh],Energy[[Sector]:[Sector]],"Hydrogen", Energy[[Fuel_category]:[Fuel_category]],$B291),"")</f>
        <v>0</v>
      </c>
      <c r="AG291" s="28">
        <f ca="1">IFERROR(SUMIFS(Energy[2051_TWh],Energy[[Sector]:[Sector]],"Hydrogen", Energy[[Fuel_category]:[Fuel_category]],$B291),"")</f>
        <v>0</v>
      </c>
    </row>
    <row r="292" spans="1:33" x14ac:dyDescent="0.45">
      <c r="A292" s="2"/>
      <c r="B292" s="21" t="s">
        <v>26</v>
      </c>
      <c r="C292" s="28">
        <f ca="1">IFERROR(SUMIFS(Energy[2021_TWh],Energy[[Sector]:[Sector]],"Hydrogen", Energy[[Fuel_category]:[Fuel_category]],$B292),"")</f>
        <v>0</v>
      </c>
      <c r="D292" s="28">
        <f ca="1">IFERROR(SUMIFS(Energy[2022_TWh],Energy[[Sector]:[Sector]],"Hydrogen", Energy[[Fuel_category]:[Fuel_category]],$B292),"")</f>
        <v>0</v>
      </c>
      <c r="E292" s="28">
        <f ca="1">IFERROR(SUMIFS(Energy[2023_TWh],Energy[[Sector]:[Sector]],"Hydrogen", Energy[[Fuel_category]:[Fuel_category]],$B292),"")</f>
        <v>0</v>
      </c>
      <c r="F292" s="28">
        <f ca="1">IFERROR(SUMIFS(Energy[2024_TWh],Energy[[Sector]:[Sector]],"Hydrogen", Energy[[Fuel_category]:[Fuel_category]],$B292),"")</f>
        <v>0</v>
      </c>
      <c r="G292" s="28">
        <f ca="1">IFERROR(SUMIFS(Energy[2025_TWh],Energy[[Sector]:[Sector]],"Hydrogen", Energy[[Fuel_category]:[Fuel_category]],$B292),"")</f>
        <v>0</v>
      </c>
      <c r="H292" s="28">
        <f ca="1">IFERROR(SUMIFS(Energy[2026_TWh],Energy[[Sector]:[Sector]],"Hydrogen", Energy[[Fuel_category]:[Fuel_category]],$B292),"")</f>
        <v>0</v>
      </c>
      <c r="I292" s="28">
        <f ca="1">IFERROR(SUMIFS(Energy[2027_TWh],Energy[[Sector]:[Sector]],"Hydrogen", Energy[[Fuel_category]:[Fuel_category]],$B292),"")</f>
        <v>0</v>
      </c>
      <c r="J292" s="28">
        <f ca="1">IFERROR(SUMIFS(Energy[2028_TWh],Energy[[Sector]:[Sector]],"Hydrogen", Energy[[Fuel_category]:[Fuel_category]],$B292),"")</f>
        <v>0</v>
      </c>
      <c r="K292" s="28">
        <f ca="1">IFERROR(SUMIFS(Energy[2029_TWh],Energy[[Sector]:[Sector]],"Hydrogen", Energy[[Fuel_category]:[Fuel_category]],$B292),"")</f>
        <v>0</v>
      </c>
      <c r="L292" s="28">
        <f ca="1">IFERROR(SUMIFS(Energy[2030_TWh],Energy[[Sector]:[Sector]],"Hydrogen", Energy[[Fuel_category]:[Fuel_category]],$B292),"")</f>
        <v>0</v>
      </c>
      <c r="M292" s="28">
        <f ca="1">IFERROR(SUMIFS(Energy[2031_TWh],Energy[[Sector]:[Sector]],"Hydrogen", Energy[[Fuel_category]:[Fuel_category]],$B292),"")</f>
        <v>0</v>
      </c>
      <c r="N292" s="28">
        <f ca="1">IFERROR(SUMIFS(Energy[2032_TWh],Energy[[Sector]:[Sector]],"Hydrogen", Energy[[Fuel_category]:[Fuel_category]],$B292),"")</f>
        <v>0</v>
      </c>
      <c r="O292" s="28">
        <f ca="1">IFERROR(SUMIFS(Energy[2033_TWh],Energy[[Sector]:[Sector]],"Hydrogen", Energy[[Fuel_category]:[Fuel_category]],$B292),"")</f>
        <v>0</v>
      </c>
      <c r="P292" s="28">
        <f ca="1">IFERROR(SUMIFS(Energy[2034_TWh],Energy[[Sector]:[Sector]],"Hydrogen", Energy[[Fuel_category]:[Fuel_category]],$B292),"")</f>
        <v>0</v>
      </c>
      <c r="Q292" s="28">
        <f ca="1">IFERROR(SUMIFS(Energy[2035_TWh],Energy[[Sector]:[Sector]],"Hydrogen", Energy[[Fuel_category]:[Fuel_category]],$B292),"")</f>
        <v>0</v>
      </c>
      <c r="R292" s="28">
        <f ca="1">IFERROR(SUMIFS(Energy[2036_TWh],Energy[[Sector]:[Sector]],"Hydrogen", Energy[[Fuel_category]:[Fuel_category]],$B292),"")</f>
        <v>0</v>
      </c>
      <c r="S292" s="28">
        <f ca="1">IFERROR(SUMIFS(Energy[2037_TWh],Energy[[Sector]:[Sector]],"Hydrogen", Energy[[Fuel_category]:[Fuel_category]],$B292),"")</f>
        <v>0</v>
      </c>
      <c r="T292" s="28">
        <f ca="1">IFERROR(SUMIFS(Energy[2038_TWh],Energy[[Sector]:[Sector]],"Hydrogen", Energy[[Fuel_category]:[Fuel_category]],$B292),"")</f>
        <v>0</v>
      </c>
      <c r="U292" s="28">
        <f ca="1">IFERROR(SUMIFS(Energy[2039_TWh],Energy[[Sector]:[Sector]],"Hydrogen", Energy[[Fuel_category]:[Fuel_category]],$B292),"")</f>
        <v>0</v>
      </c>
      <c r="V292" s="28">
        <f ca="1">IFERROR(SUMIFS(Energy[2040_TWh],Energy[[Sector]:[Sector]],"Hydrogen", Energy[[Fuel_category]:[Fuel_category]],$B292),"")</f>
        <v>0</v>
      </c>
      <c r="W292" s="28">
        <f ca="1">IFERROR(SUMIFS(Energy[2041_TWh],Energy[[Sector]:[Sector]],"Hydrogen", Energy[[Fuel_category]:[Fuel_category]],$B292),"")</f>
        <v>0</v>
      </c>
      <c r="X292" s="28">
        <f ca="1">IFERROR(SUMIFS(Energy[2042_TWh],Energy[[Sector]:[Sector]],"Hydrogen", Energy[[Fuel_category]:[Fuel_category]],$B292),"")</f>
        <v>0</v>
      </c>
      <c r="Y292" s="28">
        <f ca="1">IFERROR(SUMIFS(Energy[2043_TWh],Energy[[Sector]:[Sector]],"Hydrogen", Energy[[Fuel_category]:[Fuel_category]],$B292),"")</f>
        <v>0</v>
      </c>
      <c r="Z292" s="28">
        <f ca="1">IFERROR(SUMIFS(Energy[2044_TWh],Energy[[Sector]:[Sector]],"Hydrogen", Energy[[Fuel_category]:[Fuel_category]],$B292),"")</f>
        <v>0</v>
      </c>
      <c r="AA292" s="28">
        <f ca="1">IFERROR(SUMIFS(Energy[2045_TWh],Energy[[Sector]:[Sector]],"Hydrogen", Energy[[Fuel_category]:[Fuel_category]],$B292),"")</f>
        <v>0</v>
      </c>
      <c r="AB292" s="28">
        <f ca="1">IFERROR(SUMIFS(Energy[2046_TWh],Energy[[Sector]:[Sector]],"Hydrogen", Energy[[Fuel_category]:[Fuel_category]],$B292),"")</f>
        <v>0</v>
      </c>
      <c r="AC292" s="28">
        <f ca="1">IFERROR(SUMIFS(Energy[2047_TWh],Energy[[Sector]:[Sector]],"Hydrogen", Energy[[Fuel_category]:[Fuel_category]],$B292),"")</f>
        <v>0</v>
      </c>
      <c r="AD292" s="28">
        <f ca="1">IFERROR(SUMIFS(Energy[2048_TWh],Energy[[Sector]:[Sector]],"Hydrogen", Energy[[Fuel_category]:[Fuel_category]],$B292),"")</f>
        <v>0</v>
      </c>
      <c r="AE292" s="28">
        <f ca="1">IFERROR(SUMIFS(Energy[2049_TWh],Energy[[Sector]:[Sector]],"Hydrogen", Energy[[Fuel_category]:[Fuel_category]],$B292),"")</f>
        <v>0</v>
      </c>
      <c r="AF292" s="28">
        <f ca="1">IFERROR(SUMIFS(Energy[2050_TWh],Energy[[Sector]:[Sector]],"Hydrogen", Energy[[Fuel_category]:[Fuel_category]],$B292),"")</f>
        <v>0</v>
      </c>
      <c r="AG292" s="28">
        <f ca="1">IFERROR(SUMIFS(Energy[2051_TWh],Energy[[Sector]:[Sector]],"Hydrogen", Energy[[Fuel_category]:[Fuel_category]],$B292),"")</f>
        <v>0</v>
      </c>
    </row>
    <row r="293" spans="1:33" x14ac:dyDescent="0.45">
      <c r="A293" s="2"/>
      <c r="B293" s="21" t="s">
        <v>113</v>
      </c>
      <c r="C293" s="28">
        <f ca="1">IFERROR(SUMIFS(Energy[2021_TWh],Energy[[Sector]:[Sector]],"Hydrogen", Energy[[Fuel_category]:[Fuel_category]],$B293),"")</f>
        <v>0</v>
      </c>
      <c r="D293" s="28">
        <f ca="1">IFERROR(SUMIFS(Energy[2022_TWh],Energy[[Sector]:[Sector]],"Hydrogen", Energy[[Fuel_category]:[Fuel_category]],$B293),"")</f>
        <v>0</v>
      </c>
      <c r="E293" s="28">
        <f ca="1">IFERROR(SUMIFS(Energy[2023_TWh],Energy[[Sector]:[Sector]],"Hydrogen", Energy[[Fuel_category]:[Fuel_category]],$B293),"")</f>
        <v>0</v>
      </c>
      <c r="F293" s="28">
        <f ca="1">IFERROR(SUMIFS(Energy[2024_TWh],Energy[[Sector]:[Sector]],"Hydrogen", Energy[[Fuel_category]:[Fuel_category]],$B293),"")</f>
        <v>0</v>
      </c>
      <c r="G293" s="28">
        <f ca="1">IFERROR(SUMIFS(Energy[2025_TWh],Energy[[Sector]:[Sector]],"Hydrogen", Energy[[Fuel_category]:[Fuel_category]],$B293),"")</f>
        <v>0</v>
      </c>
      <c r="H293" s="28">
        <f ca="1">IFERROR(SUMIFS(Energy[2026_TWh],Energy[[Sector]:[Sector]],"Hydrogen", Energy[[Fuel_category]:[Fuel_category]],$B293),"")</f>
        <v>0</v>
      </c>
      <c r="I293" s="28">
        <f ca="1">IFERROR(SUMIFS(Energy[2027_TWh],Energy[[Sector]:[Sector]],"Hydrogen", Energy[[Fuel_category]:[Fuel_category]],$B293),"")</f>
        <v>0</v>
      </c>
      <c r="J293" s="28">
        <f ca="1">IFERROR(SUMIFS(Energy[2028_TWh],Energy[[Sector]:[Sector]],"Hydrogen", Energy[[Fuel_category]:[Fuel_category]],$B293),"")</f>
        <v>0</v>
      </c>
      <c r="K293" s="28">
        <f ca="1">IFERROR(SUMIFS(Energy[2029_TWh],Energy[[Sector]:[Sector]],"Hydrogen", Energy[[Fuel_category]:[Fuel_category]],$B293),"")</f>
        <v>0</v>
      </c>
      <c r="L293" s="28">
        <f ca="1">IFERROR(SUMIFS(Energy[2030_TWh],Energy[[Sector]:[Sector]],"Hydrogen", Energy[[Fuel_category]:[Fuel_category]],$B293),"")</f>
        <v>0</v>
      </c>
      <c r="M293" s="28">
        <f ca="1">IFERROR(SUMIFS(Energy[2031_TWh],Energy[[Sector]:[Sector]],"Hydrogen", Energy[[Fuel_category]:[Fuel_category]],$B293),"")</f>
        <v>0</v>
      </c>
      <c r="N293" s="28">
        <f ca="1">IFERROR(SUMIFS(Energy[2032_TWh],Energy[[Sector]:[Sector]],"Hydrogen", Energy[[Fuel_category]:[Fuel_category]],$B293),"")</f>
        <v>0</v>
      </c>
      <c r="O293" s="28">
        <f ca="1">IFERROR(SUMIFS(Energy[2033_TWh],Energy[[Sector]:[Sector]],"Hydrogen", Energy[[Fuel_category]:[Fuel_category]],$B293),"")</f>
        <v>0</v>
      </c>
      <c r="P293" s="28">
        <f ca="1">IFERROR(SUMIFS(Energy[2034_TWh],Energy[[Sector]:[Sector]],"Hydrogen", Energy[[Fuel_category]:[Fuel_category]],$B293),"")</f>
        <v>0</v>
      </c>
      <c r="Q293" s="28">
        <f ca="1">IFERROR(SUMIFS(Energy[2035_TWh],Energy[[Sector]:[Sector]],"Hydrogen", Energy[[Fuel_category]:[Fuel_category]],$B293),"")</f>
        <v>0</v>
      </c>
      <c r="R293" s="28">
        <f ca="1">IFERROR(SUMIFS(Energy[2036_TWh],Energy[[Sector]:[Sector]],"Hydrogen", Energy[[Fuel_category]:[Fuel_category]],$B293),"")</f>
        <v>0</v>
      </c>
      <c r="S293" s="28">
        <f ca="1">IFERROR(SUMIFS(Energy[2037_TWh],Energy[[Sector]:[Sector]],"Hydrogen", Energy[[Fuel_category]:[Fuel_category]],$B293),"")</f>
        <v>0</v>
      </c>
      <c r="T293" s="28">
        <f ca="1">IFERROR(SUMIFS(Energy[2038_TWh],Energy[[Sector]:[Sector]],"Hydrogen", Energy[[Fuel_category]:[Fuel_category]],$B293),"")</f>
        <v>0</v>
      </c>
      <c r="U293" s="28">
        <f ca="1">IFERROR(SUMIFS(Energy[2039_TWh],Energy[[Sector]:[Sector]],"Hydrogen", Energy[[Fuel_category]:[Fuel_category]],$B293),"")</f>
        <v>0</v>
      </c>
      <c r="V293" s="28">
        <f ca="1">IFERROR(SUMIFS(Energy[2040_TWh],Energy[[Sector]:[Sector]],"Hydrogen", Energy[[Fuel_category]:[Fuel_category]],$B293),"")</f>
        <v>0</v>
      </c>
      <c r="W293" s="28">
        <f ca="1">IFERROR(SUMIFS(Energy[2041_TWh],Energy[[Sector]:[Sector]],"Hydrogen", Energy[[Fuel_category]:[Fuel_category]],$B293),"")</f>
        <v>0</v>
      </c>
      <c r="X293" s="28">
        <f ca="1">IFERROR(SUMIFS(Energy[2042_TWh],Energy[[Sector]:[Sector]],"Hydrogen", Energy[[Fuel_category]:[Fuel_category]],$B293),"")</f>
        <v>0</v>
      </c>
      <c r="Y293" s="28">
        <f ca="1">IFERROR(SUMIFS(Energy[2043_TWh],Energy[[Sector]:[Sector]],"Hydrogen", Energy[[Fuel_category]:[Fuel_category]],$B293),"")</f>
        <v>0</v>
      </c>
      <c r="Z293" s="28">
        <f ca="1">IFERROR(SUMIFS(Energy[2044_TWh],Energy[[Sector]:[Sector]],"Hydrogen", Energy[[Fuel_category]:[Fuel_category]],$B293),"")</f>
        <v>0</v>
      </c>
      <c r="AA293" s="28">
        <f ca="1">IFERROR(SUMIFS(Energy[2045_TWh],Energy[[Sector]:[Sector]],"Hydrogen", Energy[[Fuel_category]:[Fuel_category]],$B293),"")</f>
        <v>0</v>
      </c>
      <c r="AB293" s="28">
        <f ca="1">IFERROR(SUMIFS(Energy[2046_TWh],Energy[[Sector]:[Sector]],"Hydrogen", Energy[[Fuel_category]:[Fuel_category]],$B293),"")</f>
        <v>0</v>
      </c>
      <c r="AC293" s="28">
        <f ca="1">IFERROR(SUMIFS(Energy[2047_TWh],Energy[[Sector]:[Sector]],"Hydrogen", Energy[[Fuel_category]:[Fuel_category]],$B293),"")</f>
        <v>0</v>
      </c>
      <c r="AD293" s="28">
        <f ca="1">IFERROR(SUMIFS(Energy[2048_TWh],Energy[[Sector]:[Sector]],"Hydrogen", Energy[[Fuel_category]:[Fuel_category]],$B293),"")</f>
        <v>0</v>
      </c>
      <c r="AE293" s="28">
        <f ca="1">IFERROR(SUMIFS(Energy[2049_TWh],Energy[[Sector]:[Sector]],"Hydrogen", Energy[[Fuel_category]:[Fuel_category]],$B293),"")</f>
        <v>0</v>
      </c>
      <c r="AF293" s="28">
        <f ca="1">IFERROR(SUMIFS(Energy[2050_TWh],Energy[[Sector]:[Sector]],"Hydrogen", Energy[[Fuel_category]:[Fuel_category]],$B293),"")</f>
        <v>0</v>
      </c>
      <c r="AG293" s="28">
        <f ca="1">IFERROR(SUMIFS(Energy[2051_TWh],Energy[[Sector]:[Sector]],"Hydrogen", Energy[[Fuel_category]:[Fuel_category]],$B293),"")</f>
        <v>0</v>
      </c>
    </row>
    <row r="294" spans="1:33" x14ac:dyDescent="0.45">
      <c r="A294" s="2"/>
      <c r="B294" s="21" t="s">
        <v>111</v>
      </c>
      <c r="C294" s="28">
        <f ca="1">IFERROR(SUMIFS(Energy[2021_TWh],Energy[[Sector]:[Sector]],"Hydrogen", Energy[[Fuel_category]:[Fuel_category]],$B294),"")</f>
        <v>0</v>
      </c>
      <c r="D294" s="28">
        <f ca="1">IFERROR(SUMIFS(Energy[2022_TWh],Energy[[Sector]:[Sector]],"Hydrogen", Energy[[Fuel_category]:[Fuel_category]],$B294),"")</f>
        <v>0</v>
      </c>
      <c r="E294" s="28">
        <f ca="1">IFERROR(SUMIFS(Energy[2023_TWh],Energy[[Sector]:[Sector]],"Hydrogen", Energy[[Fuel_category]:[Fuel_category]],$B294),"")</f>
        <v>0</v>
      </c>
      <c r="F294" s="28">
        <f ca="1">IFERROR(SUMIFS(Energy[2024_TWh],Energy[[Sector]:[Sector]],"Hydrogen", Energy[[Fuel_category]:[Fuel_category]],$B294),"")</f>
        <v>0</v>
      </c>
      <c r="G294" s="28">
        <f ca="1">IFERROR(SUMIFS(Energy[2025_TWh],Energy[[Sector]:[Sector]],"Hydrogen", Energy[[Fuel_category]:[Fuel_category]],$B294),"")</f>
        <v>0</v>
      </c>
      <c r="H294" s="28">
        <f ca="1">IFERROR(SUMIFS(Energy[2026_TWh],Energy[[Sector]:[Sector]],"Hydrogen", Energy[[Fuel_category]:[Fuel_category]],$B294),"")</f>
        <v>0</v>
      </c>
      <c r="I294" s="28">
        <f ca="1">IFERROR(SUMIFS(Energy[2027_TWh],Energy[[Sector]:[Sector]],"Hydrogen", Energy[[Fuel_category]:[Fuel_category]],$B294),"")</f>
        <v>0</v>
      </c>
      <c r="J294" s="28">
        <f ca="1">IFERROR(SUMIFS(Energy[2028_TWh],Energy[[Sector]:[Sector]],"Hydrogen", Energy[[Fuel_category]:[Fuel_category]],$B294),"")</f>
        <v>0</v>
      </c>
      <c r="K294" s="28">
        <f ca="1">IFERROR(SUMIFS(Energy[2029_TWh],Energy[[Sector]:[Sector]],"Hydrogen", Energy[[Fuel_category]:[Fuel_category]],$B294),"")</f>
        <v>0</v>
      </c>
      <c r="L294" s="28">
        <f ca="1">IFERROR(SUMIFS(Energy[2030_TWh],Energy[[Sector]:[Sector]],"Hydrogen", Energy[[Fuel_category]:[Fuel_category]],$B294),"")</f>
        <v>0</v>
      </c>
      <c r="M294" s="28">
        <f ca="1">IFERROR(SUMIFS(Energy[2031_TWh],Energy[[Sector]:[Sector]],"Hydrogen", Energy[[Fuel_category]:[Fuel_category]],$B294),"")</f>
        <v>0</v>
      </c>
      <c r="N294" s="28">
        <f ca="1">IFERROR(SUMIFS(Energy[2032_TWh],Energy[[Sector]:[Sector]],"Hydrogen", Energy[[Fuel_category]:[Fuel_category]],$B294),"")</f>
        <v>0</v>
      </c>
      <c r="O294" s="28">
        <f ca="1">IFERROR(SUMIFS(Energy[2033_TWh],Energy[[Sector]:[Sector]],"Hydrogen", Energy[[Fuel_category]:[Fuel_category]],$B294),"")</f>
        <v>0</v>
      </c>
      <c r="P294" s="28">
        <f ca="1">IFERROR(SUMIFS(Energy[2034_TWh],Energy[[Sector]:[Sector]],"Hydrogen", Energy[[Fuel_category]:[Fuel_category]],$B294),"")</f>
        <v>0</v>
      </c>
      <c r="Q294" s="28">
        <f ca="1">IFERROR(SUMIFS(Energy[2035_TWh],Energy[[Sector]:[Sector]],"Hydrogen", Energy[[Fuel_category]:[Fuel_category]],$B294),"")</f>
        <v>0</v>
      </c>
      <c r="R294" s="28">
        <f ca="1">IFERROR(SUMIFS(Energy[2036_TWh],Energy[[Sector]:[Sector]],"Hydrogen", Energy[[Fuel_category]:[Fuel_category]],$B294),"")</f>
        <v>0</v>
      </c>
      <c r="S294" s="28">
        <f ca="1">IFERROR(SUMIFS(Energy[2037_TWh],Energy[[Sector]:[Sector]],"Hydrogen", Energy[[Fuel_category]:[Fuel_category]],$B294),"")</f>
        <v>0</v>
      </c>
      <c r="T294" s="28">
        <f ca="1">IFERROR(SUMIFS(Energy[2038_TWh],Energy[[Sector]:[Sector]],"Hydrogen", Energy[[Fuel_category]:[Fuel_category]],$B294),"")</f>
        <v>0</v>
      </c>
      <c r="U294" s="28">
        <f ca="1">IFERROR(SUMIFS(Energy[2039_TWh],Energy[[Sector]:[Sector]],"Hydrogen", Energy[[Fuel_category]:[Fuel_category]],$B294),"")</f>
        <v>0</v>
      </c>
      <c r="V294" s="28">
        <f ca="1">IFERROR(SUMIFS(Energy[2040_TWh],Energy[[Sector]:[Sector]],"Hydrogen", Energy[[Fuel_category]:[Fuel_category]],$B294),"")</f>
        <v>0</v>
      </c>
      <c r="W294" s="28">
        <f ca="1">IFERROR(SUMIFS(Energy[2041_TWh],Energy[[Sector]:[Sector]],"Hydrogen", Energy[[Fuel_category]:[Fuel_category]],$B294),"")</f>
        <v>0</v>
      </c>
      <c r="X294" s="28">
        <f ca="1">IFERROR(SUMIFS(Energy[2042_TWh],Energy[[Sector]:[Sector]],"Hydrogen", Energy[[Fuel_category]:[Fuel_category]],$B294),"")</f>
        <v>0</v>
      </c>
      <c r="Y294" s="28">
        <f ca="1">IFERROR(SUMIFS(Energy[2043_TWh],Energy[[Sector]:[Sector]],"Hydrogen", Energy[[Fuel_category]:[Fuel_category]],$B294),"")</f>
        <v>0</v>
      </c>
      <c r="Z294" s="28">
        <f ca="1">IFERROR(SUMIFS(Energy[2044_TWh],Energy[[Sector]:[Sector]],"Hydrogen", Energy[[Fuel_category]:[Fuel_category]],$B294),"")</f>
        <v>0</v>
      </c>
      <c r="AA294" s="28">
        <f ca="1">IFERROR(SUMIFS(Energy[2045_TWh],Energy[[Sector]:[Sector]],"Hydrogen", Energy[[Fuel_category]:[Fuel_category]],$B294),"")</f>
        <v>0</v>
      </c>
      <c r="AB294" s="28">
        <f ca="1">IFERROR(SUMIFS(Energy[2046_TWh],Energy[[Sector]:[Sector]],"Hydrogen", Energy[[Fuel_category]:[Fuel_category]],$B294),"")</f>
        <v>0</v>
      </c>
      <c r="AC294" s="28">
        <f ca="1">IFERROR(SUMIFS(Energy[2047_TWh],Energy[[Sector]:[Sector]],"Hydrogen", Energy[[Fuel_category]:[Fuel_category]],$B294),"")</f>
        <v>0</v>
      </c>
      <c r="AD294" s="28">
        <f ca="1">IFERROR(SUMIFS(Energy[2048_TWh],Energy[[Sector]:[Sector]],"Hydrogen", Energy[[Fuel_category]:[Fuel_category]],$B294),"")</f>
        <v>0</v>
      </c>
      <c r="AE294" s="28">
        <f ca="1">IFERROR(SUMIFS(Energy[2049_TWh],Energy[[Sector]:[Sector]],"Hydrogen", Energy[[Fuel_category]:[Fuel_category]],$B294),"")</f>
        <v>0</v>
      </c>
      <c r="AF294" s="28">
        <f ca="1">IFERROR(SUMIFS(Energy[2050_TWh],Energy[[Sector]:[Sector]],"Hydrogen", Energy[[Fuel_category]:[Fuel_category]],$B294),"")</f>
        <v>0</v>
      </c>
      <c r="AG294" s="28">
        <f ca="1">IFERROR(SUMIFS(Energy[2051_TWh],Energy[[Sector]:[Sector]],"Hydrogen", Energy[[Fuel_category]:[Fuel_category]],$B294),"")</f>
        <v>0</v>
      </c>
    </row>
    <row r="295" spans="1:33" ht="14.65" thickBot="1" x14ac:dyDescent="0.5">
      <c r="A295" s="2"/>
      <c r="B295" s="29" t="s">
        <v>124</v>
      </c>
      <c r="C295" s="31">
        <f ca="1">IF(C105&lt;&gt;"",SUM(C288:C293),"")</f>
        <v>0</v>
      </c>
      <c r="D295" s="31">
        <f t="shared" ref="D295:AF295" ca="1" si="60">IF(D105&lt;&gt;"",SUM(D288:D293),"")</f>
        <v>0</v>
      </c>
      <c r="E295" s="31">
        <f t="shared" ca="1" si="60"/>
        <v>0</v>
      </c>
      <c r="F295" s="31">
        <f t="shared" ca="1" si="60"/>
        <v>0</v>
      </c>
      <c r="G295" s="31">
        <f t="shared" ca="1" si="60"/>
        <v>0</v>
      </c>
      <c r="H295" s="31">
        <f t="shared" ca="1" si="60"/>
        <v>0</v>
      </c>
      <c r="I295" s="31">
        <f t="shared" ca="1" si="60"/>
        <v>0</v>
      </c>
      <c r="J295" s="31">
        <f t="shared" ca="1" si="60"/>
        <v>0</v>
      </c>
      <c r="K295" s="31">
        <f t="shared" ca="1" si="60"/>
        <v>0</v>
      </c>
      <c r="L295" s="31">
        <f t="shared" ca="1" si="60"/>
        <v>0</v>
      </c>
      <c r="M295" s="31">
        <f t="shared" ca="1" si="60"/>
        <v>0</v>
      </c>
      <c r="N295" s="31">
        <f t="shared" ca="1" si="60"/>
        <v>0</v>
      </c>
      <c r="O295" s="31">
        <f t="shared" ca="1" si="60"/>
        <v>0</v>
      </c>
      <c r="P295" s="31">
        <f t="shared" ca="1" si="60"/>
        <v>0</v>
      </c>
      <c r="Q295" s="31">
        <f t="shared" ca="1" si="60"/>
        <v>0</v>
      </c>
      <c r="R295" s="31">
        <f t="shared" ca="1" si="60"/>
        <v>0</v>
      </c>
      <c r="S295" s="31">
        <f t="shared" ca="1" si="60"/>
        <v>0</v>
      </c>
      <c r="T295" s="31">
        <f t="shared" ca="1" si="60"/>
        <v>0</v>
      </c>
      <c r="U295" s="31">
        <f t="shared" ca="1" si="60"/>
        <v>0</v>
      </c>
      <c r="V295" s="31">
        <f t="shared" ca="1" si="60"/>
        <v>0</v>
      </c>
      <c r="W295" s="31">
        <f t="shared" ca="1" si="60"/>
        <v>0</v>
      </c>
      <c r="X295" s="31">
        <f t="shared" ca="1" si="60"/>
        <v>0</v>
      </c>
      <c r="Y295" s="31">
        <f t="shared" ca="1" si="60"/>
        <v>0</v>
      </c>
      <c r="Z295" s="31">
        <f t="shared" ca="1" si="60"/>
        <v>0</v>
      </c>
      <c r="AA295" s="31">
        <f t="shared" ca="1" si="60"/>
        <v>0</v>
      </c>
      <c r="AB295" s="31">
        <f t="shared" ca="1" si="60"/>
        <v>0</v>
      </c>
      <c r="AC295" s="31">
        <f t="shared" ca="1" si="60"/>
        <v>0</v>
      </c>
      <c r="AD295" s="31">
        <f t="shared" ca="1" si="60"/>
        <v>0</v>
      </c>
      <c r="AE295" s="31">
        <f t="shared" ca="1" si="60"/>
        <v>0</v>
      </c>
      <c r="AF295" s="31">
        <f t="shared" ca="1" si="60"/>
        <v>0</v>
      </c>
      <c r="AG295" s="31">
        <f t="shared" ref="AG295" ca="1" si="61">IF(AG105&lt;&gt;"",SUM(AG288:AG293),"")</f>
        <v>0</v>
      </c>
    </row>
    <row r="296" spans="1:33" ht="14.65" thickTop="1" x14ac:dyDescent="0.45">
      <c r="A296" s="2"/>
      <c r="B296" s="6"/>
    </row>
    <row r="297" spans="1:33" ht="23.25" x14ac:dyDescent="0.7">
      <c r="A297" s="10" t="s">
        <v>135</v>
      </c>
      <c r="B297" s="8" t="s">
        <v>11</v>
      </c>
    </row>
    <row r="298" spans="1:33" x14ac:dyDescent="0.45">
      <c r="A298" s="2"/>
      <c r="B298" s="6"/>
    </row>
    <row r="299" spans="1:33" x14ac:dyDescent="0.45">
      <c r="A299" s="2"/>
      <c r="B299" s="6"/>
      <c r="C299" s="6">
        <v>2021</v>
      </c>
      <c r="D299" s="6">
        <v>2022</v>
      </c>
      <c r="E299" s="6">
        <v>2023</v>
      </c>
      <c r="F299" s="6">
        <v>2024</v>
      </c>
      <c r="G299" s="6">
        <v>2025</v>
      </c>
      <c r="H299" s="6">
        <v>2026</v>
      </c>
      <c r="I299" s="6">
        <v>2027</v>
      </c>
      <c r="J299" s="6">
        <v>2028</v>
      </c>
      <c r="K299" s="6">
        <v>2029</v>
      </c>
      <c r="L299" s="6">
        <v>2030</v>
      </c>
      <c r="M299" s="6">
        <v>2031</v>
      </c>
      <c r="N299" s="6">
        <v>2032</v>
      </c>
      <c r="O299" s="6">
        <v>2033</v>
      </c>
      <c r="P299" s="6">
        <v>2034</v>
      </c>
      <c r="Q299" s="6">
        <v>2035</v>
      </c>
      <c r="R299" s="6">
        <v>2036</v>
      </c>
      <c r="S299" s="6">
        <v>2037</v>
      </c>
      <c r="T299" s="6">
        <v>2038</v>
      </c>
      <c r="U299" s="6">
        <v>2039</v>
      </c>
      <c r="V299" s="6">
        <v>2040</v>
      </c>
      <c r="W299" s="6">
        <v>2041</v>
      </c>
      <c r="X299" s="6">
        <v>2042</v>
      </c>
      <c r="Y299" s="6">
        <v>2043</v>
      </c>
      <c r="Z299" s="6">
        <v>2044</v>
      </c>
      <c r="AA299" s="6">
        <v>2045</v>
      </c>
      <c r="AB299" s="6">
        <v>2046</v>
      </c>
      <c r="AC299" s="6">
        <v>2047</v>
      </c>
      <c r="AD299" s="6">
        <v>2048</v>
      </c>
      <c r="AE299" s="6">
        <v>2049</v>
      </c>
      <c r="AF299" s="6">
        <v>2050</v>
      </c>
      <c r="AG299" s="6">
        <v>2051</v>
      </c>
    </row>
    <row r="300" spans="1:33" x14ac:dyDescent="0.45">
      <c r="A300" s="2"/>
      <c r="B300" s="21" t="s">
        <v>82</v>
      </c>
      <c r="C300" s="28">
        <f ca="1">IFERROR(SUMIFS(Energy[2021_TWh],Energy[[Sector]:[Sector]],"Refineries", Energy[[Fuel_category]:[Fuel_category]],$B300),"")</f>
        <v>0</v>
      </c>
      <c r="D300" s="28">
        <f ca="1">IFERROR(SUMIFS(Energy[2022_TWh],Energy[[Sector]:[Sector]],"Refineries", Energy[[Fuel_category]:[Fuel_category]],$B300),"")</f>
        <v>0</v>
      </c>
      <c r="E300" s="28">
        <f ca="1">IFERROR(SUMIFS(Energy[2023_TWh],Energy[[Sector]:[Sector]],"Refineries", Energy[[Fuel_category]:[Fuel_category]],$B300),"")</f>
        <v>0</v>
      </c>
      <c r="F300" s="28">
        <f ca="1">IFERROR(SUMIFS(Energy[2024_TWh],Energy[[Sector]:[Sector]],"Refineries", Energy[[Fuel_category]:[Fuel_category]],$B300),"")</f>
        <v>0</v>
      </c>
      <c r="G300" s="28">
        <f ca="1">IFERROR(SUMIFS(Energy[2025_TWh],Energy[[Sector]:[Sector]],"Refineries", Energy[[Fuel_category]:[Fuel_category]],$B300),"")</f>
        <v>0</v>
      </c>
      <c r="H300" s="28">
        <f ca="1">IFERROR(SUMIFS(Energy[2026_TWh],Energy[[Sector]:[Sector]],"Refineries", Energy[[Fuel_category]:[Fuel_category]],$B300),"")</f>
        <v>0</v>
      </c>
      <c r="I300" s="28">
        <f ca="1">IFERROR(SUMIFS(Energy[2027_TWh],Energy[[Sector]:[Sector]],"Refineries", Energy[[Fuel_category]:[Fuel_category]],$B300),"")</f>
        <v>0</v>
      </c>
      <c r="J300" s="28">
        <f ca="1">IFERROR(SUMIFS(Energy[2028_TWh],Energy[[Sector]:[Sector]],"Refineries", Energy[[Fuel_category]:[Fuel_category]],$B300),"")</f>
        <v>0</v>
      </c>
      <c r="K300" s="28">
        <f ca="1">IFERROR(SUMIFS(Energy[2029_TWh],Energy[[Sector]:[Sector]],"Refineries", Energy[[Fuel_category]:[Fuel_category]],$B300),"")</f>
        <v>0</v>
      </c>
      <c r="L300" s="28">
        <f ca="1">IFERROR(SUMIFS(Energy[2030_TWh],Energy[[Sector]:[Sector]],"Refineries", Energy[[Fuel_category]:[Fuel_category]],$B300),"")</f>
        <v>0</v>
      </c>
      <c r="M300" s="28">
        <f ca="1">IFERROR(SUMIFS(Energy[2031_TWh],Energy[[Sector]:[Sector]],"Refineries", Energy[[Fuel_category]:[Fuel_category]],$B300),"")</f>
        <v>0</v>
      </c>
      <c r="N300" s="28">
        <f ca="1">IFERROR(SUMIFS(Energy[2032_TWh],Energy[[Sector]:[Sector]],"Refineries", Energy[[Fuel_category]:[Fuel_category]],$B300),"")</f>
        <v>0</v>
      </c>
      <c r="O300" s="28">
        <f ca="1">IFERROR(SUMIFS(Energy[2033_TWh],Energy[[Sector]:[Sector]],"Refineries", Energy[[Fuel_category]:[Fuel_category]],$B300),"")</f>
        <v>0</v>
      </c>
      <c r="P300" s="28">
        <f ca="1">IFERROR(SUMIFS(Energy[2034_TWh],Energy[[Sector]:[Sector]],"Refineries", Energy[[Fuel_category]:[Fuel_category]],$B300),"")</f>
        <v>0</v>
      </c>
      <c r="Q300" s="28">
        <f ca="1">IFERROR(SUMIFS(Energy[2035_TWh],Energy[[Sector]:[Sector]],"Refineries", Energy[[Fuel_category]:[Fuel_category]],$B300),"")</f>
        <v>0</v>
      </c>
      <c r="R300" s="28">
        <f ca="1">IFERROR(SUMIFS(Energy[2036_TWh],Energy[[Sector]:[Sector]],"Refineries", Energy[[Fuel_category]:[Fuel_category]],$B300),"")</f>
        <v>0</v>
      </c>
      <c r="S300" s="28">
        <f ca="1">IFERROR(SUMIFS(Energy[2037_TWh],Energy[[Sector]:[Sector]],"Refineries", Energy[[Fuel_category]:[Fuel_category]],$B300),"")</f>
        <v>0</v>
      </c>
      <c r="T300" s="28">
        <f ca="1">IFERROR(SUMIFS(Energy[2038_TWh],Energy[[Sector]:[Sector]],"Refineries", Energy[[Fuel_category]:[Fuel_category]],$B300),"")</f>
        <v>0</v>
      </c>
      <c r="U300" s="28">
        <f ca="1">IFERROR(SUMIFS(Energy[2039_TWh],Energy[[Sector]:[Sector]],"Refineries", Energy[[Fuel_category]:[Fuel_category]],$B300),"")</f>
        <v>0</v>
      </c>
      <c r="V300" s="28">
        <f ca="1">IFERROR(SUMIFS(Energy[2040_TWh],Energy[[Sector]:[Sector]],"Refineries", Energy[[Fuel_category]:[Fuel_category]],$B300),"")</f>
        <v>0</v>
      </c>
      <c r="W300" s="28">
        <f ca="1">IFERROR(SUMIFS(Energy[2041_TWh],Energy[[Sector]:[Sector]],"Refineries", Energy[[Fuel_category]:[Fuel_category]],$B300),"")</f>
        <v>0</v>
      </c>
      <c r="X300" s="28">
        <f ca="1">IFERROR(SUMIFS(Energy[2042_TWh],Energy[[Sector]:[Sector]],"Refineries", Energy[[Fuel_category]:[Fuel_category]],$B300),"")</f>
        <v>0</v>
      </c>
      <c r="Y300" s="28">
        <f ca="1">IFERROR(SUMIFS(Energy[2043_TWh],Energy[[Sector]:[Sector]],"Refineries", Energy[[Fuel_category]:[Fuel_category]],$B300),"")</f>
        <v>0</v>
      </c>
      <c r="Z300" s="28">
        <f ca="1">IFERROR(SUMIFS(Energy[2044_TWh],Energy[[Sector]:[Sector]],"Refineries", Energy[[Fuel_category]:[Fuel_category]],$B300),"")</f>
        <v>0</v>
      </c>
      <c r="AA300" s="28">
        <f ca="1">IFERROR(SUMIFS(Energy[2045_TWh],Energy[[Sector]:[Sector]],"Refineries", Energy[[Fuel_category]:[Fuel_category]],$B300),"")</f>
        <v>0</v>
      </c>
      <c r="AB300" s="28">
        <f ca="1">IFERROR(SUMIFS(Energy[2046_TWh],Energy[[Sector]:[Sector]],"Refineries", Energy[[Fuel_category]:[Fuel_category]],$B300),"")</f>
        <v>0</v>
      </c>
      <c r="AC300" s="28">
        <f ca="1">IFERROR(SUMIFS(Energy[2047_TWh],Energy[[Sector]:[Sector]],"Refineries", Energy[[Fuel_category]:[Fuel_category]],$B300),"")</f>
        <v>0</v>
      </c>
      <c r="AD300" s="28">
        <f ca="1">IFERROR(SUMIFS(Energy[2048_TWh],Energy[[Sector]:[Sector]],"Refineries", Energy[[Fuel_category]:[Fuel_category]],$B300),"")</f>
        <v>0</v>
      </c>
      <c r="AE300" s="28">
        <f ca="1">IFERROR(SUMIFS(Energy[2049_TWh],Energy[[Sector]:[Sector]],"Refineries", Energy[[Fuel_category]:[Fuel_category]],$B300),"")</f>
        <v>0</v>
      </c>
      <c r="AF300" s="28">
        <f ca="1">IFERROR(SUMIFS(Energy[2050_TWh],Energy[[Sector]:[Sector]],"Refineries", Energy[[Fuel_category]:[Fuel_category]],$B300),"")</f>
        <v>0</v>
      </c>
      <c r="AG300" s="28">
        <f ca="1">IFERROR(SUMIFS(Energy[2051_TWh],Energy[[Sector]:[Sector]],"Refineries", Energy[[Fuel_category]:[Fuel_category]],$B300),"")</f>
        <v>0</v>
      </c>
    </row>
    <row r="301" spans="1:33" x14ac:dyDescent="0.45">
      <c r="A301" s="2"/>
      <c r="B301" s="21" t="s">
        <v>83</v>
      </c>
      <c r="C301" s="28">
        <f ca="1">IFERROR(SUMIFS(Energy[2021_TWh],Energy[[Sector]:[Sector]],"Refineries", Energy[[Fuel_category]:[Fuel_category]],$B301),"")</f>
        <v>0</v>
      </c>
      <c r="D301" s="28">
        <f ca="1">IFERROR(SUMIFS(Energy[2022_TWh],Energy[[Sector]:[Sector]],"Refineries", Energy[[Fuel_category]:[Fuel_category]],$B301),"")</f>
        <v>0</v>
      </c>
      <c r="E301" s="28">
        <f ca="1">IFERROR(SUMIFS(Energy[2023_TWh],Energy[[Sector]:[Sector]],"Refineries", Energy[[Fuel_category]:[Fuel_category]],$B301),"")</f>
        <v>0</v>
      </c>
      <c r="F301" s="28">
        <f ca="1">IFERROR(SUMIFS(Energy[2024_TWh],Energy[[Sector]:[Sector]],"Refineries", Energy[[Fuel_category]:[Fuel_category]],$B301),"")</f>
        <v>0</v>
      </c>
      <c r="G301" s="28">
        <f ca="1">IFERROR(SUMIFS(Energy[2025_TWh],Energy[[Sector]:[Sector]],"Refineries", Energy[[Fuel_category]:[Fuel_category]],$B301),"")</f>
        <v>0</v>
      </c>
      <c r="H301" s="28">
        <f ca="1">IFERROR(SUMIFS(Energy[2026_TWh],Energy[[Sector]:[Sector]],"Refineries", Energy[[Fuel_category]:[Fuel_category]],$B301),"")</f>
        <v>0</v>
      </c>
      <c r="I301" s="28">
        <f ca="1">IFERROR(SUMIFS(Energy[2027_TWh],Energy[[Sector]:[Sector]],"Refineries", Energy[[Fuel_category]:[Fuel_category]],$B301),"")</f>
        <v>0</v>
      </c>
      <c r="J301" s="28">
        <f ca="1">IFERROR(SUMIFS(Energy[2028_TWh],Energy[[Sector]:[Sector]],"Refineries", Energy[[Fuel_category]:[Fuel_category]],$B301),"")</f>
        <v>0</v>
      </c>
      <c r="K301" s="28">
        <f ca="1">IFERROR(SUMIFS(Energy[2029_TWh],Energy[[Sector]:[Sector]],"Refineries", Energy[[Fuel_category]:[Fuel_category]],$B301),"")</f>
        <v>0</v>
      </c>
      <c r="L301" s="28">
        <f ca="1">IFERROR(SUMIFS(Energy[2030_TWh],Energy[[Sector]:[Sector]],"Refineries", Energy[[Fuel_category]:[Fuel_category]],$B301),"")</f>
        <v>0</v>
      </c>
      <c r="M301" s="28">
        <f ca="1">IFERROR(SUMIFS(Energy[2031_TWh],Energy[[Sector]:[Sector]],"Refineries", Energy[[Fuel_category]:[Fuel_category]],$B301),"")</f>
        <v>0</v>
      </c>
      <c r="N301" s="28">
        <f ca="1">IFERROR(SUMIFS(Energy[2032_TWh],Energy[[Sector]:[Sector]],"Refineries", Energy[[Fuel_category]:[Fuel_category]],$B301),"")</f>
        <v>0</v>
      </c>
      <c r="O301" s="28">
        <f ca="1">IFERROR(SUMIFS(Energy[2033_TWh],Energy[[Sector]:[Sector]],"Refineries", Energy[[Fuel_category]:[Fuel_category]],$B301),"")</f>
        <v>0</v>
      </c>
      <c r="P301" s="28">
        <f ca="1">IFERROR(SUMIFS(Energy[2034_TWh],Energy[[Sector]:[Sector]],"Refineries", Energy[[Fuel_category]:[Fuel_category]],$B301),"")</f>
        <v>0</v>
      </c>
      <c r="Q301" s="28">
        <f ca="1">IFERROR(SUMIFS(Energy[2035_TWh],Energy[[Sector]:[Sector]],"Refineries", Energy[[Fuel_category]:[Fuel_category]],$B301),"")</f>
        <v>0</v>
      </c>
      <c r="R301" s="28">
        <f ca="1">IFERROR(SUMIFS(Energy[2036_TWh],Energy[[Sector]:[Sector]],"Refineries", Energy[[Fuel_category]:[Fuel_category]],$B301),"")</f>
        <v>0</v>
      </c>
      <c r="S301" s="28">
        <f ca="1">IFERROR(SUMIFS(Energy[2037_TWh],Energy[[Sector]:[Sector]],"Refineries", Energy[[Fuel_category]:[Fuel_category]],$B301),"")</f>
        <v>0</v>
      </c>
      <c r="T301" s="28">
        <f ca="1">IFERROR(SUMIFS(Energy[2038_TWh],Energy[[Sector]:[Sector]],"Refineries", Energy[[Fuel_category]:[Fuel_category]],$B301),"")</f>
        <v>0</v>
      </c>
      <c r="U301" s="28">
        <f ca="1">IFERROR(SUMIFS(Energy[2039_TWh],Energy[[Sector]:[Sector]],"Refineries", Energy[[Fuel_category]:[Fuel_category]],$B301),"")</f>
        <v>0</v>
      </c>
      <c r="V301" s="28">
        <f ca="1">IFERROR(SUMIFS(Energy[2040_TWh],Energy[[Sector]:[Sector]],"Refineries", Energy[[Fuel_category]:[Fuel_category]],$B301),"")</f>
        <v>0</v>
      </c>
      <c r="W301" s="28">
        <f ca="1">IFERROR(SUMIFS(Energy[2041_TWh],Energy[[Sector]:[Sector]],"Refineries", Energy[[Fuel_category]:[Fuel_category]],$B301),"")</f>
        <v>0</v>
      </c>
      <c r="X301" s="28">
        <f ca="1">IFERROR(SUMIFS(Energy[2042_TWh],Energy[[Sector]:[Sector]],"Refineries", Energy[[Fuel_category]:[Fuel_category]],$B301),"")</f>
        <v>0</v>
      </c>
      <c r="Y301" s="28">
        <f ca="1">IFERROR(SUMIFS(Energy[2043_TWh],Energy[[Sector]:[Sector]],"Refineries", Energy[[Fuel_category]:[Fuel_category]],$B301),"")</f>
        <v>0</v>
      </c>
      <c r="Z301" s="28">
        <f ca="1">IFERROR(SUMIFS(Energy[2044_TWh],Energy[[Sector]:[Sector]],"Refineries", Energy[[Fuel_category]:[Fuel_category]],$B301),"")</f>
        <v>0</v>
      </c>
      <c r="AA301" s="28">
        <f ca="1">IFERROR(SUMIFS(Energy[2045_TWh],Energy[[Sector]:[Sector]],"Refineries", Energy[[Fuel_category]:[Fuel_category]],$B301),"")</f>
        <v>0</v>
      </c>
      <c r="AB301" s="28">
        <f ca="1">IFERROR(SUMIFS(Energy[2046_TWh],Energy[[Sector]:[Sector]],"Refineries", Energy[[Fuel_category]:[Fuel_category]],$B301),"")</f>
        <v>0</v>
      </c>
      <c r="AC301" s="28">
        <f ca="1">IFERROR(SUMIFS(Energy[2047_TWh],Energy[[Sector]:[Sector]],"Refineries", Energy[[Fuel_category]:[Fuel_category]],$B301),"")</f>
        <v>0</v>
      </c>
      <c r="AD301" s="28">
        <f ca="1">IFERROR(SUMIFS(Energy[2048_TWh],Energy[[Sector]:[Sector]],"Refineries", Energy[[Fuel_category]:[Fuel_category]],$B301),"")</f>
        <v>0</v>
      </c>
      <c r="AE301" s="28">
        <f ca="1">IFERROR(SUMIFS(Energy[2049_TWh],Energy[[Sector]:[Sector]],"Refineries", Energy[[Fuel_category]:[Fuel_category]],$B301),"")</f>
        <v>0</v>
      </c>
      <c r="AF301" s="28">
        <f ca="1">IFERROR(SUMIFS(Energy[2050_TWh],Energy[[Sector]:[Sector]],"Refineries", Energy[[Fuel_category]:[Fuel_category]],$B301),"")</f>
        <v>0</v>
      </c>
      <c r="AG301" s="28">
        <f ca="1">IFERROR(SUMIFS(Energy[2051_TWh],Energy[[Sector]:[Sector]],"Refineries", Energy[[Fuel_category]:[Fuel_category]],$B301),"")</f>
        <v>0</v>
      </c>
    </row>
    <row r="302" spans="1:33" x14ac:dyDescent="0.45">
      <c r="A302" s="2"/>
      <c r="B302" s="21" t="s">
        <v>67</v>
      </c>
      <c r="C302" s="28">
        <f ca="1">IFERROR(SUMIFS(Energy[2021_TWh],Energy[[Sector]:[Sector]],"Refineries", Energy[[Fuel_category]:[Fuel_category]],$B302),"")</f>
        <v>0</v>
      </c>
      <c r="D302" s="28">
        <f ca="1">IFERROR(SUMIFS(Energy[2022_TWh],Energy[[Sector]:[Sector]],"Refineries", Energy[[Fuel_category]:[Fuel_category]],$B302),"")</f>
        <v>0</v>
      </c>
      <c r="E302" s="28">
        <f ca="1">IFERROR(SUMIFS(Energy[2023_TWh],Energy[[Sector]:[Sector]],"Refineries", Energy[[Fuel_category]:[Fuel_category]],$B302),"")</f>
        <v>0</v>
      </c>
      <c r="F302" s="28">
        <f ca="1">IFERROR(SUMIFS(Energy[2024_TWh],Energy[[Sector]:[Sector]],"Refineries", Energy[[Fuel_category]:[Fuel_category]],$B302),"")</f>
        <v>0</v>
      </c>
      <c r="G302" s="28">
        <f ca="1">IFERROR(SUMIFS(Energy[2025_TWh],Energy[[Sector]:[Sector]],"Refineries", Energy[[Fuel_category]:[Fuel_category]],$B302),"")</f>
        <v>0</v>
      </c>
      <c r="H302" s="28">
        <f ca="1">IFERROR(SUMIFS(Energy[2026_TWh],Energy[[Sector]:[Sector]],"Refineries", Energy[[Fuel_category]:[Fuel_category]],$B302),"")</f>
        <v>0</v>
      </c>
      <c r="I302" s="28">
        <f ca="1">IFERROR(SUMIFS(Energy[2027_TWh],Energy[[Sector]:[Sector]],"Refineries", Energy[[Fuel_category]:[Fuel_category]],$B302),"")</f>
        <v>0</v>
      </c>
      <c r="J302" s="28">
        <f ca="1">IFERROR(SUMIFS(Energy[2028_TWh],Energy[[Sector]:[Sector]],"Refineries", Energy[[Fuel_category]:[Fuel_category]],$B302),"")</f>
        <v>0</v>
      </c>
      <c r="K302" s="28">
        <f ca="1">IFERROR(SUMIFS(Energy[2029_TWh],Energy[[Sector]:[Sector]],"Refineries", Energy[[Fuel_category]:[Fuel_category]],$B302),"")</f>
        <v>0</v>
      </c>
      <c r="L302" s="28">
        <f ca="1">IFERROR(SUMIFS(Energy[2030_TWh],Energy[[Sector]:[Sector]],"Refineries", Energy[[Fuel_category]:[Fuel_category]],$B302),"")</f>
        <v>0</v>
      </c>
      <c r="M302" s="28">
        <f ca="1">IFERROR(SUMIFS(Energy[2031_TWh],Energy[[Sector]:[Sector]],"Refineries", Energy[[Fuel_category]:[Fuel_category]],$B302),"")</f>
        <v>0</v>
      </c>
      <c r="N302" s="28">
        <f ca="1">IFERROR(SUMIFS(Energy[2032_TWh],Energy[[Sector]:[Sector]],"Refineries", Energy[[Fuel_category]:[Fuel_category]],$B302),"")</f>
        <v>0</v>
      </c>
      <c r="O302" s="28">
        <f ca="1">IFERROR(SUMIFS(Energy[2033_TWh],Energy[[Sector]:[Sector]],"Refineries", Energy[[Fuel_category]:[Fuel_category]],$B302),"")</f>
        <v>0</v>
      </c>
      <c r="P302" s="28">
        <f ca="1">IFERROR(SUMIFS(Energy[2034_TWh],Energy[[Sector]:[Sector]],"Refineries", Energy[[Fuel_category]:[Fuel_category]],$B302),"")</f>
        <v>0</v>
      </c>
      <c r="Q302" s="28">
        <f ca="1">IFERROR(SUMIFS(Energy[2035_TWh],Energy[[Sector]:[Sector]],"Refineries", Energy[[Fuel_category]:[Fuel_category]],$B302),"")</f>
        <v>0</v>
      </c>
      <c r="R302" s="28">
        <f ca="1">IFERROR(SUMIFS(Energy[2036_TWh],Energy[[Sector]:[Sector]],"Refineries", Energy[[Fuel_category]:[Fuel_category]],$B302),"")</f>
        <v>0</v>
      </c>
      <c r="S302" s="28">
        <f ca="1">IFERROR(SUMIFS(Energy[2037_TWh],Energy[[Sector]:[Sector]],"Refineries", Energy[[Fuel_category]:[Fuel_category]],$B302),"")</f>
        <v>0</v>
      </c>
      <c r="T302" s="28">
        <f ca="1">IFERROR(SUMIFS(Energy[2038_TWh],Energy[[Sector]:[Sector]],"Refineries", Energy[[Fuel_category]:[Fuel_category]],$B302),"")</f>
        <v>0</v>
      </c>
      <c r="U302" s="28">
        <f ca="1">IFERROR(SUMIFS(Energy[2039_TWh],Energy[[Sector]:[Sector]],"Refineries", Energy[[Fuel_category]:[Fuel_category]],$B302),"")</f>
        <v>0</v>
      </c>
      <c r="V302" s="28">
        <f ca="1">IFERROR(SUMIFS(Energy[2040_TWh],Energy[[Sector]:[Sector]],"Refineries", Energy[[Fuel_category]:[Fuel_category]],$B302),"")</f>
        <v>0</v>
      </c>
      <c r="W302" s="28">
        <f ca="1">IFERROR(SUMIFS(Energy[2041_TWh],Energy[[Sector]:[Sector]],"Refineries", Energy[[Fuel_category]:[Fuel_category]],$B302),"")</f>
        <v>0</v>
      </c>
      <c r="X302" s="28">
        <f ca="1">IFERROR(SUMIFS(Energy[2042_TWh],Energy[[Sector]:[Sector]],"Refineries", Energy[[Fuel_category]:[Fuel_category]],$B302),"")</f>
        <v>0</v>
      </c>
      <c r="Y302" s="28">
        <f ca="1">IFERROR(SUMIFS(Energy[2043_TWh],Energy[[Sector]:[Sector]],"Refineries", Energy[[Fuel_category]:[Fuel_category]],$B302),"")</f>
        <v>0</v>
      </c>
      <c r="Z302" s="28">
        <f ca="1">IFERROR(SUMIFS(Energy[2044_TWh],Energy[[Sector]:[Sector]],"Refineries", Energy[[Fuel_category]:[Fuel_category]],$B302),"")</f>
        <v>0</v>
      </c>
      <c r="AA302" s="28">
        <f ca="1">IFERROR(SUMIFS(Energy[2045_TWh],Energy[[Sector]:[Sector]],"Refineries", Energy[[Fuel_category]:[Fuel_category]],$B302),"")</f>
        <v>0</v>
      </c>
      <c r="AB302" s="28">
        <f ca="1">IFERROR(SUMIFS(Energy[2046_TWh],Energy[[Sector]:[Sector]],"Refineries", Energy[[Fuel_category]:[Fuel_category]],$B302),"")</f>
        <v>0</v>
      </c>
      <c r="AC302" s="28">
        <f ca="1">IFERROR(SUMIFS(Energy[2047_TWh],Energy[[Sector]:[Sector]],"Refineries", Energy[[Fuel_category]:[Fuel_category]],$B302),"")</f>
        <v>0</v>
      </c>
      <c r="AD302" s="28">
        <f ca="1">IFERROR(SUMIFS(Energy[2048_TWh],Energy[[Sector]:[Sector]],"Refineries", Energy[[Fuel_category]:[Fuel_category]],$B302),"")</f>
        <v>0</v>
      </c>
      <c r="AE302" s="28">
        <f ca="1">IFERROR(SUMIFS(Energy[2049_TWh],Energy[[Sector]:[Sector]],"Refineries", Energy[[Fuel_category]:[Fuel_category]],$B302),"")</f>
        <v>0</v>
      </c>
      <c r="AF302" s="28">
        <f ca="1">IFERROR(SUMIFS(Energy[2050_TWh],Energy[[Sector]:[Sector]],"Refineries", Energy[[Fuel_category]:[Fuel_category]],$B302),"")</f>
        <v>0</v>
      </c>
      <c r="AG302" s="28">
        <f ca="1">IFERROR(SUMIFS(Energy[2051_TWh],Energy[[Sector]:[Sector]],"Refineries", Energy[[Fuel_category]:[Fuel_category]],$B302),"")</f>
        <v>0</v>
      </c>
    </row>
    <row r="303" spans="1:33" x14ac:dyDescent="0.45">
      <c r="A303" s="2"/>
      <c r="B303" s="21" t="s">
        <v>35</v>
      </c>
      <c r="C303" s="28">
        <f ca="1">IFERROR(SUMIFS(Energy[2021_TWh],Energy[[Sector]:[Sector]],"Refineries", Energy[[Fuel_category]:[Fuel_category]],$B303),"")</f>
        <v>0</v>
      </c>
      <c r="D303" s="28">
        <f ca="1">IFERROR(SUMIFS(Energy[2022_TWh],Energy[[Sector]:[Sector]],"Refineries", Energy[[Fuel_category]:[Fuel_category]],$B303),"")</f>
        <v>0</v>
      </c>
      <c r="E303" s="28">
        <f ca="1">IFERROR(SUMIFS(Energy[2023_TWh],Energy[[Sector]:[Sector]],"Refineries", Energy[[Fuel_category]:[Fuel_category]],$B303),"")</f>
        <v>0</v>
      </c>
      <c r="F303" s="28">
        <f ca="1">IFERROR(SUMIFS(Energy[2024_TWh],Energy[[Sector]:[Sector]],"Refineries", Energy[[Fuel_category]:[Fuel_category]],$B303),"")</f>
        <v>0</v>
      </c>
      <c r="G303" s="28">
        <f ca="1">IFERROR(SUMIFS(Energy[2025_TWh],Energy[[Sector]:[Sector]],"Refineries", Energy[[Fuel_category]:[Fuel_category]],$B303),"")</f>
        <v>0</v>
      </c>
      <c r="H303" s="28">
        <f ca="1">IFERROR(SUMIFS(Energy[2026_TWh],Energy[[Sector]:[Sector]],"Refineries", Energy[[Fuel_category]:[Fuel_category]],$B303),"")</f>
        <v>0</v>
      </c>
      <c r="I303" s="28">
        <f ca="1">IFERROR(SUMIFS(Energy[2027_TWh],Energy[[Sector]:[Sector]],"Refineries", Energy[[Fuel_category]:[Fuel_category]],$B303),"")</f>
        <v>0</v>
      </c>
      <c r="J303" s="28">
        <f ca="1">IFERROR(SUMIFS(Energy[2028_TWh],Energy[[Sector]:[Sector]],"Refineries", Energy[[Fuel_category]:[Fuel_category]],$B303),"")</f>
        <v>0</v>
      </c>
      <c r="K303" s="28">
        <f ca="1">IFERROR(SUMIFS(Energy[2029_TWh],Energy[[Sector]:[Sector]],"Refineries", Energy[[Fuel_category]:[Fuel_category]],$B303),"")</f>
        <v>0</v>
      </c>
      <c r="L303" s="28">
        <f ca="1">IFERROR(SUMIFS(Energy[2030_TWh],Energy[[Sector]:[Sector]],"Refineries", Energy[[Fuel_category]:[Fuel_category]],$B303),"")</f>
        <v>0</v>
      </c>
      <c r="M303" s="28">
        <f ca="1">IFERROR(SUMIFS(Energy[2031_TWh],Energy[[Sector]:[Sector]],"Refineries", Energy[[Fuel_category]:[Fuel_category]],$B303),"")</f>
        <v>0</v>
      </c>
      <c r="N303" s="28">
        <f ca="1">IFERROR(SUMIFS(Energy[2032_TWh],Energy[[Sector]:[Sector]],"Refineries", Energy[[Fuel_category]:[Fuel_category]],$B303),"")</f>
        <v>0</v>
      </c>
      <c r="O303" s="28">
        <f ca="1">IFERROR(SUMIFS(Energy[2033_TWh],Energy[[Sector]:[Sector]],"Refineries", Energy[[Fuel_category]:[Fuel_category]],$B303),"")</f>
        <v>0</v>
      </c>
      <c r="P303" s="28">
        <f ca="1">IFERROR(SUMIFS(Energy[2034_TWh],Energy[[Sector]:[Sector]],"Refineries", Energy[[Fuel_category]:[Fuel_category]],$B303),"")</f>
        <v>0</v>
      </c>
      <c r="Q303" s="28">
        <f ca="1">IFERROR(SUMIFS(Energy[2035_TWh],Energy[[Sector]:[Sector]],"Refineries", Energy[[Fuel_category]:[Fuel_category]],$B303),"")</f>
        <v>0</v>
      </c>
      <c r="R303" s="28">
        <f ca="1">IFERROR(SUMIFS(Energy[2036_TWh],Energy[[Sector]:[Sector]],"Refineries", Energy[[Fuel_category]:[Fuel_category]],$B303),"")</f>
        <v>0</v>
      </c>
      <c r="S303" s="28">
        <f ca="1">IFERROR(SUMIFS(Energy[2037_TWh],Energy[[Sector]:[Sector]],"Refineries", Energy[[Fuel_category]:[Fuel_category]],$B303),"")</f>
        <v>0</v>
      </c>
      <c r="T303" s="28">
        <f ca="1">IFERROR(SUMIFS(Energy[2038_TWh],Energy[[Sector]:[Sector]],"Refineries", Energy[[Fuel_category]:[Fuel_category]],$B303),"")</f>
        <v>0</v>
      </c>
      <c r="U303" s="28">
        <f ca="1">IFERROR(SUMIFS(Energy[2039_TWh],Energy[[Sector]:[Sector]],"Refineries", Energy[[Fuel_category]:[Fuel_category]],$B303),"")</f>
        <v>0</v>
      </c>
      <c r="V303" s="28">
        <f ca="1">IFERROR(SUMIFS(Energy[2040_TWh],Energy[[Sector]:[Sector]],"Refineries", Energy[[Fuel_category]:[Fuel_category]],$B303),"")</f>
        <v>0</v>
      </c>
      <c r="W303" s="28">
        <f ca="1">IFERROR(SUMIFS(Energy[2041_TWh],Energy[[Sector]:[Sector]],"Refineries", Energy[[Fuel_category]:[Fuel_category]],$B303),"")</f>
        <v>0</v>
      </c>
      <c r="X303" s="28">
        <f ca="1">IFERROR(SUMIFS(Energy[2042_TWh],Energy[[Sector]:[Sector]],"Refineries", Energy[[Fuel_category]:[Fuel_category]],$B303),"")</f>
        <v>0</v>
      </c>
      <c r="Y303" s="28">
        <f ca="1">IFERROR(SUMIFS(Energy[2043_TWh],Energy[[Sector]:[Sector]],"Refineries", Energy[[Fuel_category]:[Fuel_category]],$B303),"")</f>
        <v>0</v>
      </c>
      <c r="Z303" s="28">
        <f ca="1">IFERROR(SUMIFS(Energy[2044_TWh],Energy[[Sector]:[Sector]],"Refineries", Energy[[Fuel_category]:[Fuel_category]],$B303),"")</f>
        <v>0</v>
      </c>
      <c r="AA303" s="28">
        <f ca="1">IFERROR(SUMIFS(Energy[2045_TWh],Energy[[Sector]:[Sector]],"Refineries", Energy[[Fuel_category]:[Fuel_category]],$B303),"")</f>
        <v>0</v>
      </c>
      <c r="AB303" s="28">
        <f ca="1">IFERROR(SUMIFS(Energy[2046_TWh],Energy[[Sector]:[Sector]],"Refineries", Energy[[Fuel_category]:[Fuel_category]],$B303),"")</f>
        <v>0</v>
      </c>
      <c r="AC303" s="28">
        <f ca="1">IFERROR(SUMIFS(Energy[2047_TWh],Energy[[Sector]:[Sector]],"Refineries", Energy[[Fuel_category]:[Fuel_category]],$B303),"")</f>
        <v>0</v>
      </c>
      <c r="AD303" s="28">
        <f ca="1">IFERROR(SUMIFS(Energy[2048_TWh],Energy[[Sector]:[Sector]],"Refineries", Energy[[Fuel_category]:[Fuel_category]],$B303),"")</f>
        <v>0</v>
      </c>
      <c r="AE303" s="28">
        <f ca="1">IFERROR(SUMIFS(Energy[2049_TWh],Energy[[Sector]:[Sector]],"Refineries", Energy[[Fuel_category]:[Fuel_category]],$B303),"")</f>
        <v>0</v>
      </c>
      <c r="AF303" s="28">
        <f ca="1">IFERROR(SUMIFS(Energy[2050_TWh],Energy[[Sector]:[Sector]],"Refineries", Energy[[Fuel_category]:[Fuel_category]],$B303),"")</f>
        <v>0</v>
      </c>
      <c r="AG303" s="28">
        <f ca="1">IFERROR(SUMIFS(Energy[2051_TWh],Energy[[Sector]:[Sector]],"Refineries", Energy[[Fuel_category]:[Fuel_category]],$B303),"")</f>
        <v>0</v>
      </c>
    </row>
    <row r="304" spans="1:33" x14ac:dyDescent="0.45">
      <c r="A304" s="2"/>
      <c r="B304" s="21" t="s">
        <v>26</v>
      </c>
      <c r="C304" s="28">
        <f ca="1">IFERROR(SUMIFS(Energy[2021_TWh],Energy[[Sector]:[Sector]],"Refineries", Energy[[Fuel_category]:[Fuel_category]],$B304),"")</f>
        <v>0</v>
      </c>
      <c r="D304" s="28">
        <f ca="1">IFERROR(SUMIFS(Energy[2022_TWh],Energy[[Sector]:[Sector]],"Refineries", Energy[[Fuel_category]:[Fuel_category]],$B304),"")</f>
        <v>0</v>
      </c>
      <c r="E304" s="28">
        <f ca="1">IFERROR(SUMIFS(Energy[2023_TWh],Energy[[Sector]:[Sector]],"Refineries", Energy[[Fuel_category]:[Fuel_category]],$B304),"")</f>
        <v>0</v>
      </c>
      <c r="F304" s="28">
        <f ca="1">IFERROR(SUMIFS(Energy[2024_TWh],Energy[[Sector]:[Sector]],"Refineries", Energy[[Fuel_category]:[Fuel_category]],$B304),"")</f>
        <v>0</v>
      </c>
      <c r="G304" s="28">
        <f ca="1">IFERROR(SUMIFS(Energy[2025_TWh],Energy[[Sector]:[Sector]],"Refineries", Energy[[Fuel_category]:[Fuel_category]],$B304),"")</f>
        <v>0</v>
      </c>
      <c r="H304" s="28">
        <f ca="1">IFERROR(SUMIFS(Energy[2026_TWh],Energy[[Sector]:[Sector]],"Refineries", Energy[[Fuel_category]:[Fuel_category]],$B304),"")</f>
        <v>0</v>
      </c>
      <c r="I304" s="28">
        <f ca="1">IFERROR(SUMIFS(Energy[2027_TWh],Energy[[Sector]:[Sector]],"Refineries", Energy[[Fuel_category]:[Fuel_category]],$B304),"")</f>
        <v>0</v>
      </c>
      <c r="J304" s="28">
        <f ca="1">IFERROR(SUMIFS(Energy[2028_TWh],Energy[[Sector]:[Sector]],"Refineries", Energy[[Fuel_category]:[Fuel_category]],$B304),"")</f>
        <v>0</v>
      </c>
      <c r="K304" s="28">
        <f ca="1">IFERROR(SUMIFS(Energy[2029_TWh],Energy[[Sector]:[Sector]],"Refineries", Energy[[Fuel_category]:[Fuel_category]],$B304),"")</f>
        <v>0</v>
      </c>
      <c r="L304" s="28">
        <f ca="1">IFERROR(SUMIFS(Energy[2030_TWh],Energy[[Sector]:[Sector]],"Refineries", Energy[[Fuel_category]:[Fuel_category]],$B304),"")</f>
        <v>0</v>
      </c>
      <c r="M304" s="28">
        <f ca="1">IFERROR(SUMIFS(Energy[2031_TWh],Energy[[Sector]:[Sector]],"Refineries", Energy[[Fuel_category]:[Fuel_category]],$B304),"")</f>
        <v>0</v>
      </c>
      <c r="N304" s="28">
        <f ca="1">IFERROR(SUMIFS(Energy[2032_TWh],Energy[[Sector]:[Sector]],"Refineries", Energy[[Fuel_category]:[Fuel_category]],$B304),"")</f>
        <v>0</v>
      </c>
      <c r="O304" s="28">
        <f ca="1">IFERROR(SUMIFS(Energy[2033_TWh],Energy[[Sector]:[Sector]],"Refineries", Energy[[Fuel_category]:[Fuel_category]],$B304),"")</f>
        <v>0</v>
      </c>
      <c r="P304" s="28">
        <f ca="1">IFERROR(SUMIFS(Energy[2034_TWh],Energy[[Sector]:[Sector]],"Refineries", Energy[[Fuel_category]:[Fuel_category]],$B304),"")</f>
        <v>0</v>
      </c>
      <c r="Q304" s="28">
        <f ca="1">IFERROR(SUMIFS(Energy[2035_TWh],Energy[[Sector]:[Sector]],"Refineries", Energy[[Fuel_category]:[Fuel_category]],$B304),"")</f>
        <v>0</v>
      </c>
      <c r="R304" s="28">
        <f ca="1">IFERROR(SUMIFS(Energy[2036_TWh],Energy[[Sector]:[Sector]],"Refineries", Energy[[Fuel_category]:[Fuel_category]],$B304),"")</f>
        <v>0</v>
      </c>
      <c r="S304" s="28">
        <f ca="1">IFERROR(SUMIFS(Energy[2037_TWh],Energy[[Sector]:[Sector]],"Refineries", Energy[[Fuel_category]:[Fuel_category]],$B304),"")</f>
        <v>0</v>
      </c>
      <c r="T304" s="28">
        <f ca="1">IFERROR(SUMIFS(Energy[2038_TWh],Energy[[Sector]:[Sector]],"Refineries", Energy[[Fuel_category]:[Fuel_category]],$B304),"")</f>
        <v>0</v>
      </c>
      <c r="U304" s="28">
        <f ca="1">IFERROR(SUMIFS(Energy[2039_TWh],Energy[[Sector]:[Sector]],"Refineries", Energy[[Fuel_category]:[Fuel_category]],$B304),"")</f>
        <v>0</v>
      </c>
      <c r="V304" s="28">
        <f ca="1">IFERROR(SUMIFS(Energy[2040_TWh],Energy[[Sector]:[Sector]],"Refineries", Energy[[Fuel_category]:[Fuel_category]],$B304),"")</f>
        <v>0</v>
      </c>
      <c r="W304" s="28">
        <f ca="1">IFERROR(SUMIFS(Energy[2041_TWh],Energy[[Sector]:[Sector]],"Refineries", Energy[[Fuel_category]:[Fuel_category]],$B304),"")</f>
        <v>0</v>
      </c>
      <c r="X304" s="28">
        <f ca="1">IFERROR(SUMIFS(Energy[2042_TWh],Energy[[Sector]:[Sector]],"Refineries", Energy[[Fuel_category]:[Fuel_category]],$B304),"")</f>
        <v>0</v>
      </c>
      <c r="Y304" s="28">
        <f ca="1">IFERROR(SUMIFS(Energy[2043_TWh],Energy[[Sector]:[Sector]],"Refineries", Energy[[Fuel_category]:[Fuel_category]],$B304),"")</f>
        <v>0</v>
      </c>
      <c r="Z304" s="28">
        <f ca="1">IFERROR(SUMIFS(Energy[2044_TWh],Energy[[Sector]:[Sector]],"Refineries", Energy[[Fuel_category]:[Fuel_category]],$B304),"")</f>
        <v>0</v>
      </c>
      <c r="AA304" s="28">
        <f ca="1">IFERROR(SUMIFS(Energy[2045_TWh],Energy[[Sector]:[Sector]],"Refineries", Energy[[Fuel_category]:[Fuel_category]],$B304),"")</f>
        <v>0</v>
      </c>
      <c r="AB304" s="28">
        <f ca="1">IFERROR(SUMIFS(Energy[2046_TWh],Energy[[Sector]:[Sector]],"Refineries", Energy[[Fuel_category]:[Fuel_category]],$B304),"")</f>
        <v>0</v>
      </c>
      <c r="AC304" s="28">
        <f ca="1">IFERROR(SUMIFS(Energy[2047_TWh],Energy[[Sector]:[Sector]],"Refineries", Energy[[Fuel_category]:[Fuel_category]],$B304),"")</f>
        <v>0</v>
      </c>
      <c r="AD304" s="28">
        <f ca="1">IFERROR(SUMIFS(Energy[2048_TWh],Energy[[Sector]:[Sector]],"Refineries", Energy[[Fuel_category]:[Fuel_category]],$B304),"")</f>
        <v>0</v>
      </c>
      <c r="AE304" s="28">
        <f ca="1">IFERROR(SUMIFS(Energy[2049_TWh],Energy[[Sector]:[Sector]],"Refineries", Energy[[Fuel_category]:[Fuel_category]],$B304),"")</f>
        <v>0</v>
      </c>
      <c r="AF304" s="28">
        <f ca="1">IFERROR(SUMIFS(Energy[2050_TWh],Energy[[Sector]:[Sector]],"Refineries", Energy[[Fuel_category]:[Fuel_category]],$B304),"")</f>
        <v>0</v>
      </c>
      <c r="AG304" s="28">
        <f ca="1">IFERROR(SUMIFS(Energy[2051_TWh],Energy[[Sector]:[Sector]],"Refineries", Energy[[Fuel_category]:[Fuel_category]],$B304),"")</f>
        <v>0</v>
      </c>
    </row>
    <row r="305" spans="1:36" x14ac:dyDescent="0.45">
      <c r="A305" s="2"/>
      <c r="B305" s="21" t="s">
        <v>113</v>
      </c>
      <c r="C305" s="28">
        <f ca="1">IFERROR(SUMIFS(Energy[2021_TWh],Energy[[Sector]:[Sector]],"Refineries", Energy[[Fuel_category]:[Fuel_category]],$B305),"")</f>
        <v>0</v>
      </c>
      <c r="D305" s="28">
        <f ca="1">IFERROR(SUMIFS(Energy[2022_TWh],Energy[[Sector]:[Sector]],"Refineries", Energy[[Fuel_category]:[Fuel_category]],$B305),"")</f>
        <v>0</v>
      </c>
      <c r="E305" s="28">
        <f ca="1">IFERROR(SUMIFS(Energy[2023_TWh],Energy[[Sector]:[Sector]],"Refineries", Energy[[Fuel_category]:[Fuel_category]],$B305),"")</f>
        <v>0</v>
      </c>
      <c r="F305" s="28">
        <f ca="1">IFERROR(SUMIFS(Energy[2024_TWh],Energy[[Sector]:[Sector]],"Refineries", Energy[[Fuel_category]:[Fuel_category]],$B305),"")</f>
        <v>0</v>
      </c>
      <c r="G305" s="28">
        <f ca="1">IFERROR(SUMIFS(Energy[2025_TWh],Energy[[Sector]:[Sector]],"Refineries", Energy[[Fuel_category]:[Fuel_category]],$B305),"")</f>
        <v>0</v>
      </c>
      <c r="H305" s="28">
        <f ca="1">IFERROR(SUMIFS(Energy[2026_TWh],Energy[[Sector]:[Sector]],"Refineries", Energy[[Fuel_category]:[Fuel_category]],$B305),"")</f>
        <v>0</v>
      </c>
      <c r="I305" s="28">
        <f ca="1">IFERROR(SUMIFS(Energy[2027_TWh],Energy[[Sector]:[Sector]],"Refineries", Energy[[Fuel_category]:[Fuel_category]],$B305),"")</f>
        <v>0</v>
      </c>
      <c r="J305" s="28">
        <f ca="1">IFERROR(SUMIFS(Energy[2028_TWh],Energy[[Sector]:[Sector]],"Refineries", Energy[[Fuel_category]:[Fuel_category]],$B305),"")</f>
        <v>0</v>
      </c>
      <c r="K305" s="28">
        <f ca="1">IFERROR(SUMIFS(Energy[2029_TWh],Energy[[Sector]:[Sector]],"Refineries", Energy[[Fuel_category]:[Fuel_category]],$B305),"")</f>
        <v>0</v>
      </c>
      <c r="L305" s="28">
        <f ca="1">IFERROR(SUMIFS(Energy[2030_TWh],Energy[[Sector]:[Sector]],"Refineries", Energy[[Fuel_category]:[Fuel_category]],$B305),"")</f>
        <v>0</v>
      </c>
      <c r="M305" s="28">
        <f ca="1">IFERROR(SUMIFS(Energy[2031_TWh],Energy[[Sector]:[Sector]],"Refineries", Energy[[Fuel_category]:[Fuel_category]],$B305),"")</f>
        <v>0</v>
      </c>
      <c r="N305" s="28">
        <f ca="1">IFERROR(SUMIFS(Energy[2032_TWh],Energy[[Sector]:[Sector]],"Refineries", Energy[[Fuel_category]:[Fuel_category]],$B305),"")</f>
        <v>0</v>
      </c>
      <c r="O305" s="28">
        <f ca="1">IFERROR(SUMIFS(Energy[2033_TWh],Energy[[Sector]:[Sector]],"Refineries", Energy[[Fuel_category]:[Fuel_category]],$B305),"")</f>
        <v>0</v>
      </c>
      <c r="P305" s="28">
        <f ca="1">IFERROR(SUMIFS(Energy[2034_TWh],Energy[[Sector]:[Sector]],"Refineries", Energy[[Fuel_category]:[Fuel_category]],$B305),"")</f>
        <v>0</v>
      </c>
      <c r="Q305" s="28">
        <f ca="1">IFERROR(SUMIFS(Energy[2035_TWh],Energy[[Sector]:[Sector]],"Refineries", Energy[[Fuel_category]:[Fuel_category]],$B305),"")</f>
        <v>0</v>
      </c>
      <c r="R305" s="28">
        <f ca="1">IFERROR(SUMIFS(Energy[2036_TWh],Energy[[Sector]:[Sector]],"Refineries", Energy[[Fuel_category]:[Fuel_category]],$B305),"")</f>
        <v>0</v>
      </c>
      <c r="S305" s="28">
        <f ca="1">IFERROR(SUMIFS(Energy[2037_TWh],Energy[[Sector]:[Sector]],"Refineries", Energy[[Fuel_category]:[Fuel_category]],$B305),"")</f>
        <v>0</v>
      </c>
      <c r="T305" s="28">
        <f ca="1">IFERROR(SUMIFS(Energy[2038_TWh],Energy[[Sector]:[Sector]],"Refineries", Energy[[Fuel_category]:[Fuel_category]],$B305),"")</f>
        <v>0</v>
      </c>
      <c r="U305" s="28">
        <f ca="1">IFERROR(SUMIFS(Energy[2039_TWh],Energy[[Sector]:[Sector]],"Refineries", Energy[[Fuel_category]:[Fuel_category]],$B305),"")</f>
        <v>0</v>
      </c>
      <c r="V305" s="28">
        <f ca="1">IFERROR(SUMIFS(Energy[2040_TWh],Energy[[Sector]:[Sector]],"Refineries", Energy[[Fuel_category]:[Fuel_category]],$B305),"")</f>
        <v>0</v>
      </c>
      <c r="W305" s="28">
        <f ca="1">IFERROR(SUMIFS(Energy[2041_TWh],Energy[[Sector]:[Sector]],"Refineries", Energy[[Fuel_category]:[Fuel_category]],$B305),"")</f>
        <v>0</v>
      </c>
      <c r="X305" s="28">
        <f ca="1">IFERROR(SUMIFS(Energy[2042_TWh],Energy[[Sector]:[Sector]],"Refineries", Energy[[Fuel_category]:[Fuel_category]],$B305),"")</f>
        <v>0</v>
      </c>
      <c r="Y305" s="28">
        <f ca="1">IFERROR(SUMIFS(Energy[2043_TWh],Energy[[Sector]:[Sector]],"Refineries", Energy[[Fuel_category]:[Fuel_category]],$B305),"")</f>
        <v>0</v>
      </c>
      <c r="Z305" s="28">
        <f ca="1">IFERROR(SUMIFS(Energy[2044_TWh],Energy[[Sector]:[Sector]],"Refineries", Energy[[Fuel_category]:[Fuel_category]],$B305),"")</f>
        <v>0</v>
      </c>
      <c r="AA305" s="28">
        <f ca="1">IFERROR(SUMIFS(Energy[2045_TWh],Energy[[Sector]:[Sector]],"Refineries", Energy[[Fuel_category]:[Fuel_category]],$B305),"")</f>
        <v>0</v>
      </c>
      <c r="AB305" s="28">
        <f ca="1">IFERROR(SUMIFS(Energy[2046_TWh],Energy[[Sector]:[Sector]],"Refineries", Energy[[Fuel_category]:[Fuel_category]],$B305),"")</f>
        <v>0</v>
      </c>
      <c r="AC305" s="28">
        <f ca="1">IFERROR(SUMIFS(Energy[2047_TWh],Energy[[Sector]:[Sector]],"Refineries", Energy[[Fuel_category]:[Fuel_category]],$B305),"")</f>
        <v>0</v>
      </c>
      <c r="AD305" s="28">
        <f ca="1">IFERROR(SUMIFS(Energy[2048_TWh],Energy[[Sector]:[Sector]],"Refineries", Energy[[Fuel_category]:[Fuel_category]],$B305),"")</f>
        <v>0</v>
      </c>
      <c r="AE305" s="28">
        <f ca="1">IFERROR(SUMIFS(Energy[2049_TWh],Energy[[Sector]:[Sector]],"Refineries", Energy[[Fuel_category]:[Fuel_category]],$B305),"")</f>
        <v>0</v>
      </c>
      <c r="AF305" s="28">
        <f ca="1">IFERROR(SUMIFS(Energy[2050_TWh],Energy[[Sector]:[Sector]],"Refineries", Energy[[Fuel_category]:[Fuel_category]],$B305),"")</f>
        <v>0</v>
      </c>
      <c r="AG305" s="28">
        <f ca="1">IFERROR(SUMIFS(Energy[2051_TWh],Energy[[Sector]:[Sector]],"Refineries", Energy[[Fuel_category]:[Fuel_category]],$B305),"")</f>
        <v>0</v>
      </c>
    </row>
    <row r="306" spans="1:36" x14ac:dyDescent="0.45">
      <c r="A306" s="2"/>
      <c r="B306" s="21" t="s">
        <v>111</v>
      </c>
      <c r="C306" s="28">
        <f ca="1">IFERROR(SUMIFS(Energy[2021_TWh],Energy[[Sector]:[Sector]],"Refineries", Energy[[Fuel_category]:[Fuel_category]],$B306),"")</f>
        <v>0</v>
      </c>
      <c r="D306" s="28">
        <f ca="1">IFERROR(SUMIFS(Energy[2022_TWh],Energy[[Sector]:[Sector]],"Refineries", Energy[[Fuel_category]:[Fuel_category]],$B306),"")</f>
        <v>0</v>
      </c>
      <c r="E306" s="28">
        <f ca="1">IFERROR(SUMIFS(Energy[2023_TWh],Energy[[Sector]:[Sector]],"Refineries", Energy[[Fuel_category]:[Fuel_category]],$B306),"")</f>
        <v>0</v>
      </c>
      <c r="F306" s="28">
        <f ca="1">IFERROR(SUMIFS(Energy[2024_TWh],Energy[[Sector]:[Sector]],"Refineries", Energy[[Fuel_category]:[Fuel_category]],$B306),"")</f>
        <v>0</v>
      </c>
      <c r="G306" s="28">
        <f ca="1">IFERROR(SUMIFS(Energy[2025_TWh],Energy[[Sector]:[Sector]],"Refineries", Energy[[Fuel_category]:[Fuel_category]],$B306),"")</f>
        <v>0</v>
      </c>
      <c r="H306" s="28">
        <f ca="1">IFERROR(SUMIFS(Energy[2026_TWh],Energy[[Sector]:[Sector]],"Refineries", Energy[[Fuel_category]:[Fuel_category]],$B306),"")</f>
        <v>0</v>
      </c>
      <c r="I306" s="28">
        <f ca="1">IFERROR(SUMIFS(Energy[2027_TWh],Energy[[Sector]:[Sector]],"Refineries", Energy[[Fuel_category]:[Fuel_category]],$B306),"")</f>
        <v>0</v>
      </c>
      <c r="J306" s="28">
        <f ca="1">IFERROR(SUMIFS(Energy[2028_TWh],Energy[[Sector]:[Sector]],"Refineries", Energy[[Fuel_category]:[Fuel_category]],$B306),"")</f>
        <v>0</v>
      </c>
      <c r="K306" s="28">
        <f ca="1">IFERROR(SUMIFS(Energy[2029_TWh],Energy[[Sector]:[Sector]],"Refineries", Energy[[Fuel_category]:[Fuel_category]],$B306),"")</f>
        <v>0</v>
      </c>
      <c r="L306" s="28">
        <f ca="1">IFERROR(SUMIFS(Energy[2030_TWh],Energy[[Sector]:[Sector]],"Refineries", Energy[[Fuel_category]:[Fuel_category]],$B306),"")</f>
        <v>0</v>
      </c>
      <c r="M306" s="28">
        <f ca="1">IFERROR(SUMIFS(Energy[2031_TWh],Energy[[Sector]:[Sector]],"Refineries", Energy[[Fuel_category]:[Fuel_category]],$B306),"")</f>
        <v>0</v>
      </c>
      <c r="N306" s="28">
        <f ca="1">IFERROR(SUMIFS(Energy[2032_TWh],Energy[[Sector]:[Sector]],"Refineries", Energy[[Fuel_category]:[Fuel_category]],$B306),"")</f>
        <v>0</v>
      </c>
      <c r="O306" s="28">
        <f ca="1">IFERROR(SUMIFS(Energy[2033_TWh],Energy[[Sector]:[Sector]],"Refineries", Energy[[Fuel_category]:[Fuel_category]],$B306),"")</f>
        <v>0</v>
      </c>
      <c r="P306" s="28">
        <f ca="1">IFERROR(SUMIFS(Energy[2034_TWh],Energy[[Sector]:[Sector]],"Refineries", Energy[[Fuel_category]:[Fuel_category]],$B306),"")</f>
        <v>0</v>
      </c>
      <c r="Q306" s="28">
        <f ca="1">IFERROR(SUMIFS(Energy[2035_TWh],Energy[[Sector]:[Sector]],"Refineries", Energy[[Fuel_category]:[Fuel_category]],$B306),"")</f>
        <v>0</v>
      </c>
      <c r="R306" s="28">
        <f ca="1">IFERROR(SUMIFS(Energy[2036_TWh],Energy[[Sector]:[Sector]],"Refineries", Energy[[Fuel_category]:[Fuel_category]],$B306),"")</f>
        <v>0</v>
      </c>
      <c r="S306" s="28">
        <f ca="1">IFERROR(SUMIFS(Energy[2037_TWh],Energy[[Sector]:[Sector]],"Refineries", Energy[[Fuel_category]:[Fuel_category]],$B306),"")</f>
        <v>0</v>
      </c>
      <c r="T306" s="28">
        <f ca="1">IFERROR(SUMIFS(Energy[2038_TWh],Energy[[Sector]:[Sector]],"Refineries", Energy[[Fuel_category]:[Fuel_category]],$B306),"")</f>
        <v>0</v>
      </c>
      <c r="U306" s="28">
        <f ca="1">IFERROR(SUMIFS(Energy[2039_TWh],Energy[[Sector]:[Sector]],"Refineries", Energy[[Fuel_category]:[Fuel_category]],$B306),"")</f>
        <v>0</v>
      </c>
      <c r="V306" s="28">
        <f ca="1">IFERROR(SUMIFS(Energy[2040_TWh],Energy[[Sector]:[Sector]],"Refineries", Energy[[Fuel_category]:[Fuel_category]],$B306),"")</f>
        <v>0</v>
      </c>
      <c r="W306" s="28">
        <f ca="1">IFERROR(SUMIFS(Energy[2041_TWh],Energy[[Sector]:[Sector]],"Refineries", Energy[[Fuel_category]:[Fuel_category]],$B306),"")</f>
        <v>0</v>
      </c>
      <c r="X306" s="28">
        <f ca="1">IFERROR(SUMIFS(Energy[2042_TWh],Energy[[Sector]:[Sector]],"Refineries", Energy[[Fuel_category]:[Fuel_category]],$B306),"")</f>
        <v>0</v>
      </c>
      <c r="Y306" s="28">
        <f ca="1">IFERROR(SUMIFS(Energy[2043_TWh],Energy[[Sector]:[Sector]],"Refineries", Energy[[Fuel_category]:[Fuel_category]],$B306),"")</f>
        <v>0</v>
      </c>
      <c r="Z306" s="28">
        <f ca="1">IFERROR(SUMIFS(Energy[2044_TWh],Energy[[Sector]:[Sector]],"Refineries", Energy[[Fuel_category]:[Fuel_category]],$B306),"")</f>
        <v>0</v>
      </c>
      <c r="AA306" s="28">
        <f ca="1">IFERROR(SUMIFS(Energy[2045_TWh],Energy[[Sector]:[Sector]],"Refineries", Energy[[Fuel_category]:[Fuel_category]],$B306),"")</f>
        <v>0</v>
      </c>
      <c r="AB306" s="28">
        <f ca="1">IFERROR(SUMIFS(Energy[2046_TWh],Energy[[Sector]:[Sector]],"Refineries", Energy[[Fuel_category]:[Fuel_category]],$B306),"")</f>
        <v>0</v>
      </c>
      <c r="AC306" s="28">
        <f ca="1">IFERROR(SUMIFS(Energy[2047_TWh],Energy[[Sector]:[Sector]],"Refineries", Energy[[Fuel_category]:[Fuel_category]],$B306),"")</f>
        <v>0</v>
      </c>
      <c r="AD306" s="28">
        <f ca="1">IFERROR(SUMIFS(Energy[2048_TWh],Energy[[Sector]:[Sector]],"Refineries", Energy[[Fuel_category]:[Fuel_category]],$B306),"")</f>
        <v>0</v>
      </c>
      <c r="AE306" s="28">
        <f ca="1">IFERROR(SUMIFS(Energy[2049_TWh],Energy[[Sector]:[Sector]],"Refineries", Energy[[Fuel_category]:[Fuel_category]],$B306),"")</f>
        <v>0</v>
      </c>
      <c r="AF306" s="28">
        <f ca="1">IFERROR(SUMIFS(Energy[2050_TWh],Energy[[Sector]:[Sector]],"Refineries", Energy[[Fuel_category]:[Fuel_category]],$B306),"")</f>
        <v>0</v>
      </c>
      <c r="AG306" s="28">
        <f ca="1">IFERROR(SUMIFS(Energy[2051_TWh],Energy[[Sector]:[Sector]],"Refineries", Energy[[Fuel_category]:[Fuel_category]],$B306),"")</f>
        <v>0</v>
      </c>
    </row>
    <row r="307" spans="1:36" ht="14.65" thickBot="1" x14ac:dyDescent="0.5">
      <c r="A307" s="2"/>
      <c r="B307" s="29" t="s">
        <v>124</v>
      </c>
      <c r="C307" s="31">
        <f ca="1">IF(C105&lt;&gt;"",SUM(C300:C305),"")</f>
        <v>0</v>
      </c>
      <c r="D307" s="31">
        <f t="shared" ref="D307:AF307" ca="1" si="62">IF(D105&lt;&gt;"",SUM(D300:D305),"")</f>
        <v>0</v>
      </c>
      <c r="E307" s="31">
        <f t="shared" ca="1" si="62"/>
        <v>0</v>
      </c>
      <c r="F307" s="31">
        <f t="shared" ca="1" si="62"/>
        <v>0</v>
      </c>
      <c r="G307" s="31">
        <f t="shared" ca="1" si="62"/>
        <v>0</v>
      </c>
      <c r="H307" s="31">
        <f t="shared" ca="1" si="62"/>
        <v>0</v>
      </c>
      <c r="I307" s="31">
        <f t="shared" ca="1" si="62"/>
        <v>0</v>
      </c>
      <c r="J307" s="31">
        <f t="shared" ca="1" si="62"/>
        <v>0</v>
      </c>
      <c r="K307" s="31">
        <f t="shared" ca="1" si="62"/>
        <v>0</v>
      </c>
      <c r="L307" s="31">
        <f t="shared" ca="1" si="62"/>
        <v>0</v>
      </c>
      <c r="M307" s="31">
        <f t="shared" ca="1" si="62"/>
        <v>0</v>
      </c>
      <c r="N307" s="31">
        <f t="shared" ca="1" si="62"/>
        <v>0</v>
      </c>
      <c r="O307" s="31">
        <f t="shared" ca="1" si="62"/>
        <v>0</v>
      </c>
      <c r="P307" s="31">
        <f t="shared" ca="1" si="62"/>
        <v>0</v>
      </c>
      <c r="Q307" s="31">
        <f t="shared" ca="1" si="62"/>
        <v>0</v>
      </c>
      <c r="R307" s="31">
        <f t="shared" ca="1" si="62"/>
        <v>0</v>
      </c>
      <c r="S307" s="31">
        <f t="shared" ca="1" si="62"/>
        <v>0</v>
      </c>
      <c r="T307" s="31">
        <f t="shared" ca="1" si="62"/>
        <v>0</v>
      </c>
      <c r="U307" s="31">
        <f t="shared" ca="1" si="62"/>
        <v>0</v>
      </c>
      <c r="V307" s="31">
        <f t="shared" ca="1" si="62"/>
        <v>0</v>
      </c>
      <c r="W307" s="31">
        <f t="shared" ca="1" si="62"/>
        <v>0</v>
      </c>
      <c r="X307" s="31">
        <f t="shared" ca="1" si="62"/>
        <v>0</v>
      </c>
      <c r="Y307" s="31">
        <f t="shared" ca="1" si="62"/>
        <v>0</v>
      </c>
      <c r="Z307" s="31">
        <f t="shared" ca="1" si="62"/>
        <v>0</v>
      </c>
      <c r="AA307" s="31">
        <f t="shared" ca="1" si="62"/>
        <v>0</v>
      </c>
      <c r="AB307" s="31">
        <f t="shared" ca="1" si="62"/>
        <v>0</v>
      </c>
      <c r="AC307" s="31">
        <f t="shared" ca="1" si="62"/>
        <v>0</v>
      </c>
      <c r="AD307" s="31">
        <f t="shared" ca="1" si="62"/>
        <v>0</v>
      </c>
      <c r="AE307" s="31">
        <f t="shared" ca="1" si="62"/>
        <v>0</v>
      </c>
      <c r="AF307" s="31">
        <f t="shared" ca="1" si="62"/>
        <v>0</v>
      </c>
      <c r="AG307" s="31">
        <f t="shared" ref="AG307" ca="1" si="63">IF(AG105&lt;&gt;"",SUM(AG300:AG305),"")</f>
        <v>0</v>
      </c>
    </row>
    <row r="308" spans="1:36" ht="14.65" thickTop="1" x14ac:dyDescent="0.45">
      <c r="A308" s="2"/>
      <c r="B308" s="6"/>
    </row>
    <row r="309" spans="1:36" ht="25.5" x14ac:dyDescent="0.75">
      <c r="A309" s="26" t="s">
        <v>129</v>
      </c>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row>
    <row r="310" spans="1:36" x14ac:dyDescent="0.45">
      <c r="A310" s="2"/>
      <c r="B310" s="6"/>
    </row>
    <row r="311" spans="1:36" ht="23.25" x14ac:dyDescent="0.7">
      <c r="A311" s="10" t="s">
        <v>130</v>
      </c>
      <c r="B311" s="8" t="s">
        <v>11</v>
      </c>
      <c r="AJ311" s="20"/>
    </row>
    <row r="312" spans="1:36" x14ac:dyDescent="0.45">
      <c r="B312" s="6"/>
    </row>
    <row r="313" spans="1:36" x14ac:dyDescent="0.45">
      <c r="A313" s="2"/>
      <c r="B313" s="6"/>
      <c r="C313" s="6">
        <v>2021</v>
      </c>
      <c r="D313" s="6">
        <v>2022</v>
      </c>
      <c r="E313" s="6">
        <v>2023</v>
      </c>
      <c r="F313" s="6">
        <v>2024</v>
      </c>
      <c r="G313" s="6">
        <v>2025</v>
      </c>
      <c r="H313" s="6">
        <v>2026</v>
      </c>
      <c r="I313" s="6">
        <v>2027</v>
      </c>
      <c r="J313" s="6">
        <v>2028</v>
      </c>
      <c r="K313" s="6">
        <v>2029</v>
      </c>
      <c r="L313" s="6">
        <v>2030</v>
      </c>
      <c r="M313" s="6">
        <v>2031</v>
      </c>
      <c r="N313" s="6">
        <v>2032</v>
      </c>
      <c r="O313" s="6">
        <v>2033</v>
      </c>
      <c r="P313" s="6">
        <v>2034</v>
      </c>
      <c r="Q313" s="6">
        <v>2035</v>
      </c>
      <c r="R313" s="6">
        <v>2036</v>
      </c>
      <c r="S313" s="6">
        <v>2037</v>
      </c>
      <c r="T313" s="6">
        <v>2038</v>
      </c>
      <c r="U313" s="6">
        <v>2039</v>
      </c>
      <c r="V313" s="6">
        <v>2040</v>
      </c>
      <c r="W313" s="6">
        <v>2041</v>
      </c>
      <c r="X313" s="6">
        <v>2042</v>
      </c>
      <c r="Y313" s="6">
        <v>2043</v>
      </c>
      <c r="Z313" s="6">
        <v>2044</v>
      </c>
      <c r="AA313" s="6">
        <v>2045</v>
      </c>
      <c r="AB313" s="6">
        <v>2046</v>
      </c>
      <c r="AC313" s="6">
        <v>2047</v>
      </c>
      <c r="AD313" s="6">
        <v>2048</v>
      </c>
      <c r="AE313" s="6">
        <v>2049</v>
      </c>
      <c r="AF313" s="6">
        <v>2050</v>
      </c>
      <c r="AG313" s="6">
        <v>2051</v>
      </c>
    </row>
    <row r="314" spans="1:36" x14ac:dyDescent="0.45">
      <c r="A314" t="s">
        <v>131</v>
      </c>
      <c r="B314" t="s">
        <v>70</v>
      </c>
      <c r="C314" s="28">
        <f ca="1">IFERROR(SUMIFS(Outputs[2021],
Outputs[[Capacity]:[Capacity]],"used_capacity",
Outputs[[Cluster]:[Cluster]],$B314,
Outputs[[Primary_output]:[Primary_output]], "HYGEN")*PJ2TWh,"")</f>
        <v>0</v>
      </c>
      <c r="D314" s="28">
        <f ca="1">IFERROR(SUMIFS(Outputs[2022],
Outputs[[Capacity]:[Capacity]],"used_capacity",
Outputs[[Cluster]:[Cluster]],$B314,
Outputs[[Primary_output]:[Primary_output]], "HYGEN")*PJ2TWh,"")</f>
        <v>0</v>
      </c>
      <c r="E314" s="28">
        <f ca="1">IFERROR(SUMIFS(Outputs[2023],
Outputs[[Capacity]:[Capacity]],"used_capacity",
Outputs[[Cluster]:[Cluster]],$B314,
Outputs[[Primary_output]:[Primary_output]], "HYGEN")*PJ2TWh,"")</f>
        <v>0</v>
      </c>
      <c r="F314" s="28">
        <f ca="1">IFERROR(SUMIFS(Outputs[2024],
Outputs[[Capacity]:[Capacity]],"used_capacity",
Outputs[[Cluster]:[Cluster]],$B314,
Outputs[[Primary_output]:[Primary_output]], "HYGEN")*PJ2TWh,"")</f>
        <v>0</v>
      </c>
      <c r="G314" s="28">
        <f ca="1">IFERROR(SUMIFS(Outputs[2025],
Outputs[[Capacity]:[Capacity]],"used_capacity",
Outputs[[Cluster]:[Cluster]],$B314,
Outputs[[Primary_output]:[Primary_output]], "HYGEN")*PJ2TWh,"")</f>
        <v>0</v>
      </c>
      <c r="H314" s="28">
        <f ca="1">IFERROR(SUMIFS(Outputs[2026],
Outputs[[Capacity]:[Capacity]],"used_capacity",
Outputs[[Cluster]:[Cluster]],$B314,
Outputs[[Primary_output]:[Primary_output]], "HYGEN")*PJ2TWh,"")</f>
        <v>0</v>
      </c>
      <c r="I314" s="28">
        <f ca="1">IFERROR(SUMIFS(Outputs[2027],
Outputs[[Capacity]:[Capacity]],"used_capacity",
Outputs[[Cluster]:[Cluster]],$B314,
Outputs[[Primary_output]:[Primary_output]], "HYGEN")*PJ2TWh,"")</f>
        <v>0</v>
      </c>
      <c r="J314" s="28">
        <f ca="1">IFERROR(SUMIFS(Outputs[2028],
Outputs[[Capacity]:[Capacity]],"used_capacity",
Outputs[[Cluster]:[Cluster]],$B314,
Outputs[[Primary_output]:[Primary_output]], "HYGEN")*PJ2TWh,"")</f>
        <v>0</v>
      </c>
      <c r="K314" s="28">
        <f ca="1">IFERROR(SUMIFS(Outputs[2029],
Outputs[[Capacity]:[Capacity]],"used_capacity",
Outputs[[Cluster]:[Cluster]],$B314,
Outputs[[Primary_output]:[Primary_output]], "HYGEN")*PJ2TWh,"")</f>
        <v>0</v>
      </c>
      <c r="L314" s="28">
        <f ca="1">IFERROR(SUMIFS(Outputs[2030],
Outputs[[Capacity]:[Capacity]],"used_capacity",
Outputs[[Cluster]:[Cluster]],$B314,
Outputs[[Primary_output]:[Primary_output]], "HYGEN")*PJ2TWh,"")</f>
        <v>0</v>
      </c>
      <c r="M314" s="28">
        <f ca="1">IFERROR(SUMIFS(Outputs[2031],
Outputs[[Capacity]:[Capacity]],"used_capacity",
Outputs[[Cluster]:[Cluster]],$B314,
Outputs[[Primary_output]:[Primary_output]], "HYGEN")*PJ2TWh,"")</f>
        <v>0</v>
      </c>
      <c r="N314" s="28">
        <f ca="1">IFERROR(SUMIFS(Outputs[2032],
Outputs[[Capacity]:[Capacity]],"used_capacity",
Outputs[[Cluster]:[Cluster]],$B314,
Outputs[[Primary_output]:[Primary_output]], "HYGEN")*PJ2TWh,"")</f>
        <v>0</v>
      </c>
      <c r="O314" s="28">
        <f ca="1">IFERROR(SUMIFS(Outputs[2033],
Outputs[[Capacity]:[Capacity]],"used_capacity",
Outputs[[Cluster]:[Cluster]],$B314,
Outputs[[Primary_output]:[Primary_output]], "HYGEN")*PJ2TWh,"")</f>
        <v>0</v>
      </c>
      <c r="P314" s="28">
        <f ca="1">IFERROR(SUMIFS(Outputs[2034],
Outputs[[Capacity]:[Capacity]],"used_capacity",
Outputs[[Cluster]:[Cluster]],$B314,
Outputs[[Primary_output]:[Primary_output]], "HYGEN")*PJ2TWh,"")</f>
        <v>0</v>
      </c>
      <c r="Q314" s="28">
        <f ca="1">IFERROR(SUMIFS(Outputs[2035],
Outputs[[Capacity]:[Capacity]],"used_capacity",
Outputs[[Cluster]:[Cluster]],$B314,
Outputs[[Primary_output]:[Primary_output]], "HYGEN")*PJ2TWh,"")</f>
        <v>0</v>
      </c>
      <c r="R314" s="28">
        <f ca="1">IFERROR(SUMIFS(Outputs[2036],
Outputs[[Capacity]:[Capacity]],"used_capacity",
Outputs[[Cluster]:[Cluster]],$B314,
Outputs[[Primary_output]:[Primary_output]], "HYGEN")*PJ2TWh,"")</f>
        <v>0</v>
      </c>
      <c r="S314" s="28">
        <f ca="1">IFERROR(SUMIFS(Outputs[2037],
Outputs[[Capacity]:[Capacity]],"used_capacity",
Outputs[[Cluster]:[Cluster]],$B314,
Outputs[[Primary_output]:[Primary_output]], "HYGEN")*PJ2TWh,"")</f>
        <v>0</v>
      </c>
      <c r="T314" s="28">
        <f ca="1">IFERROR(SUMIFS(Outputs[2038],
Outputs[[Capacity]:[Capacity]],"used_capacity",
Outputs[[Cluster]:[Cluster]],$B314,
Outputs[[Primary_output]:[Primary_output]], "HYGEN")*PJ2TWh,"")</f>
        <v>0</v>
      </c>
      <c r="U314" s="28">
        <f ca="1">IFERROR(SUMIFS(Outputs[2039],
Outputs[[Capacity]:[Capacity]],"used_capacity",
Outputs[[Cluster]:[Cluster]],$B314,
Outputs[[Primary_output]:[Primary_output]], "HYGEN")*PJ2TWh,"")</f>
        <v>0</v>
      </c>
      <c r="V314" s="28">
        <f ca="1">IFERROR(SUMIFS(Outputs[2040],
Outputs[[Capacity]:[Capacity]],"used_capacity",
Outputs[[Cluster]:[Cluster]],$B314,
Outputs[[Primary_output]:[Primary_output]], "HYGEN")*PJ2TWh,"")</f>
        <v>0</v>
      </c>
      <c r="W314" s="28">
        <f ca="1">IFERROR(SUMIFS(Outputs[2041],
Outputs[[Capacity]:[Capacity]],"used_capacity",
Outputs[[Cluster]:[Cluster]],$B314,
Outputs[[Primary_output]:[Primary_output]], "HYGEN")*PJ2TWh,"")</f>
        <v>0</v>
      </c>
      <c r="X314" s="28">
        <f ca="1">IFERROR(SUMIFS(Outputs[2042],
Outputs[[Capacity]:[Capacity]],"used_capacity",
Outputs[[Cluster]:[Cluster]],$B314,
Outputs[[Primary_output]:[Primary_output]], "HYGEN")*PJ2TWh,"")</f>
        <v>0</v>
      </c>
      <c r="Y314" s="28">
        <f ca="1">IFERROR(SUMIFS(Outputs[2043],
Outputs[[Capacity]:[Capacity]],"used_capacity",
Outputs[[Cluster]:[Cluster]],$B314,
Outputs[[Primary_output]:[Primary_output]], "HYGEN")*PJ2TWh,"")</f>
        <v>0</v>
      </c>
      <c r="Z314" s="28">
        <f ca="1">IFERROR(SUMIFS(Outputs[2044],
Outputs[[Capacity]:[Capacity]],"used_capacity",
Outputs[[Cluster]:[Cluster]],$B314,
Outputs[[Primary_output]:[Primary_output]], "HYGEN")*PJ2TWh,"")</f>
        <v>0</v>
      </c>
      <c r="AA314" s="28">
        <f ca="1">IFERROR(SUMIFS(Outputs[2045],
Outputs[[Capacity]:[Capacity]],"used_capacity",
Outputs[[Cluster]:[Cluster]],$B314,
Outputs[[Primary_output]:[Primary_output]], "HYGEN")*PJ2TWh,"")</f>
        <v>0</v>
      </c>
      <c r="AB314" s="28">
        <f ca="1">IFERROR(SUMIFS(Outputs[2046],
Outputs[[Capacity]:[Capacity]],"used_capacity",
Outputs[[Cluster]:[Cluster]],$B314,
Outputs[[Primary_output]:[Primary_output]], "HYGEN")*PJ2TWh,"")</f>
        <v>0</v>
      </c>
      <c r="AC314" s="28">
        <f ca="1">IFERROR(SUMIFS(Outputs[2047],
Outputs[[Capacity]:[Capacity]],"used_capacity",
Outputs[[Cluster]:[Cluster]],$B314,
Outputs[[Primary_output]:[Primary_output]], "HYGEN")*PJ2TWh,"")</f>
        <v>0</v>
      </c>
      <c r="AD314" s="28">
        <f ca="1">IFERROR(SUMIFS(Outputs[2048],
Outputs[[Capacity]:[Capacity]],"used_capacity",
Outputs[[Cluster]:[Cluster]],$B314,
Outputs[[Primary_output]:[Primary_output]], "HYGEN")*PJ2TWh,"")</f>
        <v>0</v>
      </c>
      <c r="AE314" s="28">
        <f ca="1">IFERROR(SUMIFS(Outputs[2049],
Outputs[[Capacity]:[Capacity]],"used_capacity",
Outputs[[Cluster]:[Cluster]],$B314,
Outputs[[Primary_output]:[Primary_output]], "HYGEN")*PJ2TWh,"")</f>
        <v>0</v>
      </c>
      <c r="AF314" s="28">
        <f ca="1">IFERROR(SUMIFS(Outputs[2050],
Outputs[[Capacity]:[Capacity]],"used_capacity",
Outputs[[Cluster]:[Cluster]],$B314,
Outputs[[Primary_output]:[Primary_output]], "HYGEN")*PJ2TWh,"")</f>
        <v>0</v>
      </c>
      <c r="AG314" s="28">
        <f ca="1">IFERROR(SUMIFS(Outputs[2051],
Outputs[[Capacity]:[Capacity]],"used_capacity",
Outputs[[Cluster]:[Cluster]],$B314,
Outputs[[Primary_output]:[Primary_output]], "HYGEN")*PJ2TWh,"")</f>
        <v>0</v>
      </c>
      <c r="AJ314" s="20"/>
    </row>
    <row r="315" spans="1:36" x14ac:dyDescent="0.45">
      <c r="A315" s="2"/>
      <c r="B315" t="s">
        <v>52</v>
      </c>
      <c r="C315" s="28">
        <f ca="1">IFERROR(SUMIFS(Outputs[2021],
Outputs[[Capacity]:[Capacity]],"used_capacity",
Outputs[[Cluster]:[Cluster]],$B315,
Outputs[[Primary_output]:[Primary_output]], "HYGEN")*PJ2TWh,"")</f>
        <v>0</v>
      </c>
      <c r="D315" s="28">
        <f ca="1">IFERROR(SUMIFS(Outputs[2022],
Outputs[[Capacity]:[Capacity]],"used_capacity",
Outputs[[Cluster]:[Cluster]],$B315,
Outputs[[Primary_output]:[Primary_output]], "HYGEN")*PJ2TWh,"")</f>
        <v>0</v>
      </c>
      <c r="E315" s="28">
        <f ca="1">IFERROR(SUMIFS(Outputs[2023],
Outputs[[Capacity]:[Capacity]],"used_capacity",
Outputs[[Cluster]:[Cluster]],$B315,
Outputs[[Primary_output]:[Primary_output]], "HYGEN")*PJ2TWh,"")</f>
        <v>0</v>
      </c>
      <c r="F315" s="28">
        <f ca="1">IFERROR(SUMIFS(Outputs[2024],
Outputs[[Capacity]:[Capacity]],"used_capacity",
Outputs[[Cluster]:[Cluster]],$B315,
Outputs[[Primary_output]:[Primary_output]], "HYGEN")*PJ2TWh,"")</f>
        <v>0</v>
      </c>
      <c r="G315" s="28">
        <f ca="1">IFERROR(SUMIFS(Outputs[2025],
Outputs[[Capacity]:[Capacity]],"used_capacity",
Outputs[[Cluster]:[Cluster]],$B315,
Outputs[[Primary_output]:[Primary_output]], "HYGEN")*PJ2TWh,"")</f>
        <v>0</v>
      </c>
      <c r="H315" s="28">
        <f ca="1">IFERROR(SUMIFS(Outputs[2026],
Outputs[[Capacity]:[Capacity]],"used_capacity",
Outputs[[Cluster]:[Cluster]],$B315,
Outputs[[Primary_output]:[Primary_output]], "HYGEN")*PJ2TWh,"")</f>
        <v>0</v>
      </c>
      <c r="I315" s="28">
        <f ca="1">IFERROR(SUMIFS(Outputs[2027],
Outputs[[Capacity]:[Capacity]],"used_capacity",
Outputs[[Cluster]:[Cluster]],$B315,
Outputs[[Primary_output]:[Primary_output]], "HYGEN")*PJ2TWh,"")</f>
        <v>0</v>
      </c>
      <c r="J315" s="28">
        <f ca="1">IFERROR(SUMIFS(Outputs[2028],
Outputs[[Capacity]:[Capacity]],"used_capacity",
Outputs[[Cluster]:[Cluster]],$B315,
Outputs[[Primary_output]:[Primary_output]], "HYGEN")*PJ2TWh,"")</f>
        <v>0</v>
      </c>
      <c r="K315" s="28">
        <f ca="1">IFERROR(SUMIFS(Outputs[2029],
Outputs[[Capacity]:[Capacity]],"used_capacity",
Outputs[[Cluster]:[Cluster]],$B315,
Outputs[[Primary_output]:[Primary_output]], "HYGEN")*PJ2TWh,"")</f>
        <v>0</v>
      </c>
      <c r="L315" s="28">
        <f ca="1">IFERROR(SUMIFS(Outputs[2030],
Outputs[[Capacity]:[Capacity]],"used_capacity",
Outputs[[Cluster]:[Cluster]],$B315,
Outputs[[Primary_output]:[Primary_output]], "HYGEN")*PJ2TWh,"")</f>
        <v>0</v>
      </c>
      <c r="M315" s="28">
        <f ca="1">IFERROR(SUMIFS(Outputs[2031],
Outputs[[Capacity]:[Capacity]],"used_capacity",
Outputs[[Cluster]:[Cluster]],$B315,
Outputs[[Primary_output]:[Primary_output]], "HYGEN")*PJ2TWh,"")</f>
        <v>0</v>
      </c>
      <c r="N315" s="28">
        <f ca="1">IFERROR(SUMIFS(Outputs[2032],
Outputs[[Capacity]:[Capacity]],"used_capacity",
Outputs[[Cluster]:[Cluster]],$B315,
Outputs[[Primary_output]:[Primary_output]], "HYGEN")*PJ2TWh,"")</f>
        <v>0</v>
      </c>
      <c r="O315" s="28">
        <f ca="1">IFERROR(SUMIFS(Outputs[2033],
Outputs[[Capacity]:[Capacity]],"used_capacity",
Outputs[[Cluster]:[Cluster]],$B315,
Outputs[[Primary_output]:[Primary_output]], "HYGEN")*PJ2TWh,"")</f>
        <v>0</v>
      </c>
      <c r="P315" s="28">
        <f ca="1">IFERROR(SUMIFS(Outputs[2034],
Outputs[[Capacity]:[Capacity]],"used_capacity",
Outputs[[Cluster]:[Cluster]],$B315,
Outputs[[Primary_output]:[Primary_output]], "HYGEN")*PJ2TWh,"")</f>
        <v>0</v>
      </c>
      <c r="Q315" s="28">
        <f ca="1">IFERROR(SUMIFS(Outputs[2035],
Outputs[[Capacity]:[Capacity]],"used_capacity",
Outputs[[Cluster]:[Cluster]],$B315,
Outputs[[Primary_output]:[Primary_output]], "HYGEN")*PJ2TWh,"")</f>
        <v>0</v>
      </c>
      <c r="R315" s="28">
        <f ca="1">IFERROR(SUMIFS(Outputs[2036],
Outputs[[Capacity]:[Capacity]],"used_capacity",
Outputs[[Cluster]:[Cluster]],$B315,
Outputs[[Primary_output]:[Primary_output]], "HYGEN")*PJ2TWh,"")</f>
        <v>0</v>
      </c>
      <c r="S315" s="28">
        <f ca="1">IFERROR(SUMIFS(Outputs[2037],
Outputs[[Capacity]:[Capacity]],"used_capacity",
Outputs[[Cluster]:[Cluster]],$B315,
Outputs[[Primary_output]:[Primary_output]], "HYGEN")*PJ2TWh,"")</f>
        <v>0</v>
      </c>
      <c r="T315" s="28">
        <f ca="1">IFERROR(SUMIFS(Outputs[2038],
Outputs[[Capacity]:[Capacity]],"used_capacity",
Outputs[[Cluster]:[Cluster]],$B315,
Outputs[[Primary_output]:[Primary_output]], "HYGEN")*PJ2TWh,"")</f>
        <v>0</v>
      </c>
      <c r="U315" s="28">
        <f ca="1">IFERROR(SUMIFS(Outputs[2039],
Outputs[[Capacity]:[Capacity]],"used_capacity",
Outputs[[Cluster]:[Cluster]],$B315,
Outputs[[Primary_output]:[Primary_output]], "HYGEN")*PJ2TWh,"")</f>
        <v>0</v>
      </c>
      <c r="V315" s="28">
        <f ca="1">IFERROR(SUMIFS(Outputs[2040],
Outputs[[Capacity]:[Capacity]],"used_capacity",
Outputs[[Cluster]:[Cluster]],$B315,
Outputs[[Primary_output]:[Primary_output]], "HYGEN")*PJ2TWh,"")</f>
        <v>0</v>
      </c>
      <c r="W315" s="28">
        <f ca="1">IFERROR(SUMIFS(Outputs[2041],
Outputs[[Capacity]:[Capacity]],"used_capacity",
Outputs[[Cluster]:[Cluster]],$B315,
Outputs[[Primary_output]:[Primary_output]], "HYGEN")*PJ2TWh,"")</f>
        <v>0</v>
      </c>
      <c r="X315" s="28">
        <f ca="1">IFERROR(SUMIFS(Outputs[2042],
Outputs[[Capacity]:[Capacity]],"used_capacity",
Outputs[[Cluster]:[Cluster]],$B315,
Outputs[[Primary_output]:[Primary_output]], "HYGEN")*PJ2TWh,"")</f>
        <v>0</v>
      </c>
      <c r="Y315" s="28">
        <f ca="1">IFERROR(SUMIFS(Outputs[2043],
Outputs[[Capacity]:[Capacity]],"used_capacity",
Outputs[[Cluster]:[Cluster]],$B315,
Outputs[[Primary_output]:[Primary_output]], "HYGEN")*PJ2TWh,"")</f>
        <v>0</v>
      </c>
      <c r="Z315" s="28">
        <f ca="1">IFERROR(SUMIFS(Outputs[2044],
Outputs[[Capacity]:[Capacity]],"used_capacity",
Outputs[[Cluster]:[Cluster]],$B315,
Outputs[[Primary_output]:[Primary_output]], "HYGEN")*PJ2TWh,"")</f>
        <v>0</v>
      </c>
      <c r="AA315" s="28">
        <f ca="1">IFERROR(SUMIFS(Outputs[2045],
Outputs[[Capacity]:[Capacity]],"used_capacity",
Outputs[[Cluster]:[Cluster]],$B315,
Outputs[[Primary_output]:[Primary_output]], "HYGEN")*PJ2TWh,"")</f>
        <v>0</v>
      </c>
      <c r="AB315" s="28">
        <f ca="1">IFERROR(SUMIFS(Outputs[2046],
Outputs[[Capacity]:[Capacity]],"used_capacity",
Outputs[[Cluster]:[Cluster]],$B315,
Outputs[[Primary_output]:[Primary_output]], "HYGEN")*PJ2TWh,"")</f>
        <v>0</v>
      </c>
      <c r="AC315" s="28">
        <f ca="1">IFERROR(SUMIFS(Outputs[2047],
Outputs[[Capacity]:[Capacity]],"used_capacity",
Outputs[[Cluster]:[Cluster]],$B315,
Outputs[[Primary_output]:[Primary_output]], "HYGEN")*PJ2TWh,"")</f>
        <v>0</v>
      </c>
      <c r="AD315" s="28">
        <f ca="1">IFERROR(SUMIFS(Outputs[2048],
Outputs[[Capacity]:[Capacity]],"used_capacity",
Outputs[[Cluster]:[Cluster]],$B315,
Outputs[[Primary_output]:[Primary_output]], "HYGEN")*PJ2TWh,"")</f>
        <v>0</v>
      </c>
      <c r="AE315" s="28">
        <f ca="1">IFERROR(SUMIFS(Outputs[2049],
Outputs[[Capacity]:[Capacity]],"used_capacity",
Outputs[[Cluster]:[Cluster]],$B315,
Outputs[[Primary_output]:[Primary_output]], "HYGEN")*PJ2TWh,"")</f>
        <v>0</v>
      </c>
      <c r="AF315" s="28">
        <f ca="1">IFERROR(SUMIFS(Outputs[2050],
Outputs[[Capacity]:[Capacity]],"used_capacity",
Outputs[[Cluster]:[Cluster]],$B315,
Outputs[[Primary_output]:[Primary_output]], "HYGEN")*PJ2TWh,"")</f>
        <v>0</v>
      </c>
      <c r="AG315" s="28">
        <f ca="1">IFERROR(SUMIFS(Outputs[2051],
Outputs[[Capacity]:[Capacity]],"used_capacity",
Outputs[[Cluster]:[Cluster]],$B315,
Outputs[[Primary_output]:[Primary_output]], "HYGEN")*PJ2TWh,"")</f>
        <v>0</v>
      </c>
    </row>
    <row r="316" spans="1:36" x14ac:dyDescent="0.45">
      <c r="A316" s="2"/>
      <c r="B316" t="s">
        <v>71</v>
      </c>
      <c r="C316" s="28">
        <f ca="1">IFERROR(SUMIFS(Outputs[2021],
Outputs[[Capacity]:[Capacity]],"used_capacity",
Outputs[[Cluster]:[Cluster]],$B316,
Outputs[[Primary_output]:[Primary_output]], "HYGEN")*PJ2TWh,"")</f>
        <v>0</v>
      </c>
      <c r="D316" s="28">
        <f ca="1">IFERROR(SUMIFS(Outputs[2022],
Outputs[[Capacity]:[Capacity]],"used_capacity",
Outputs[[Cluster]:[Cluster]],$B316,
Outputs[[Primary_output]:[Primary_output]], "HYGEN")*PJ2TWh,"")</f>
        <v>0</v>
      </c>
      <c r="E316" s="28">
        <f ca="1">IFERROR(SUMIFS(Outputs[2023],
Outputs[[Capacity]:[Capacity]],"used_capacity",
Outputs[[Cluster]:[Cluster]],$B316,
Outputs[[Primary_output]:[Primary_output]], "HYGEN")*PJ2TWh,"")</f>
        <v>0</v>
      </c>
      <c r="F316" s="28">
        <f ca="1">IFERROR(SUMIFS(Outputs[2024],
Outputs[[Capacity]:[Capacity]],"used_capacity",
Outputs[[Cluster]:[Cluster]],$B316,
Outputs[[Primary_output]:[Primary_output]], "HYGEN")*PJ2TWh,"")</f>
        <v>0</v>
      </c>
      <c r="G316" s="28">
        <f ca="1">IFERROR(SUMIFS(Outputs[2025],
Outputs[[Capacity]:[Capacity]],"used_capacity",
Outputs[[Cluster]:[Cluster]],$B316,
Outputs[[Primary_output]:[Primary_output]], "HYGEN")*PJ2TWh,"")</f>
        <v>0</v>
      </c>
      <c r="H316" s="28">
        <f ca="1">IFERROR(SUMIFS(Outputs[2026],
Outputs[[Capacity]:[Capacity]],"used_capacity",
Outputs[[Cluster]:[Cluster]],$B316,
Outputs[[Primary_output]:[Primary_output]], "HYGEN")*PJ2TWh,"")</f>
        <v>0</v>
      </c>
      <c r="I316" s="28">
        <f ca="1">IFERROR(SUMIFS(Outputs[2027],
Outputs[[Capacity]:[Capacity]],"used_capacity",
Outputs[[Cluster]:[Cluster]],$B316,
Outputs[[Primary_output]:[Primary_output]], "HYGEN")*PJ2TWh,"")</f>
        <v>0</v>
      </c>
      <c r="J316" s="28">
        <f ca="1">IFERROR(SUMIFS(Outputs[2028],
Outputs[[Capacity]:[Capacity]],"used_capacity",
Outputs[[Cluster]:[Cluster]],$B316,
Outputs[[Primary_output]:[Primary_output]], "HYGEN")*PJ2TWh,"")</f>
        <v>0</v>
      </c>
      <c r="K316" s="28">
        <f ca="1">IFERROR(SUMIFS(Outputs[2029],
Outputs[[Capacity]:[Capacity]],"used_capacity",
Outputs[[Cluster]:[Cluster]],$B316,
Outputs[[Primary_output]:[Primary_output]], "HYGEN")*PJ2TWh,"")</f>
        <v>0</v>
      </c>
      <c r="L316" s="28">
        <f ca="1">IFERROR(SUMIFS(Outputs[2030],
Outputs[[Capacity]:[Capacity]],"used_capacity",
Outputs[[Cluster]:[Cluster]],$B316,
Outputs[[Primary_output]:[Primary_output]], "HYGEN")*PJ2TWh,"")</f>
        <v>0</v>
      </c>
      <c r="M316" s="28">
        <f ca="1">IFERROR(SUMIFS(Outputs[2031],
Outputs[[Capacity]:[Capacity]],"used_capacity",
Outputs[[Cluster]:[Cluster]],$B316,
Outputs[[Primary_output]:[Primary_output]], "HYGEN")*PJ2TWh,"")</f>
        <v>0</v>
      </c>
      <c r="N316" s="28">
        <f ca="1">IFERROR(SUMIFS(Outputs[2032],
Outputs[[Capacity]:[Capacity]],"used_capacity",
Outputs[[Cluster]:[Cluster]],$B316,
Outputs[[Primary_output]:[Primary_output]], "HYGEN")*PJ2TWh,"")</f>
        <v>0</v>
      </c>
      <c r="O316" s="28">
        <f ca="1">IFERROR(SUMIFS(Outputs[2033],
Outputs[[Capacity]:[Capacity]],"used_capacity",
Outputs[[Cluster]:[Cluster]],$B316,
Outputs[[Primary_output]:[Primary_output]], "HYGEN")*PJ2TWh,"")</f>
        <v>0</v>
      </c>
      <c r="P316" s="28">
        <f ca="1">IFERROR(SUMIFS(Outputs[2034],
Outputs[[Capacity]:[Capacity]],"used_capacity",
Outputs[[Cluster]:[Cluster]],$B316,
Outputs[[Primary_output]:[Primary_output]], "HYGEN")*PJ2TWh,"")</f>
        <v>0</v>
      </c>
      <c r="Q316" s="28">
        <f ca="1">IFERROR(SUMIFS(Outputs[2035],
Outputs[[Capacity]:[Capacity]],"used_capacity",
Outputs[[Cluster]:[Cluster]],$B316,
Outputs[[Primary_output]:[Primary_output]], "HYGEN")*PJ2TWh,"")</f>
        <v>0</v>
      </c>
      <c r="R316" s="28">
        <f ca="1">IFERROR(SUMIFS(Outputs[2036],
Outputs[[Capacity]:[Capacity]],"used_capacity",
Outputs[[Cluster]:[Cluster]],$B316,
Outputs[[Primary_output]:[Primary_output]], "HYGEN")*PJ2TWh,"")</f>
        <v>0</v>
      </c>
      <c r="S316" s="28">
        <f ca="1">IFERROR(SUMIFS(Outputs[2037],
Outputs[[Capacity]:[Capacity]],"used_capacity",
Outputs[[Cluster]:[Cluster]],$B316,
Outputs[[Primary_output]:[Primary_output]], "HYGEN")*PJ2TWh,"")</f>
        <v>0</v>
      </c>
      <c r="T316" s="28">
        <f ca="1">IFERROR(SUMIFS(Outputs[2038],
Outputs[[Capacity]:[Capacity]],"used_capacity",
Outputs[[Cluster]:[Cluster]],$B316,
Outputs[[Primary_output]:[Primary_output]], "HYGEN")*PJ2TWh,"")</f>
        <v>0</v>
      </c>
      <c r="U316" s="28">
        <f ca="1">IFERROR(SUMIFS(Outputs[2039],
Outputs[[Capacity]:[Capacity]],"used_capacity",
Outputs[[Cluster]:[Cluster]],$B316,
Outputs[[Primary_output]:[Primary_output]], "HYGEN")*PJ2TWh,"")</f>
        <v>0</v>
      </c>
      <c r="V316" s="28">
        <f ca="1">IFERROR(SUMIFS(Outputs[2040],
Outputs[[Capacity]:[Capacity]],"used_capacity",
Outputs[[Cluster]:[Cluster]],$B316,
Outputs[[Primary_output]:[Primary_output]], "HYGEN")*PJ2TWh,"")</f>
        <v>0</v>
      </c>
      <c r="W316" s="28">
        <f ca="1">IFERROR(SUMIFS(Outputs[2041],
Outputs[[Capacity]:[Capacity]],"used_capacity",
Outputs[[Cluster]:[Cluster]],$B316,
Outputs[[Primary_output]:[Primary_output]], "HYGEN")*PJ2TWh,"")</f>
        <v>0</v>
      </c>
      <c r="X316" s="28">
        <f ca="1">IFERROR(SUMIFS(Outputs[2042],
Outputs[[Capacity]:[Capacity]],"used_capacity",
Outputs[[Cluster]:[Cluster]],$B316,
Outputs[[Primary_output]:[Primary_output]], "HYGEN")*PJ2TWh,"")</f>
        <v>0</v>
      </c>
      <c r="Y316" s="28">
        <f ca="1">IFERROR(SUMIFS(Outputs[2043],
Outputs[[Capacity]:[Capacity]],"used_capacity",
Outputs[[Cluster]:[Cluster]],$B316,
Outputs[[Primary_output]:[Primary_output]], "HYGEN")*PJ2TWh,"")</f>
        <v>0</v>
      </c>
      <c r="Z316" s="28">
        <f ca="1">IFERROR(SUMIFS(Outputs[2044],
Outputs[[Capacity]:[Capacity]],"used_capacity",
Outputs[[Cluster]:[Cluster]],$B316,
Outputs[[Primary_output]:[Primary_output]], "HYGEN")*PJ2TWh,"")</f>
        <v>0</v>
      </c>
      <c r="AA316" s="28">
        <f ca="1">IFERROR(SUMIFS(Outputs[2045],
Outputs[[Capacity]:[Capacity]],"used_capacity",
Outputs[[Cluster]:[Cluster]],$B316,
Outputs[[Primary_output]:[Primary_output]], "HYGEN")*PJ2TWh,"")</f>
        <v>0</v>
      </c>
      <c r="AB316" s="28">
        <f ca="1">IFERROR(SUMIFS(Outputs[2046],
Outputs[[Capacity]:[Capacity]],"used_capacity",
Outputs[[Cluster]:[Cluster]],$B316,
Outputs[[Primary_output]:[Primary_output]], "HYGEN")*PJ2TWh,"")</f>
        <v>0</v>
      </c>
      <c r="AC316" s="28">
        <f ca="1">IFERROR(SUMIFS(Outputs[2047],
Outputs[[Capacity]:[Capacity]],"used_capacity",
Outputs[[Cluster]:[Cluster]],$B316,
Outputs[[Primary_output]:[Primary_output]], "HYGEN")*PJ2TWh,"")</f>
        <v>0</v>
      </c>
      <c r="AD316" s="28">
        <f ca="1">IFERROR(SUMIFS(Outputs[2048],
Outputs[[Capacity]:[Capacity]],"used_capacity",
Outputs[[Cluster]:[Cluster]],$B316,
Outputs[[Primary_output]:[Primary_output]], "HYGEN")*PJ2TWh,"")</f>
        <v>0</v>
      </c>
      <c r="AE316" s="28">
        <f ca="1">IFERROR(SUMIFS(Outputs[2049],
Outputs[[Capacity]:[Capacity]],"used_capacity",
Outputs[[Cluster]:[Cluster]],$B316,
Outputs[[Primary_output]:[Primary_output]], "HYGEN")*PJ2TWh,"")</f>
        <v>0</v>
      </c>
      <c r="AF316" s="28">
        <f ca="1">IFERROR(SUMIFS(Outputs[2050],
Outputs[[Capacity]:[Capacity]],"used_capacity",
Outputs[[Cluster]:[Cluster]],$B316,
Outputs[[Primary_output]:[Primary_output]], "HYGEN")*PJ2TWh,"")</f>
        <v>0</v>
      </c>
      <c r="AG316" s="28">
        <f ca="1">IFERROR(SUMIFS(Outputs[2051],
Outputs[[Capacity]:[Capacity]],"used_capacity",
Outputs[[Cluster]:[Cluster]],$B316,
Outputs[[Primary_output]:[Primary_output]], "HYGEN")*PJ2TWh,"")</f>
        <v>0</v>
      </c>
    </row>
    <row r="317" spans="1:36" x14ac:dyDescent="0.45">
      <c r="A317" s="2"/>
      <c r="B317" t="s">
        <v>72</v>
      </c>
      <c r="C317" s="28">
        <f ca="1">IFERROR(SUMIFS(Outputs[2021],
Outputs[[Capacity]:[Capacity]],"used_capacity",
Outputs[[Cluster]:[Cluster]],$B317,
Outputs[[Primary_output]:[Primary_output]], "HYGEN")*PJ2TWh,"")</f>
        <v>0</v>
      </c>
      <c r="D317" s="28">
        <f ca="1">IFERROR(SUMIFS(Outputs[2022],
Outputs[[Capacity]:[Capacity]],"used_capacity",
Outputs[[Cluster]:[Cluster]],$B317,
Outputs[[Primary_output]:[Primary_output]], "HYGEN")*PJ2TWh,"")</f>
        <v>0</v>
      </c>
      <c r="E317" s="28">
        <f ca="1">IFERROR(SUMIFS(Outputs[2023],
Outputs[[Capacity]:[Capacity]],"used_capacity",
Outputs[[Cluster]:[Cluster]],$B317,
Outputs[[Primary_output]:[Primary_output]], "HYGEN")*PJ2TWh,"")</f>
        <v>0</v>
      </c>
      <c r="F317" s="28">
        <f ca="1">IFERROR(SUMIFS(Outputs[2024],
Outputs[[Capacity]:[Capacity]],"used_capacity",
Outputs[[Cluster]:[Cluster]],$B317,
Outputs[[Primary_output]:[Primary_output]], "HYGEN")*PJ2TWh,"")</f>
        <v>0</v>
      </c>
      <c r="G317" s="28">
        <f ca="1">IFERROR(SUMIFS(Outputs[2025],
Outputs[[Capacity]:[Capacity]],"used_capacity",
Outputs[[Cluster]:[Cluster]],$B317,
Outputs[[Primary_output]:[Primary_output]], "HYGEN")*PJ2TWh,"")</f>
        <v>0</v>
      </c>
      <c r="H317" s="28">
        <f ca="1">IFERROR(SUMIFS(Outputs[2026],
Outputs[[Capacity]:[Capacity]],"used_capacity",
Outputs[[Cluster]:[Cluster]],$B317,
Outputs[[Primary_output]:[Primary_output]], "HYGEN")*PJ2TWh,"")</f>
        <v>0</v>
      </c>
      <c r="I317" s="28">
        <f ca="1">IFERROR(SUMIFS(Outputs[2027],
Outputs[[Capacity]:[Capacity]],"used_capacity",
Outputs[[Cluster]:[Cluster]],$B317,
Outputs[[Primary_output]:[Primary_output]], "HYGEN")*PJ2TWh,"")</f>
        <v>0</v>
      </c>
      <c r="J317" s="28">
        <f ca="1">IFERROR(SUMIFS(Outputs[2028],
Outputs[[Capacity]:[Capacity]],"used_capacity",
Outputs[[Cluster]:[Cluster]],$B317,
Outputs[[Primary_output]:[Primary_output]], "HYGEN")*PJ2TWh,"")</f>
        <v>0</v>
      </c>
      <c r="K317" s="28">
        <f ca="1">IFERROR(SUMIFS(Outputs[2029],
Outputs[[Capacity]:[Capacity]],"used_capacity",
Outputs[[Cluster]:[Cluster]],$B317,
Outputs[[Primary_output]:[Primary_output]], "HYGEN")*PJ2TWh,"")</f>
        <v>0</v>
      </c>
      <c r="L317" s="28">
        <f ca="1">IFERROR(SUMIFS(Outputs[2030],
Outputs[[Capacity]:[Capacity]],"used_capacity",
Outputs[[Cluster]:[Cluster]],$B317,
Outputs[[Primary_output]:[Primary_output]], "HYGEN")*PJ2TWh,"")</f>
        <v>0</v>
      </c>
      <c r="M317" s="28">
        <f ca="1">IFERROR(SUMIFS(Outputs[2031],
Outputs[[Capacity]:[Capacity]],"used_capacity",
Outputs[[Cluster]:[Cluster]],$B317,
Outputs[[Primary_output]:[Primary_output]], "HYGEN")*PJ2TWh,"")</f>
        <v>0</v>
      </c>
      <c r="N317" s="28">
        <f ca="1">IFERROR(SUMIFS(Outputs[2032],
Outputs[[Capacity]:[Capacity]],"used_capacity",
Outputs[[Cluster]:[Cluster]],$B317,
Outputs[[Primary_output]:[Primary_output]], "HYGEN")*PJ2TWh,"")</f>
        <v>0</v>
      </c>
      <c r="O317" s="28">
        <f ca="1">IFERROR(SUMIFS(Outputs[2033],
Outputs[[Capacity]:[Capacity]],"used_capacity",
Outputs[[Cluster]:[Cluster]],$B317,
Outputs[[Primary_output]:[Primary_output]], "HYGEN")*PJ2TWh,"")</f>
        <v>0</v>
      </c>
      <c r="P317" s="28">
        <f ca="1">IFERROR(SUMIFS(Outputs[2034],
Outputs[[Capacity]:[Capacity]],"used_capacity",
Outputs[[Cluster]:[Cluster]],$B317,
Outputs[[Primary_output]:[Primary_output]], "HYGEN")*PJ2TWh,"")</f>
        <v>0</v>
      </c>
      <c r="Q317" s="28">
        <f ca="1">IFERROR(SUMIFS(Outputs[2035],
Outputs[[Capacity]:[Capacity]],"used_capacity",
Outputs[[Cluster]:[Cluster]],$B317,
Outputs[[Primary_output]:[Primary_output]], "HYGEN")*PJ2TWh,"")</f>
        <v>0</v>
      </c>
      <c r="R317" s="28">
        <f ca="1">IFERROR(SUMIFS(Outputs[2036],
Outputs[[Capacity]:[Capacity]],"used_capacity",
Outputs[[Cluster]:[Cluster]],$B317,
Outputs[[Primary_output]:[Primary_output]], "HYGEN")*PJ2TWh,"")</f>
        <v>0</v>
      </c>
      <c r="S317" s="28">
        <f ca="1">IFERROR(SUMIFS(Outputs[2037],
Outputs[[Capacity]:[Capacity]],"used_capacity",
Outputs[[Cluster]:[Cluster]],$B317,
Outputs[[Primary_output]:[Primary_output]], "HYGEN")*PJ2TWh,"")</f>
        <v>0</v>
      </c>
      <c r="T317" s="28">
        <f ca="1">IFERROR(SUMIFS(Outputs[2038],
Outputs[[Capacity]:[Capacity]],"used_capacity",
Outputs[[Cluster]:[Cluster]],$B317,
Outputs[[Primary_output]:[Primary_output]], "HYGEN")*PJ2TWh,"")</f>
        <v>0</v>
      </c>
      <c r="U317" s="28">
        <f ca="1">IFERROR(SUMIFS(Outputs[2039],
Outputs[[Capacity]:[Capacity]],"used_capacity",
Outputs[[Cluster]:[Cluster]],$B317,
Outputs[[Primary_output]:[Primary_output]], "HYGEN")*PJ2TWh,"")</f>
        <v>0</v>
      </c>
      <c r="V317" s="28">
        <f ca="1">IFERROR(SUMIFS(Outputs[2040],
Outputs[[Capacity]:[Capacity]],"used_capacity",
Outputs[[Cluster]:[Cluster]],$B317,
Outputs[[Primary_output]:[Primary_output]], "HYGEN")*PJ2TWh,"")</f>
        <v>0</v>
      </c>
      <c r="W317" s="28">
        <f ca="1">IFERROR(SUMIFS(Outputs[2041],
Outputs[[Capacity]:[Capacity]],"used_capacity",
Outputs[[Cluster]:[Cluster]],$B317,
Outputs[[Primary_output]:[Primary_output]], "HYGEN")*PJ2TWh,"")</f>
        <v>0</v>
      </c>
      <c r="X317" s="28">
        <f ca="1">IFERROR(SUMIFS(Outputs[2042],
Outputs[[Capacity]:[Capacity]],"used_capacity",
Outputs[[Cluster]:[Cluster]],$B317,
Outputs[[Primary_output]:[Primary_output]], "HYGEN")*PJ2TWh,"")</f>
        <v>0</v>
      </c>
      <c r="Y317" s="28">
        <f ca="1">IFERROR(SUMIFS(Outputs[2043],
Outputs[[Capacity]:[Capacity]],"used_capacity",
Outputs[[Cluster]:[Cluster]],$B317,
Outputs[[Primary_output]:[Primary_output]], "HYGEN")*PJ2TWh,"")</f>
        <v>0</v>
      </c>
      <c r="Z317" s="28">
        <f ca="1">IFERROR(SUMIFS(Outputs[2044],
Outputs[[Capacity]:[Capacity]],"used_capacity",
Outputs[[Cluster]:[Cluster]],$B317,
Outputs[[Primary_output]:[Primary_output]], "HYGEN")*PJ2TWh,"")</f>
        <v>0</v>
      </c>
      <c r="AA317" s="28">
        <f ca="1">IFERROR(SUMIFS(Outputs[2045],
Outputs[[Capacity]:[Capacity]],"used_capacity",
Outputs[[Cluster]:[Cluster]],$B317,
Outputs[[Primary_output]:[Primary_output]], "HYGEN")*PJ2TWh,"")</f>
        <v>0</v>
      </c>
      <c r="AB317" s="28">
        <f ca="1">IFERROR(SUMIFS(Outputs[2046],
Outputs[[Capacity]:[Capacity]],"used_capacity",
Outputs[[Cluster]:[Cluster]],$B317,
Outputs[[Primary_output]:[Primary_output]], "HYGEN")*PJ2TWh,"")</f>
        <v>0</v>
      </c>
      <c r="AC317" s="28">
        <f ca="1">IFERROR(SUMIFS(Outputs[2047],
Outputs[[Capacity]:[Capacity]],"used_capacity",
Outputs[[Cluster]:[Cluster]],$B317,
Outputs[[Primary_output]:[Primary_output]], "HYGEN")*PJ2TWh,"")</f>
        <v>0</v>
      </c>
      <c r="AD317" s="28">
        <f ca="1">IFERROR(SUMIFS(Outputs[2048],
Outputs[[Capacity]:[Capacity]],"used_capacity",
Outputs[[Cluster]:[Cluster]],$B317,
Outputs[[Primary_output]:[Primary_output]], "HYGEN")*PJ2TWh,"")</f>
        <v>0</v>
      </c>
      <c r="AE317" s="28">
        <f ca="1">IFERROR(SUMIFS(Outputs[2049],
Outputs[[Capacity]:[Capacity]],"used_capacity",
Outputs[[Cluster]:[Cluster]],$B317,
Outputs[[Primary_output]:[Primary_output]], "HYGEN")*PJ2TWh,"")</f>
        <v>0</v>
      </c>
      <c r="AF317" s="28">
        <f ca="1">IFERROR(SUMIFS(Outputs[2050],
Outputs[[Capacity]:[Capacity]],"used_capacity",
Outputs[[Cluster]:[Cluster]],$B317,
Outputs[[Primary_output]:[Primary_output]], "HYGEN")*PJ2TWh,"")</f>
        <v>0</v>
      </c>
      <c r="AG317" s="28">
        <f ca="1">IFERROR(SUMIFS(Outputs[2051],
Outputs[[Capacity]:[Capacity]],"used_capacity",
Outputs[[Cluster]:[Cluster]],$B317,
Outputs[[Primary_output]:[Primary_output]], "HYGEN")*PJ2TWh,"")</f>
        <v>0</v>
      </c>
    </row>
    <row r="318" spans="1:36" x14ac:dyDescent="0.45">
      <c r="A318" s="2"/>
      <c r="B318" t="s">
        <v>73</v>
      </c>
      <c r="C318" s="28">
        <f ca="1">IFERROR(SUMIFS(Outputs[2021],
Outputs[[Capacity]:[Capacity]],"used_capacity",
Outputs[[Cluster]:[Cluster]],$B318,
Outputs[[Primary_output]:[Primary_output]], "HYGEN")*PJ2TWh,"")</f>
        <v>0</v>
      </c>
      <c r="D318" s="28">
        <f ca="1">IFERROR(SUMIFS(Outputs[2022],
Outputs[[Capacity]:[Capacity]],"used_capacity",
Outputs[[Cluster]:[Cluster]],$B318,
Outputs[[Primary_output]:[Primary_output]], "HYGEN")*PJ2TWh,"")</f>
        <v>0</v>
      </c>
      <c r="E318" s="28">
        <f ca="1">IFERROR(SUMIFS(Outputs[2023],
Outputs[[Capacity]:[Capacity]],"used_capacity",
Outputs[[Cluster]:[Cluster]],$B318,
Outputs[[Primary_output]:[Primary_output]], "HYGEN")*PJ2TWh,"")</f>
        <v>0</v>
      </c>
      <c r="F318" s="28">
        <f ca="1">IFERROR(SUMIFS(Outputs[2024],
Outputs[[Capacity]:[Capacity]],"used_capacity",
Outputs[[Cluster]:[Cluster]],$B318,
Outputs[[Primary_output]:[Primary_output]], "HYGEN")*PJ2TWh,"")</f>
        <v>0</v>
      </c>
      <c r="G318" s="28">
        <f ca="1">IFERROR(SUMIFS(Outputs[2025],
Outputs[[Capacity]:[Capacity]],"used_capacity",
Outputs[[Cluster]:[Cluster]],$B318,
Outputs[[Primary_output]:[Primary_output]], "HYGEN")*PJ2TWh,"")</f>
        <v>0</v>
      </c>
      <c r="H318" s="28">
        <f ca="1">IFERROR(SUMIFS(Outputs[2026],
Outputs[[Capacity]:[Capacity]],"used_capacity",
Outputs[[Cluster]:[Cluster]],$B318,
Outputs[[Primary_output]:[Primary_output]], "HYGEN")*PJ2TWh,"")</f>
        <v>0</v>
      </c>
      <c r="I318" s="28">
        <f ca="1">IFERROR(SUMIFS(Outputs[2027],
Outputs[[Capacity]:[Capacity]],"used_capacity",
Outputs[[Cluster]:[Cluster]],$B318,
Outputs[[Primary_output]:[Primary_output]], "HYGEN")*PJ2TWh,"")</f>
        <v>0</v>
      </c>
      <c r="J318" s="28">
        <f ca="1">IFERROR(SUMIFS(Outputs[2028],
Outputs[[Capacity]:[Capacity]],"used_capacity",
Outputs[[Cluster]:[Cluster]],$B318,
Outputs[[Primary_output]:[Primary_output]], "HYGEN")*PJ2TWh,"")</f>
        <v>0</v>
      </c>
      <c r="K318" s="28">
        <f ca="1">IFERROR(SUMIFS(Outputs[2029],
Outputs[[Capacity]:[Capacity]],"used_capacity",
Outputs[[Cluster]:[Cluster]],$B318,
Outputs[[Primary_output]:[Primary_output]], "HYGEN")*PJ2TWh,"")</f>
        <v>0</v>
      </c>
      <c r="L318" s="28">
        <f ca="1">IFERROR(SUMIFS(Outputs[2030],
Outputs[[Capacity]:[Capacity]],"used_capacity",
Outputs[[Cluster]:[Cluster]],$B318,
Outputs[[Primary_output]:[Primary_output]], "HYGEN")*PJ2TWh,"")</f>
        <v>0</v>
      </c>
      <c r="M318" s="28">
        <f ca="1">IFERROR(SUMIFS(Outputs[2031],
Outputs[[Capacity]:[Capacity]],"used_capacity",
Outputs[[Cluster]:[Cluster]],$B318,
Outputs[[Primary_output]:[Primary_output]], "HYGEN")*PJ2TWh,"")</f>
        <v>0</v>
      </c>
      <c r="N318" s="28">
        <f ca="1">IFERROR(SUMIFS(Outputs[2032],
Outputs[[Capacity]:[Capacity]],"used_capacity",
Outputs[[Cluster]:[Cluster]],$B318,
Outputs[[Primary_output]:[Primary_output]], "HYGEN")*PJ2TWh,"")</f>
        <v>0</v>
      </c>
      <c r="O318" s="28">
        <f ca="1">IFERROR(SUMIFS(Outputs[2033],
Outputs[[Capacity]:[Capacity]],"used_capacity",
Outputs[[Cluster]:[Cluster]],$B318,
Outputs[[Primary_output]:[Primary_output]], "HYGEN")*PJ2TWh,"")</f>
        <v>0</v>
      </c>
      <c r="P318" s="28">
        <f ca="1">IFERROR(SUMIFS(Outputs[2034],
Outputs[[Capacity]:[Capacity]],"used_capacity",
Outputs[[Cluster]:[Cluster]],$B318,
Outputs[[Primary_output]:[Primary_output]], "HYGEN")*PJ2TWh,"")</f>
        <v>0</v>
      </c>
      <c r="Q318" s="28">
        <f ca="1">IFERROR(SUMIFS(Outputs[2035],
Outputs[[Capacity]:[Capacity]],"used_capacity",
Outputs[[Cluster]:[Cluster]],$B318,
Outputs[[Primary_output]:[Primary_output]], "HYGEN")*PJ2TWh,"")</f>
        <v>0</v>
      </c>
      <c r="R318" s="28">
        <f ca="1">IFERROR(SUMIFS(Outputs[2036],
Outputs[[Capacity]:[Capacity]],"used_capacity",
Outputs[[Cluster]:[Cluster]],$B318,
Outputs[[Primary_output]:[Primary_output]], "HYGEN")*PJ2TWh,"")</f>
        <v>0</v>
      </c>
      <c r="S318" s="28">
        <f ca="1">IFERROR(SUMIFS(Outputs[2037],
Outputs[[Capacity]:[Capacity]],"used_capacity",
Outputs[[Cluster]:[Cluster]],$B318,
Outputs[[Primary_output]:[Primary_output]], "HYGEN")*PJ2TWh,"")</f>
        <v>0</v>
      </c>
      <c r="T318" s="28">
        <f ca="1">IFERROR(SUMIFS(Outputs[2038],
Outputs[[Capacity]:[Capacity]],"used_capacity",
Outputs[[Cluster]:[Cluster]],$B318,
Outputs[[Primary_output]:[Primary_output]], "HYGEN")*PJ2TWh,"")</f>
        <v>0</v>
      </c>
      <c r="U318" s="28">
        <f ca="1">IFERROR(SUMIFS(Outputs[2039],
Outputs[[Capacity]:[Capacity]],"used_capacity",
Outputs[[Cluster]:[Cluster]],$B318,
Outputs[[Primary_output]:[Primary_output]], "HYGEN")*PJ2TWh,"")</f>
        <v>0</v>
      </c>
      <c r="V318" s="28">
        <f ca="1">IFERROR(SUMIFS(Outputs[2040],
Outputs[[Capacity]:[Capacity]],"used_capacity",
Outputs[[Cluster]:[Cluster]],$B318,
Outputs[[Primary_output]:[Primary_output]], "HYGEN")*PJ2TWh,"")</f>
        <v>0</v>
      </c>
      <c r="W318" s="28">
        <f ca="1">IFERROR(SUMIFS(Outputs[2041],
Outputs[[Capacity]:[Capacity]],"used_capacity",
Outputs[[Cluster]:[Cluster]],$B318,
Outputs[[Primary_output]:[Primary_output]], "HYGEN")*PJ2TWh,"")</f>
        <v>0</v>
      </c>
      <c r="X318" s="28">
        <f ca="1">IFERROR(SUMIFS(Outputs[2042],
Outputs[[Capacity]:[Capacity]],"used_capacity",
Outputs[[Cluster]:[Cluster]],$B318,
Outputs[[Primary_output]:[Primary_output]], "HYGEN")*PJ2TWh,"")</f>
        <v>0</v>
      </c>
      <c r="Y318" s="28">
        <f ca="1">IFERROR(SUMIFS(Outputs[2043],
Outputs[[Capacity]:[Capacity]],"used_capacity",
Outputs[[Cluster]:[Cluster]],$B318,
Outputs[[Primary_output]:[Primary_output]], "HYGEN")*PJ2TWh,"")</f>
        <v>0</v>
      </c>
      <c r="Z318" s="28">
        <f ca="1">IFERROR(SUMIFS(Outputs[2044],
Outputs[[Capacity]:[Capacity]],"used_capacity",
Outputs[[Cluster]:[Cluster]],$B318,
Outputs[[Primary_output]:[Primary_output]], "HYGEN")*PJ2TWh,"")</f>
        <v>0</v>
      </c>
      <c r="AA318" s="28">
        <f ca="1">IFERROR(SUMIFS(Outputs[2045],
Outputs[[Capacity]:[Capacity]],"used_capacity",
Outputs[[Cluster]:[Cluster]],$B318,
Outputs[[Primary_output]:[Primary_output]], "HYGEN")*PJ2TWh,"")</f>
        <v>0</v>
      </c>
      <c r="AB318" s="28">
        <f ca="1">IFERROR(SUMIFS(Outputs[2046],
Outputs[[Capacity]:[Capacity]],"used_capacity",
Outputs[[Cluster]:[Cluster]],$B318,
Outputs[[Primary_output]:[Primary_output]], "HYGEN")*PJ2TWh,"")</f>
        <v>0</v>
      </c>
      <c r="AC318" s="28">
        <f ca="1">IFERROR(SUMIFS(Outputs[2047],
Outputs[[Capacity]:[Capacity]],"used_capacity",
Outputs[[Cluster]:[Cluster]],$B318,
Outputs[[Primary_output]:[Primary_output]], "HYGEN")*PJ2TWh,"")</f>
        <v>0</v>
      </c>
      <c r="AD318" s="28">
        <f ca="1">IFERROR(SUMIFS(Outputs[2048],
Outputs[[Capacity]:[Capacity]],"used_capacity",
Outputs[[Cluster]:[Cluster]],$B318,
Outputs[[Primary_output]:[Primary_output]], "HYGEN")*PJ2TWh,"")</f>
        <v>0</v>
      </c>
      <c r="AE318" s="28">
        <f ca="1">IFERROR(SUMIFS(Outputs[2049],
Outputs[[Capacity]:[Capacity]],"used_capacity",
Outputs[[Cluster]:[Cluster]],$B318,
Outputs[[Primary_output]:[Primary_output]], "HYGEN")*PJ2TWh,"")</f>
        <v>0</v>
      </c>
      <c r="AF318" s="28">
        <f ca="1">IFERROR(SUMIFS(Outputs[2050],
Outputs[[Capacity]:[Capacity]],"used_capacity",
Outputs[[Cluster]:[Cluster]],$B318,
Outputs[[Primary_output]:[Primary_output]], "HYGEN")*PJ2TWh,"")</f>
        <v>0</v>
      </c>
      <c r="AG318" s="28">
        <f ca="1">IFERROR(SUMIFS(Outputs[2051],
Outputs[[Capacity]:[Capacity]],"used_capacity",
Outputs[[Cluster]:[Cluster]],$B318,
Outputs[[Primary_output]:[Primary_output]], "HYGEN")*PJ2TWh,"")</f>
        <v>0</v>
      </c>
    </row>
    <row r="319" spans="1:36" x14ac:dyDescent="0.45">
      <c r="A319" s="2"/>
      <c r="B319" t="s">
        <v>74</v>
      </c>
      <c r="C319" s="28">
        <f ca="1">IFERROR(SUMIFS(Outputs[2021],
Outputs[[Capacity]:[Capacity]],"used_capacity",
Outputs[[Cluster]:[Cluster]],$B319,
Outputs[[Primary_output]:[Primary_output]], "HYGEN")*PJ2TWh,"")</f>
        <v>0</v>
      </c>
      <c r="D319" s="28">
        <f ca="1">IFERROR(SUMIFS(Outputs[2022],
Outputs[[Capacity]:[Capacity]],"used_capacity",
Outputs[[Cluster]:[Cluster]],$B319,
Outputs[[Primary_output]:[Primary_output]], "HYGEN")*PJ2TWh,"")</f>
        <v>0</v>
      </c>
      <c r="E319" s="28">
        <f ca="1">IFERROR(SUMIFS(Outputs[2023],
Outputs[[Capacity]:[Capacity]],"used_capacity",
Outputs[[Cluster]:[Cluster]],$B319,
Outputs[[Primary_output]:[Primary_output]], "HYGEN")*PJ2TWh,"")</f>
        <v>0</v>
      </c>
      <c r="F319" s="28">
        <f ca="1">IFERROR(SUMIFS(Outputs[2024],
Outputs[[Capacity]:[Capacity]],"used_capacity",
Outputs[[Cluster]:[Cluster]],$B319,
Outputs[[Primary_output]:[Primary_output]], "HYGEN")*PJ2TWh,"")</f>
        <v>0</v>
      </c>
      <c r="G319" s="28">
        <f ca="1">IFERROR(SUMIFS(Outputs[2025],
Outputs[[Capacity]:[Capacity]],"used_capacity",
Outputs[[Cluster]:[Cluster]],$B319,
Outputs[[Primary_output]:[Primary_output]], "HYGEN")*PJ2TWh,"")</f>
        <v>0</v>
      </c>
      <c r="H319" s="28">
        <f ca="1">IFERROR(SUMIFS(Outputs[2026],
Outputs[[Capacity]:[Capacity]],"used_capacity",
Outputs[[Cluster]:[Cluster]],$B319,
Outputs[[Primary_output]:[Primary_output]], "HYGEN")*PJ2TWh,"")</f>
        <v>0</v>
      </c>
      <c r="I319" s="28">
        <f ca="1">IFERROR(SUMIFS(Outputs[2027],
Outputs[[Capacity]:[Capacity]],"used_capacity",
Outputs[[Cluster]:[Cluster]],$B319,
Outputs[[Primary_output]:[Primary_output]], "HYGEN")*PJ2TWh,"")</f>
        <v>0</v>
      </c>
      <c r="J319" s="28">
        <f ca="1">IFERROR(SUMIFS(Outputs[2028],
Outputs[[Capacity]:[Capacity]],"used_capacity",
Outputs[[Cluster]:[Cluster]],$B319,
Outputs[[Primary_output]:[Primary_output]], "HYGEN")*PJ2TWh,"")</f>
        <v>0</v>
      </c>
      <c r="K319" s="28">
        <f ca="1">IFERROR(SUMIFS(Outputs[2029],
Outputs[[Capacity]:[Capacity]],"used_capacity",
Outputs[[Cluster]:[Cluster]],$B319,
Outputs[[Primary_output]:[Primary_output]], "HYGEN")*PJ2TWh,"")</f>
        <v>0</v>
      </c>
      <c r="L319" s="28">
        <f ca="1">IFERROR(SUMIFS(Outputs[2030],
Outputs[[Capacity]:[Capacity]],"used_capacity",
Outputs[[Cluster]:[Cluster]],$B319,
Outputs[[Primary_output]:[Primary_output]], "HYGEN")*PJ2TWh,"")</f>
        <v>0</v>
      </c>
      <c r="M319" s="28">
        <f ca="1">IFERROR(SUMIFS(Outputs[2031],
Outputs[[Capacity]:[Capacity]],"used_capacity",
Outputs[[Cluster]:[Cluster]],$B319,
Outputs[[Primary_output]:[Primary_output]], "HYGEN")*PJ2TWh,"")</f>
        <v>0</v>
      </c>
      <c r="N319" s="28">
        <f ca="1">IFERROR(SUMIFS(Outputs[2032],
Outputs[[Capacity]:[Capacity]],"used_capacity",
Outputs[[Cluster]:[Cluster]],$B319,
Outputs[[Primary_output]:[Primary_output]], "HYGEN")*PJ2TWh,"")</f>
        <v>0</v>
      </c>
      <c r="O319" s="28">
        <f ca="1">IFERROR(SUMIFS(Outputs[2033],
Outputs[[Capacity]:[Capacity]],"used_capacity",
Outputs[[Cluster]:[Cluster]],$B319,
Outputs[[Primary_output]:[Primary_output]], "HYGEN")*PJ2TWh,"")</f>
        <v>0</v>
      </c>
      <c r="P319" s="28">
        <f ca="1">IFERROR(SUMIFS(Outputs[2034],
Outputs[[Capacity]:[Capacity]],"used_capacity",
Outputs[[Cluster]:[Cluster]],$B319,
Outputs[[Primary_output]:[Primary_output]], "HYGEN")*PJ2TWh,"")</f>
        <v>0</v>
      </c>
      <c r="Q319" s="28">
        <f ca="1">IFERROR(SUMIFS(Outputs[2035],
Outputs[[Capacity]:[Capacity]],"used_capacity",
Outputs[[Cluster]:[Cluster]],$B319,
Outputs[[Primary_output]:[Primary_output]], "HYGEN")*PJ2TWh,"")</f>
        <v>0</v>
      </c>
      <c r="R319" s="28">
        <f ca="1">IFERROR(SUMIFS(Outputs[2036],
Outputs[[Capacity]:[Capacity]],"used_capacity",
Outputs[[Cluster]:[Cluster]],$B319,
Outputs[[Primary_output]:[Primary_output]], "HYGEN")*PJ2TWh,"")</f>
        <v>0</v>
      </c>
      <c r="S319" s="28">
        <f ca="1">IFERROR(SUMIFS(Outputs[2037],
Outputs[[Capacity]:[Capacity]],"used_capacity",
Outputs[[Cluster]:[Cluster]],$B319,
Outputs[[Primary_output]:[Primary_output]], "HYGEN")*PJ2TWh,"")</f>
        <v>0</v>
      </c>
      <c r="T319" s="28">
        <f ca="1">IFERROR(SUMIFS(Outputs[2038],
Outputs[[Capacity]:[Capacity]],"used_capacity",
Outputs[[Cluster]:[Cluster]],$B319,
Outputs[[Primary_output]:[Primary_output]], "HYGEN")*PJ2TWh,"")</f>
        <v>0</v>
      </c>
      <c r="U319" s="28">
        <f ca="1">IFERROR(SUMIFS(Outputs[2039],
Outputs[[Capacity]:[Capacity]],"used_capacity",
Outputs[[Cluster]:[Cluster]],$B319,
Outputs[[Primary_output]:[Primary_output]], "HYGEN")*PJ2TWh,"")</f>
        <v>0</v>
      </c>
      <c r="V319" s="28">
        <f ca="1">IFERROR(SUMIFS(Outputs[2040],
Outputs[[Capacity]:[Capacity]],"used_capacity",
Outputs[[Cluster]:[Cluster]],$B319,
Outputs[[Primary_output]:[Primary_output]], "HYGEN")*PJ2TWh,"")</f>
        <v>0</v>
      </c>
      <c r="W319" s="28">
        <f ca="1">IFERROR(SUMIFS(Outputs[2041],
Outputs[[Capacity]:[Capacity]],"used_capacity",
Outputs[[Cluster]:[Cluster]],$B319,
Outputs[[Primary_output]:[Primary_output]], "HYGEN")*PJ2TWh,"")</f>
        <v>0</v>
      </c>
      <c r="X319" s="28">
        <f ca="1">IFERROR(SUMIFS(Outputs[2042],
Outputs[[Capacity]:[Capacity]],"used_capacity",
Outputs[[Cluster]:[Cluster]],$B319,
Outputs[[Primary_output]:[Primary_output]], "HYGEN")*PJ2TWh,"")</f>
        <v>0</v>
      </c>
      <c r="Y319" s="28">
        <f ca="1">IFERROR(SUMIFS(Outputs[2043],
Outputs[[Capacity]:[Capacity]],"used_capacity",
Outputs[[Cluster]:[Cluster]],$B319,
Outputs[[Primary_output]:[Primary_output]], "HYGEN")*PJ2TWh,"")</f>
        <v>0</v>
      </c>
      <c r="Z319" s="28">
        <f ca="1">IFERROR(SUMIFS(Outputs[2044],
Outputs[[Capacity]:[Capacity]],"used_capacity",
Outputs[[Cluster]:[Cluster]],$B319,
Outputs[[Primary_output]:[Primary_output]], "HYGEN")*PJ2TWh,"")</f>
        <v>0</v>
      </c>
      <c r="AA319" s="28">
        <f ca="1">IFERROR(SUMIFS(Outputs[2045],
Outputs[[Capacity]:[Capacity]],"used_capacity",
Outputs[[Cluster]:[Cluster]],$B319,
Outputs[[Primary_output]:[Primary_output]], "HYGEN")*PJ2TWh,"")</f>
        <v>0</v>
      </c>
      <c r="AB319" s="28">
        <f ca="1">IFERROR(SUMIFS(Outputs[2046],
Outputs[[Capacity]:[Capacity]],"used_capacity",
Outputs[[Cluster]:[Cluster]],$B319,
Outputs[[Primary_output]:[Primary_output]], "HYGEN")*PJ2TWh,"")</f>
        <v>0</v>
      </c>
      <c r="AC319" s="28">
        <f ca="1">IFERROR(SUMIFS(Outputs[2047],
Outputs[[Capacity]:[Capacity]],"used_capacity",
Outputs[[Cluster]:[Cluster]],$B319,
Outputs[[Primary_output]:[Primary_output]], "HYGEN")*PJ2TWh,"")</f>
        <v>0</v>
      </c>
      <c r="AD319" s="28">
        <f ca="1">IFERROR(SUMIFS(Outputs[2048],
Outputs[[Capacity]:[Capacity]],"used_capacity",
Outputs[[Cluster]:[Cluster]],$B319,
Outputs[[Primary_output]:[Primary_output]], "HYGEN")*PJ2TWh,"")</f>
        <v>0</v>
      </c>
      <c r="AE319" s="28">
        <f ca="1">IFERROR(SUMIFS(Outputs[2049],
Outputs[[Capacity]:[Capacity]],"used_capacity",
Outputs[[Cluster]:[Cluster]],$B319,
Outputs[[Primary_output]:[Primary_output]], "HYGEN")*PJ2TWh,"")</f>
        <v>0</v>
      </c>
      <c r="AF319" s="28">
        <f ca="1">IFERROR(SUMIFS(Outputs[2050],
Outputs[[Capacity]:[Capacity]],"used_capacity",
Outputs[[Cluster]:[Cluster]],$B319,
Outputs[[Primary_output]:[Primary_output]], "HYGEN")*PJ2TWh,"")</f>
        <v>0</v>
      </c>
      <c r="AG319" s="28">
        <f ca="1">IFERROR(SUMIFS(Outputs[2051],
Outputs[[Capacity]:[Capacity]],"used_capacity",
Outputs[[Cluster]:[Cluster]],$B319,
Outputs[[Primary_output]:[Primary_output]], "HYGEN")*PJ2TWh,"")</f>
        <v>0</v>
      </c>
    </row>
    <row r="320" spans="1:36" x14ac:dyDescent="0.45">
      <c r="A320" s="2"/>
      <c r="B320" t="s">
        <v>75</v>
      </c>
      <c r="C320" s="28">
        <f ca="1">IFERROR(SUMIFS(Outputs[2021],
Outputs[[Capacity]:[Capacity]],"used_capacity",
Outputs[[Cluster]:[Cluster]],$B320,
Outputs[[Primary_output]:[Primary_output]], "HYGEN")*PJ2TWh,"")</f>
        <v>0</v>
      </c>
      <c r="D320" s="28">
        <f ca="1">IFERROR(SUMIFS(Outputs[2022],
Outputs[[Capacity]:[Capacity]],"used_capacity",
Outputs[[Cluster]:[Cluster]],$B320,
Outputs[[Primary_output]:[Primary_output]], "HYGEN")*PJ2TWh,"")</f>
        <v>0</v>
      </c>
      <c r="E320" s="28">
        <f ca="1">IFERROR(SUMIFS(Outputs[2023],
Outputs[[Capacity]:[Capacity]],"used_capacity",
Outputs[[Cluster]:[Cluster]],$B320,
Outputs[[Primary_output]:[Primary_output]], "HYGEN")*PJ2TWh,"")</f>
        <v>0</v>
      </c>
      <c r="F320" s="28">
        <f ca="1">IFERROR(SUMIFS(Outputs[2024],
Outputs[[Capacity]:[Capacity]],"used_capacity",
Outputs[[Cluster]:[Cluster]],$B320,
Outputs[[Primary_output]:[Primary_output]], "HYGEN")*PJ2TWh,"")</f>
        <v>0</v>
      </c>
      <c r="G320" s="28">
        <f ca="1">IFERROR(SUMIFS(Outputs[2025],
Outputs[[Capacity]:[Capacity]],"used_capacity",
Outputs[[Cluster]:[Cluster]],$B320,
Outputs[[Primary_output]:[Primary_output]], "HYGEN")*PJ2TWh,"")</f>
        <v>0</v>
      </c>
      <c r="H320" s="28">
        <f ca="1">IFERROR(SUMIFS(Outputs[2026],
Outputs[[Capacity]:[Capacity]],"used_capacity",
Outputs[[Cluster]:[Cluster]],$B320,
Outputs[[Primary_output]:[Primary_output]], "HYGEN")*PJ2TWh,"")</f>
        <v>0</v>
      </c>
      <c r="I320" s="28">
        <f ca="1">IFERROR(SUMIFS(Outputs[2027],
Outputs[[Capacity]:[Capacity]],"used_capacity",
Outputs[[Cluster]:[Cluster]],$B320,
Outputs[[Primary_output]:[Primary_output]], "HYGEN")*PJ2TWh,"")</f>
        <v>0</v>
      </c>
      <c r="J320" s="28">
        <f ca="1">IFERROR(SUMIFS(Outputs[2028],
Outputs[[Capacity]:[Capacity]],"used_capacity",
Outputs[[Cluster]:[Cluster]],$B320,
Outputs[[Primary_output]:[Primary_output]], "HYGEN")*PJ2TWh,"")</f>
        <v>0</v>
      </c>
      <c r="K320" s="28">
        <f ca="1">IFERROR(SUMIFS(Outputs[2029],
Outputs[[Capacity]:[Capacity]],"used_capacity",
Outputs[[Cluster]:[Cluster]],$B320,
Outputs[[Primary_output]:[Primary_output]], "HYGEN")*PJ2TWh,"")</f>
        <v>0</v>
      </c>
      <c r="L320" s="28">
        <f ca="1">IFERROR(SUMIFS(Outputs[2030],
Outputs[[Capacity]:[Capacity]],"used_capacity",
Outputs[[Cluster]:[Cluster]],$B320,
Outputs[[Primary_output]:[Primary_output]], "HYGEN")*PJ2TWh,"")</f>
        <v>0</v>
      </c>
      <c r="M320" s="28">
        <f ca="1">IFERROR(SUMIFS(Outputs[2031],
Outputs[[Capacity]:[Capacity]],"used_capacity",
Outputs[[Cluster]:[Cluster]],$B320,
Outputs[[Primary_output]:[Primary_output]], "HYGEN")*PJ2TWh,"")</f>
        <v>0</v>
      </c>
      <c r="N320" s="28">
        <f ca="1">IFERROR(SUMIFS(Outputs[2032],
Outputs[[Capacity]:[Capacity]],"used_capacity",
Outputs[[Cluster]:[Cluster]],$B320,
Outputs[[Primary_output]:[Primary_output]], "HYGEN")*PJ2TWh,"")</f>
        <v>0</v>
      </c>
      <c r="O320" s="28">
        <f ca="1">IFERROR(SUMIFS(Outputs[2033],
Outputs[[Capacity]:[Capacity]],"used_capacity",
Outputs[[Cluster]:[Cluster]],$B320,
Outputs[[Primary_output]:[Primary_output]], "HYGEN")*PJ2TWh,"")</f>
        <v>0</v>
      </c>
      <c r="P320" s="28">
        <f ca="1">IFERROR(SUMIFS(Outputs[2034],
Outputs[[Capacity]:[Capacity]],"used_capacity",
Outputs[[Cluster]:[Cluster]],$B320,
Outputs[[Primary_output]:[Primary_output]], "HYGEN")*PJ2TWh,"")</f>
        <v>0</v>
      </c>
      <c r="Q320" s="28">
        <f ca="1">IFERROR(SUMIFS(Outputs[2035],
Outputs[[Capacity]:[Capacity]],"used_capacity",
Outputs[[Cluster]:[Cluster]],$B320,
Outputs[[Primary_output]:[Primary_output]], "HYGEN")*PJ2TWh,"")</f>
        <v>0</v>
      </c>
      <c r="R320" s="28">
        <f ca="1">IFERROR(SUMIFS(Outputs[2036],
Outputs[[Capacity]:[Capacity]],"used_capacity",
Outputs[[Cluster]:[Cluster]],$B320,
Outputs[[Primary_output]:[Primary_output]], "HYGEN")*PJ2TWh,"")</f>
        <v>0</v>
      </c>
      <c r="S320" s="28">
        <f ca="1">IFERROR(SUMIFS(Outputs[2037],
Outputs[[Capacity]:[Capacity]],"used_capacity",
Outputs[[Cluster]:[Cluster]],$B320,
Outputs[[Primary_output]:[Primary_output]], "HYGEN")*PJ2TWh,"")</f>
        <v>0</v>
      </c>
      <c r="T320" s="28">
        <f ca="1">IFERROR(SUMIFS(Outputs[2038],
Outputs[[Capacity]:[Capacity]],"used_capacity",
Outputs[[Cluster]:[Cluster]],$B320,
Outputs[[Primary_output]:[Primary_output]], "HYGEN")*PJ2TWh,"")</f>
        <v>0</v>
      </c>
      <c r="U320" s="28">
        <f ca="1">IFERROR(SUMIFS(Outputs[2039],
Outputs[[Capacity]:[Capacity]],"used_capacity",
Outputs[[Cluster]:[Cluster]],$B320,
Outputs[[Primary_output]:[Primary_output]], "HYGEN")*PJ2TWh,"")</f>
        <v>0</v>
      </c>
      <c r="V320" s="28">
        <f ca="1">IFERROR(SUMIFS(Outputs[2040],
Outputs[[Capacity]:[Capacity]],"used_capacity",
Outputs[[Cluster]:[Cluster]],$B320,
Outputs[[Primary_output]:[Primary_output]], "HYGEN")*PJ2TWh,"")</f>
        <v>0</v>
      </c>
      <c r="W320" s="28">
        <f ca="1">IFERROR(SUMIFS(Outputs[2041],
Outputs[[Capacity]:[Capacity]],"used_capacity",
Outputs[[Cluster]:[Cluster]],$B320,
Outputs[[Primary_output]:[Primary_output]], "HYGEN")*PJ2TWh,"")</f>
        <v>0</v>
      </c>
      <c r="X320" s="28">
        <f ca="1">IFERROR(SUMIFS(Outputs[2042],
Outputs[[Capacity]:[Capacity]],"used_capacity",
Outputs[[Cluster]:[Cluster]],$B320,
Outputs[[Primary_output]:[Primary_output]], "HYGEN")*PJ2TWh,"")</f>
        <v>0</v>
      </c>
      <c r="Y320" s="28">
        <f ca="1">IFERROR(SUMIFS(Outputs[2043],
Outputs[[Capacity]:[Capacity]],"used_capacity",
Outputs[[Cluster]:[Cluster]],$B320,
Outputs[[Primary_output]:[Primary_output]], "HYGEN")*PJ2TWh,"")</f>
        <v>0</v>
      </c>
      <c r="Z320" s="28">
        <f ca="1">IFERROR(SUMIFS(Outputs[2044],
Outputs[[Capacity]:[Capacity]],"used_capacity",
Outputs[[Cluster]:[Cluster]],$B320,
Outputs[[Primary_output]:[Primary_output]], "HYGEN")*PJ2TWh,"")</f>
        <v>0</v>
      </c>
      <c r="AA320" s="28">
        <f ca="1">IFERROR(SUMIFS(Outputs[2045],
Outputs[[Capacity]:[Capacity]],"used_capacity",
Outputs[[Cluster]:[Cluster]],$B320,
Outputs[[Primary_output]:[Primary_output]], "HYGEN")*PJ2TWh,"")</f>
        <v>0</v>
      </c>
      <c r="AB320" s="28">
        <f ca="1">IFERROR(SUMIFS(Outputs[2046],
Outputs[[Capacity]:[Capacity]],"used_capacity",
Outputs[[Cluster]:[Cluster]],$B320,
Outputs[[Primary_output]:[Primary_output]], "HYGEN")*PJ2TWh,"")</f>
        <v>0</v>
      </c>
      <c r="AC320" s="28">
        <f ca="1">IFERROR(SUMIFS(Outputs[2047],
Outputs[[Capacity]:[Capacity]],"used_capacity",
Outputs[[Cluster]:[Cluster]],$B320,
Outputs[[Primary_output]:[Primary_output]], "HYGEN")*PJ2TWh,"")</f>
        <v>0</v>
      </c>
      <c r="AD320" s="28">
        <f ca="1">IFERROR(SUMIFS(Outputs[2048],
Outputs[[Capacity]:[Capacity]],"used_capacity",
Outputs[[Cluster]:[Cluster]],$B320,
Outputs[[Primary_output]:[Primary_output]], "HYGEN")*PJ2TWh,"")</f>
        <v>0</v>
      </c>
      <c r="AE320" s="28">
        <f ca="1">IFERROR(SUMIFS(Outputs[2049],
Outputs[[Capacity]:[Capacity]],"used_capacity",
Outputs[[Cluster]:[Cluster]],$B320,
Outputs[[Primary_output]:[Primary_output]], "HYGEN")*PJ2TWh,"")</f>
        <v>0</v>
      </c>
      <c r="AF320" s="28">
        <f ca="1">IFERROR(SUMIFS(Outputs[2050],
Outputs[[Capacity]:[Capacity]],"used_capacity",
Outputs[[Cluster]:[Cluster]],$B320,
Outputs[[Primary_output]:[Primary_output]], "HYGEN")*PJ2TWh,"")</f>
        <v>0</v>
      </c>
      <c r="AG320" s="28">
        <f ca="1">IFERROR(SUMIFS(Outputs[2051],
Outputs[[Capacity]:[Capacity]],"used_capacity",
Outputs[[Cluster]:[Cluster]],$B320,
Outputs[[Primary_output]:[Primary_output]], "HYGEN")*PJ2TWh,"")</f>
        <v>0</v>
      </c>
    </row>
    <row r="321" spans="1:36" x14ac:dyDescent="0.45">
      <c r="A321" s="2"/>
      <c r="B321" t="s">
        <v>76</v>
      </c>
      <c r="C321" s="28">
        <f ca="1">IFERROR(SUMIFS(Outputs[2021],
Outputs[[Capacity]:[Capacity]],"used_capacity",
Outputs[[Cluster]:[Cluster]],$B321,
Outputs[[Primary_output]:[Primary_output]], "HYGEN")*PJ2TWh,"")</f>
        <v>0</v>
      </c>
      <c r="D321" s="28">
        <f ca="1">IFERROR(SUMIFS(Outputs[2022],
Outputs[[Capacity]:[Capacity]],"used_capacity",
Outputs[[Cluster]:[Cluster]],$B321,
Outputs[[Primary_output]:[Primary_output]], "HYGEN")*PJ2TWh,"")</f>
        <v>0</v>
      </c>
      <c r="E321" s="28">
        <f ca="1">IFERROR(SUMIFS(Outputs[2023],
Outputs[[Capacity]:[Capacity]],"used_capacity",
Outputs[[Cluster]:[Cluster]],$B321,
Outputs[[Primary_output]:[Primary_output]], "HYGEN")*PJ2TWh,"")</f>
        <v>0</v>
      </c>
      <c r="F321" s="28">
        <f ca="1">IFERROR(SUMIFS(Outputs[2024],
Outputs[[Capacity]:[Capacity]],"used_capacity",
Outputs[[Cluster]:[Cluster]],$B321,
Outputs[[Primary_output]:[Primary_output]], "HYGEN")*PJ2TWh,"")</f>
        <v>0</v>
      </c>
      <c r="G321" s="28">
        <f ca="1">IFERROR(SUMIFS(Outputs[2025],
Outputs[[Capacity]:[Capacity]],"used_capacity",
Outputs[[Cluster]:[Cluster]],$B321,
Outputs[[Primary_output]:[Primary_output]], "HYGEN")*PJ2TWh,"")</f>
        <v>0</v>
      </c>
      <c r="H321" s="28">
        <f ca="1">IFERROR(SUMIFS(Outputs[2026],
Outputs[[Capacity]:[Capacity]],"used_capacity",
Outputs[[Cluster]:[Cluster]],$B321,
Outputs[[Primary_output]:[Primary_output]], "HYGEN")*PJ2TWh,"")</f>
        <v>0</v>
      </c>
      <c r="I321" s="28">
        <f ca="1">IFERROR(SUMIFS(Outputs[2027],
Outputs[[Capacity]:[Capacity]],"used_capacity",
Outputs[[Cluster]:[Cluster]],$B321,
Outputs[[Primary_output]:[Primary_output]], "HYGEN")*PJ2TWh,"")</f>
        <v>0</v>
      </c>
      <c r="J321" s="28">
        <f ca="1">IFERROR(SUMIFS(Outputs[2028],
Outputs[[Capacity]:[Capacity]],"used_capacity",
Outputs[[Cluster]:[Cluster]],$B321,
Outputs[[Primary_output]:[Primary_output]], "HYGEN")*PJ2TWh,"")</f>
        <v>0</v>
      </c>
      <c r="K321" s="28">
        <f ca="1">IFERROR(SUMIFS(Outputs[2029],
Outputs[[Capacity]:[Capacity]],"used_capacity",
Outputs[[Cluster]:[Cluster]],$B321,
Outputs[[Primary_output]:[Primary_output]], "HYGEN")*PJ2TWh,"")</f>
        <v>0</v>
      </c>
      <c r="L321" s="28">
        <f ca="1">IFERROR(SUMIFS(Outputs[2030],
Outputs[[Capacity]:[Capacity]],"used_capacity",
Outputs[[Cluster]:[Cluster]],$B321,
Outputs[[Primary_output]:[Primary_output]], "HYGEN")*PJ2TWh,"")</f>
        <v>0</v>
      </c>
      <c r="M321" s="28">
        <f ca="1">IFERROR(SUMIFS(Outputs[2031],
Outputs[[Capacity]:[Capacity]],"used_capacity",
Outputs[[Cluster]:[Cluster]],$B321,
Outputs[[Primary_output]:[Primary_output]], "HYGEN")*PJ2TWh,"")</f>
        <v>0</v>
      </c>
      <c r="N321" s="28">
        <f ca="1">IFERROR(SUMIFS(Outputs[2032],
Outputs[[Capacity]:[Capacity]],"used_capacity",
Outputs[[Cluster]:[Cluster]],$B321,
Outputs[[Primary_output]:[Primary_output]], "HYGEN")*PJ2TWh,"")</f>
        <v>0</v>
      </c>
      <c r="O321" s="28">
        <f ca="1">IFERROR(SUMIFS(Outputs[2033],
Outputs[[Capacity]:[Capacity]],"used_capacity",
Outputs[[Cluster]:[Cluster]],$B321,
Outputs[[Primary_output]:[Primary_output]], "HYGEN")*PJ2TWh,"")</f>
        <v>0</v>
      </c>
      <c r="P321" s="28">
        <f ca="1">IFERROR(SUMIFS(Outputs[2034],
Outputs[[Capacity]:[Capacity]],"used_capacity",
Outputs[[Cluster]:[Cluster]],$B321,
Outputs[[Primary_output]:[Primary_output]], "HYGEN")*PJ2TWh,"")</f>
        <v>0</v>
      </c>
      <c r="Q321" s="28">
        <f ca="1">IFERROR(SUMIFS(Outputs[2035],
Outputs[[Capacity]:[Capacity]],"used_capacity",
Outputs[[Cluster]:[Cluster]],$B321,
Outputs[[Primary_output]:[Primary_output]], "HYGEN")*PJ2TWh,"")</f>
        <v>0</v>
      </c>
      <c r="R321" s="28">
        <f ca="1">IFERROR(SUMIFS(Outputs[2036],
Outputs[[Capacity]:[Capacity]],"used_capacity",
Outputs[[Cluster]:[Cluster]],$B321,
Outputs[[Primary_output]:[Primary_output]], "HYGEN")*PJ2TWh,"")</f>
        <v>0</v>
      </c>
      <c r="S321" s="28">
        <f ca="1">IFERROR(SUMIFS(Outputs[2037],
Outputs[[Capacity]:[Capacity]],"used_capacity",
Outputs[[Cluster]:[Cluster]],$B321,
Outputs[[Primary_output]:[Primary_output]], "HYGEN")*PJ2TWh,"")</f>
        <v>0</v>
      </c>
      <c r="T321" s="28">
        <f ca="1">IFERROR(SUMIFS(Outputs[2038],
Outputs[[Capacity]:[Capacity]],"used_capacity",
Outputs[[Cluster]:[Cluster]],$B321,
Outputs[[Primary_output]:[Primary_output]], "HYGEN")*PJ2TWh,"")</f>
        <v>0</v>
      </c>
      <c r="U321" s="28">
        <f ca="1">IFERROR(SUMIFS(Outputs[2039],
Outputs[[Capacity]:[Capacity]],"used_capacity",
Outputs[[Cluster]:[Cluster]],$B321,
Outputs[[Primary_output]:[Primary_output]], "HYGEN")*PJ2TWh,"")</f>
        <v>0</v>
      </c>
      <c r="V321" s="28">
        <f ca="1">IFERROR(SUMIFS(Outputs[2040],
Outputs[[Capacity]:[Capacity]],"used_capacity",
Outputs[[Cluster]:[Cluster]],$B321,
Outputs[[Primary_output]:[Primary_output]], "HYGEN")*PJ2TWh,"")</f>
        <v>0</v>
      </c>
      <c r="W321" s="28">
        <f ca="1">IFERROR(SUMIFS(Outputs[2041],
Outputs[[Capacity]:[Capacity]],"used_capacity",
Outputs[[Cluster]:[Cluster]],$B321,
Outputs[[Primary_output]:[Primary_output]], "HYGEN")*PJ2TWh,"")</f>
        <v>0</v>
      </c>
      <c r="X321" s="28">
        <f ca="1">IFERROR(SUMIFS(Outputs[2042],
Outputs[[Capacity]:[Capacity]],"used_capacity",
Outputs[[Cluster]:[Cluster]],$B321,
Outputs[[Primary_output]:[Primary_output]], "HYGEN")*PJ2TWh,"")</f>
        <v>0</v>
      </c>
      <c r="Y321" s="28">
        <f ca="1">IFERROR(SUMIFS(Outputs[2043],
Outputs[[Capacity]:[Capacity]],"used_capacity",
Outputs[[Cluster]:[Cluster]],$B321,
Outputs[[Primary_output]:[Primary_output]], "HYGEN")*PJ2TWh,"")</f>
        <v>0</v>
      </c>
      <c r="Z321" s="28">
        <f ca="1">IFERROR(SUMIFS(Outputs[2044],
Outputs[[Capacity]:[Capacity]],"used_capacity",
Outputs[[Cluster]:[Cluster]],$B321,
Outputs[[Primary_output]:[Primary_output]], "HYGEN")*PJ2TWh,"")</f>
        <v>0</v>
      </c>
      <c r="AA321" s="28">
        <f ca="1">IFERROR(SUMIFS(Outputs[2045],
Outputs[[Capacity]:[Capacity]],"used_capacity",
Outputs[[Cluster]:[Cluster]],$B321,
Outputs[[Primary_output]:[Primary_output]], "HYGEN")*PJ2TWh,"")</f>
        <v>0</v>
      </c>
      <c r="AB321" s="28">
        <f ca="1">IFERROR(SUMIFS(Outputs[2046],
Outputs[[Capacity]:[Capacity]],"used_capacity",
Outputs[[Cluster]:[Cluster]],$B321,
Outputs[[Primary_output]:[Primary_output]], "HYGEN")*PJ2TWh,"")</f>
        <v>0</v>
      </c>
      <c r="AC321" s="28">
        <f ca="1">IFERROR(SUMIFS(Outputs[2047],
Outputs[[Capacity]:[Capacity]],"used_capacity",
Outputs[[Cluster]:[Cluster]],$B321,
Outputs[[Primary_output]:[Primary_output]], "HYGEN")*PJ2TWh,"")</f>
        <v>0</v>
      </c>
      <c r="AD321" s="28">
        <f ca="1">IFERROR(SUMIFS(Outputs[2048],
Outputs[[Capacity]:[Capacity]],"used_capacity",
Outputs[[Cluster]:[Cluster]],$B321,
Outputs[[Primary_output]:[Primary_output]], "HYGEN")*PJ2TWh,"")</f>
        <v>0</v>
      </c>
      <c r="AE321" s="28">
        <f ca="1">IFERROR(SUMIFS(Outputs[2049],
Outputs[[Capacity]:[Capacity]],"used_capacity",
Outputs[[Cluster]:[Cluster]],$B321,
Outputs[[Primary_output]:[Primary_output]], "HYGEN")*PJ2TWh,"")</f>
        <v>0</v>
      </c>
      <c r="AF321" s="28">
        <f ca="1">IFERROR(SUMIFS(Outputs[2050],
Outputs[[Capacity]:[Capacity]],"used_capacity",
Outputs[[Cluster]:[Cluster]],$B321,
Outputs[[Primary_output]:[Primary_output]], "HYGEN")*PJ2TWh,"")</f>
        <v>0</v>
      </c>
      <c r="AG321" s="28">
        <f ca="1">IFERROR(SUMIFS(Outputs[2051],
Outputs[[Capacity]:[Capacity]],"used_capacity",
Outputs[[Cluster]:[Cluster]],$B321,
Outputs[[Primary_output]:[Primary_output]], "HYGEN")*PJ2TWh,"")</f>
        <v>0</v>
      </c>
    </row>
    <row r="322" spans="1:36" x14ac:dyDescent="0.45">
      <c r="A322" s="2"/>
      <c r="B322" t="s">
        <v>77</v>
      </c>
      <c r="C322" s="28">
        <f ca="1">IFERROR(SUMIFS(Outputs[2021],
Outputs[[Capacity]:[Capacity]],"used_capacity",
Outputs[[Cluster]:[Cluster]],$B322,
Outputs[[Primary_output]:[Primary_output]], "HYGEN")*PJ2TWh,"")</f>
        <v>0</v>
      </c>
      <c r="D322" s="28">
        <f ca="1">IFERROR(SUMIFS(Outputs[2022],
Outputs[[Capacity]:[Capacity]],"used_capacity",
Outputs[[Cluster]:[Cluster]],$B322,
Outputs[[Primary_output]:[Primary_output]], "HYGEN")*PJ2TWh,"")</f>
        <v>0</v>
      </c>
      <c r="E322" s="28">
        <f ca="1">IFERROR(SUMIFS(Outputs[2023],
Outputs[[Capacity]:[Capacity]],"used_capacity",
Outputs[[Cluster]:[Cluster]],$B322,
Outputs[[Primary_output]:[Primary_output]], "HYGEN")*PJ2TWh,"")</f>
        <v>0</v>
      </c>
      <c r="F322" s="28">
        <f ca="1">IFERROR(SUMIFS(Outputs[2024],
Outputs[[Capacity]:[Capacity]],"used_capacity",
Outputs[[Cluster]:[Cluster]],$B322,
Outputs[[Primary_output]:[Primary_output]], "HYGEN")*PJ2TWh,"")</f>
        <v>0</v>
      </c>
      <c r="G322" s="28">
        <f ca="1">IFERROR(SUMIFS(Outputs[2025],
Outputs[[Capacity]:[Capacity]],"used_capacity",
Outputs[[Cluster]:[Cluster]],$B322,
Outputs[[Primary_output]:[Primary_output]], "HYGEN")*PJ2TWh,"")</f>
        <v>0</v>
      </c>
      <c r="H322" s="28">
        <f ca="1">IFERROR(SUMIFS(Outputs[2026],
Outputs[[Capacity]:[Capacity]],"used_capacity",
Outputs[[Cluster]:[Cluster]],$B322,
Outputs[[Primary_output]:[Primary_output]], "HYGEN")*PJ2TWh,"")</f>
        <v>0</v>
      </c>
      <c r="I322" s="28">
        <f ca="1">IFERROR(SUMIFS(Outputs[2027],
Outputs[[Capacity]:[Capacity]],"used_capacity",
Outputs[[Cluster]:[Cluster]],$B322,
Outputs[[Primary_output]:[Primary_output]], "HYGEN")*PJ2TWh,"")</f>
        <v>0</v>
      </c>
      <c r="J322" s="28">
        <f ca="1">IFERROR(SUMIFS(Outputs[2028],
Outputs[[Capacity]:[Capacity]],"used_capacity",
Outputs[[Cluster]:[Cluster]],$B322,
Outputs[[Primary_output]:[Primary_output]], "HYGEN")*PJ2TWh,"")</f>
        <v>0</v>
      </c>
      <c r="K322" s="28">
        <f ca="1">IFERROR(SUMIFS(Outputs[2029],
Outputs[[Capacity]:[Capacity]],"used_capacity",
Outputs[[Cluster]:[Cluster]],$B322,
Outputs[[Primary_output]:[Primary_output]], "HYGEN")*PJ2TWh,"")</f>
        <v>0</v>
      </c>
      <c r="L322" s="28">
        <f ca="1">IFERROR(SUMIFS(Outputs[2030],
Outputs[[Capacity]:[Capacity]],"used_capacity",
Outputs[[Cluster]:[Cluster]],$B322,
Outputs[[Primary_output]:[Primary_output]], "HYGEN")*PJ2TWh,"")</f>
        <v>0</v>
      </c>
      <c r="M322" s="28">
        <f ca="1">IFERROR(SUMIFS(Outputs[2031],
Outputs[[Capacity]:[Capacity]],"used_capacity",
Outputs[[Cluster]:[Cluster]],$B322,
Outputs[[Primary_output]:[Primary_output]], "HYGEN")*PJ2TWh,"")</f>
        <v>0</v>
      </c>
      <c r="N322" s="28">
        <f ca="1">IFERROR(SUMIFS(Outputs[2032],
Outputs[[Capacity]:[Capacity]],"used_capacity",
Outputs[[Cluster]:[Cluster]],$B322,
Outputs[[Primary_output]:[Primary_output]], "HYGEN")*PJ2TWh,"")</f>
        <v>0</v>
      </c>
      <c r="O322" s="28">
        <f ca="1">IFERROR(SUMIFS(Outputs[2033],
Outputs[[Capacity]:[Capacity]],"used_capacity",
Outputs[[Cluster]:[Cluster]],$B322,
Outputs[[Primary_output]:[Primary_output]], "HYGEN")*PJ2TWh,"")</f>
        <v>0</v>
      </c>
      <c r="P322" s="28">
        <f ca="1">IFERROR(SUMIFS(Outputs[2034],
Outputs[[Capacity]:[Capacity]],"used_capacity",
Outputs[[Cluster]:[Cluster]],$B322,
Outputs[[Primary_output]:[Primary_output]], "HYGEN")*PJ2TWh,"")</f>
        <v>0</v>
      </c>
      <c r="Q322" s="28">
        <f ca="1">IFERROR(SUMIFS(Outputs[2035],
Outputs[[Capacity]:[Capacity]],"used_capacity",
Outputs[[Cluster]:[Cluster]],$B322,
Outputs[[Primary_output]:[Primary_output]], "HYGEN")*PJ2TWh,"")</f>
        <v>0</v>
      </c>
      <c r="R322" s="28">
        <f ca="1">IFERROR(SUMIFS(Outputs[2036],
Outputs[[Capacity]:[Capacity]],"used_capacity",
Outputs[[Cluster]:[Cluster]],$B322,
Outputs[[Primary_output]:[Primary_output]], "HYGEN")*PJ2TWh,"")</f>
        <v>0</v>
      </c>
      <c r="S322" s="28">
        <f ca="1">IFERROR(SUMIFS(Outputs[2037],
Outputs[[Capacity]:[Capacity]],"used_capacity",
Outputs[[Cluster]:[Cluster]],$B322,
Outputs[[Primary_output]:[Primary_output]], "HYGEN")*PJ2TWh,"")</f>
        <v>0</v>
      </c>
      <c r="T322" s="28">
        <f ca="1">IFERROR(SUMIFS(Outputs[2038],
Outputs[[Capacity]:[Capacity]],"used_capacity",
Outputs[[Cluster]:[Cluster]],$B322,
Outputs[[Primary_output]:[Primary_output]], "HYGEN")*PJ2TWh,"")</f>
        <v>0</v>
      </c>
      <c r="U322" s="28">
        <f ca="1">IFERROR(SUMIFS(Outputs[2039],
Outputs[[Capacity]:[Capacity]],"used_capacity",
Outputs[[Cluster]:[Cluster]],$B322,
Outputs[[Primary_output]:[Primary_output]], "HYGEN")*PJ2TWh,"")</f>
        <v>0</v>
      </c>
      <c r="V322" s="28">
        <f ca="1">IFERROR(SUMIFS(Outputs[2040],
Outputs[[Capacity]:[Capacity]],"used_capacity",
Outputs[[Cluster]:[Cluster]],$B322,
Outputs[[Primary_output]:[Primary_output]], "HYGEN")*PJ2TWh,"")</f>
        <v>0</v>
      </c>
      <c r="W322" s="28">
        <f ca="1">IFERROR(SUMIFS(Outputs[2041],
Outputs[[Capacity]:[Capacity]],"used_capacity",
Outputs[[Cluster]:[Cluster]],$B322,
Outputs[[Primary_output]:[Primary_output]], "HYGEN")*PJ2TWh,"")</f>
        <v>0</v>
      </c>
      <c r="X322" s="28">
        <f ca="1">IFERROR(SUMIFS(Outputs[2042],
Outputs[[Capacity]:[Capacity]],"used_capacity",
Outputs[[Cluster]:[Cluster]],$B322,
Outputs[[Primary_output]:[Primary_output]], "HYGEN")*PJ2TWh,"")</f>
        <v>0</v>
      </c>
      <c r="Y322" s="28">
        <f ca="1">IFERROR(SUMIFS(Outputs[2043],
Outputs[[Capacity]:[Capacity]],"used_capacity",
Outputs[[Cluster]:[Cluster]],$B322,
Outputs[[Primary_output]:[Primary_output]], "HYGEN")*PJ2TWh,"")</f>
        <v>0</v>
      </c>
      <c r="Z322" s="28">
        <f ca="1">IFERROR(SUMIFS(Outputs[2044],
Outputs[[Capacity]:[Capacity]],"used_capacity",
Outputs[[Cluster]:[Cluster]],$B322,
Outputs[[Primary_output]:[Primary_output]], "HYGEN")*PJ2TWh,"")</f>
        <v>0</v>
      </c>
      <c r="AA322" s="28">
        <f ca="1">IFERROR(SUMIFS(Outputs[2045],
Outputs[[Capacity]:[Capacity]],"used_capacity",
Outputs[[Cluster]:[Cluster]],$B322,
Outputs[[Primary_output]:[Primary_output]], "HYGEN")*PJ2TWh,"")</f>
        <v>0</v>
      </c>
      <c r="AB322" s="28">
        <f ca="1">IFERROR(SUMIFS(Outputs[2046],
Outputs[[Capacity]:[Capacity]],"used_capacity",
Outputs[[Cluster]:[Cluster]],$B322,
Outputs[[Primary_output]:[Primary_output]], "HYGEN")*PJ2TWh,"")</f>
        <v>0</v>
      </c>
      <c r="AC322" s="28">
        <f ca="1">IFERROR(SUMIFS(Outputs[2047],
Outputs[[Capacity]:[Capacity]],"used_capacity",
Outputs[[Cluster]:[Cluster]],$B322,
Outputs[[Primary_output]:[Primary_output]], "HYGEN")*PJ2TWh,"")</f>
        <v>0</v>
      </c>
      <c r="AD322" s="28">
        <f ca="1">IFERROR(SUMIFS(Outputs[2048],
Outputs[[Capacity]:[Capacity]],"used_capacity",
Outputs[[Cluster]:[Cluster]],$B322,
Outputs[[Primary_output]:[Primary_output]], "HYGEN")*PJ2TWh,"")</f>
        <v>0</v>
      </c>
      <c r="AE322" s="28">
        <f ca="1">IFERROR(SUMIFS(Outputs[2049],
Outputs[[Capacity]:[Capacity]],"used_capacity",
Outputs[[Cluster]:[Cluster]],$B322,
Outputs[[Primary_output]:[Primary_output]], "HYGEN")*PJ2TWh,"")</f>
        <v>0</v>
      </c>
      <c r="AF322" s="28">
        <f ca="1">IFERROR(SUMIFS(Outputs[2050],
Outputs[[Capacity]:[Capacity]],"used_capacity",
Outputs[[Cluster]:[Cluster]],$B322,
Outputs[[Primary_output]:[Primary_output]], "HYGEN")*PJ2TWh,"")</f>
        <v>0</v>
      </c>
      <c r="AG322" s="28">
        <f ca="1">IFERROR(SUMIFS(Outputs[2051],
Outputs[[Capacity]:[Capacity]],"used_capacity",
Outputs[[Cluster]:[Cluster]],$B322,
Outputs[[Primary_output]:[Primary_output]], "HYGEN")*PJ2TWh,"")</f>
        <v>0</v>
      </c>
    </row>
    <row r="323" spans="1:36" x14ac:dyDescent="0.45">
      <c r="A323" s="2"/>
      <c r="B323" t="s">
        <v>78</v>
      </c>
      <c r="C323" s="28">
        <f ca="1">IFERROR(SUMIFS(Outputs[2021],
Outputs[[Capacity]:[Capacity]],"used_capacity",
Outputs[[Cluster]:[Cluster]],$B323,
Outputs[[Primary_output]:[Primary_output]], "HYGEN")*PJ2TWh,"")</f>
        <v>0</v>
      </c>
      <c r="D323" s="28">
        <f ca="1">IFERROR(SUMIFS(Outputs[2022],
Outputs[[Capacity]:[Capacity]],"used_capacity",
Outputs[[Cluster]:[Cluster]],$B323,
Outputs[[Primary_output]:[Primary_output]], "HYGEN")*PJ2TWh,"")</f>
        <v>0</v>
      </c>
      <c r="E323" s="28">
        <f ca="1">IFERROR(SUMIFS(Outputs[2023],
Outputs[[Capacity]:[Capacity]],"used_capacity",
Outputs[[Cluster]:[Cluster]],$B323,
Outputs[[Primary_output]:[Primary_output]], "HYGEN")*PJ2TWh,"")</f>
        <v>0</v>
      </c>
      <c r="F323" s="28">
        <f ca="1">IFERROR(SUMIFS(Outputs[2024],
Outputs[[Capacity]:[Capacity]],"used_capacity",
Outputs[[Cluster]:[Cluster]],$B323,
Outputs[[Primary_output]:[Primary_output]], "HYGEN")*PJ2TWh,"")</f>
        <v>0</v>
      </c>
      <c r="G323" s="28">
        <f ca="1">IFERROR(SUMIFS(Outputs[2025],
Outputs[[Capacity]:[Capacity]],"used_capacity",
Outputs[[Cluster]:[Cluster]],$B323,
Outputs[[Primary_output]:[Primary_output]], "HYGEN")*PJ2TWh,"")</f>
        <v>0</v>
      </c>
      <c r="H323" s="28">
        <f ca="1">IFERROR(SUMIFS(Outputs[2026],
Outputs[[Capacity]:[Capacity]],"used_capacity",
Outputs[[Cluster]:[Cluster]],$B323,
Outputs[[Primary_output]:[Primary_output]], "HYGEN")*PJ2TWh,"")</f>
        <v>0</v>
      </c>
      <c r="I323" s="28">
        <f ca="1">IFERROR(SUMIFS(Outputs[2027],
Outputs[[Capacity]:[Capacity]],"used_capacity",
Outputs[[Cluster]:[Cluster]],$B323,
Outputs[[Primary_output]:[Primary_output]], "HYGEN")*PJ2TWh,"")</f>
        <v>0</v>
      </c>
      <c r="J323" s="28">
        <f ca="1">IFERROR(SUMIFS(Outputs[2028],
Outputs[[Capacity]:[Capacity]],"used_capacity",
Outputs[[Cluster]:[Cluster]],$B323,
Outputs[[Primary_output]:[Primary_output]], "HYGEN")*PJ2TWh,"")</f>
        <v>0</v>
      </c>
      <c r="K323" s="28">
        <f ca="1">IFERROR(SUMIFS(Outputs[2029],
Outputs[[Capacity]:[Capacity]],"used_capacity",
Outputs[[Cluster]:[Cluster]],$B323,
Outputs[[Primary_output]:[Primary_output]], "HYGEN")*PJ2TWh,"")</f>
        <v>0</v>
      </c>
      <c r="L323" s="28">
        <f ca="1">IFERROR(SUMIFS(Outputs[2030],
Outputs[[Capacity]:[Capacity]],"used_capacity",
Outputs[[Cluster]:[Cluster]],$B323,
Outputs[[Primary_output]:[Primary_output]], "HYGEN")*PJ2TWh,"")</f>
        <v>0</v>
      </c>
      <c r="M323" s="28">
        <f ca="1">IFERROR(SUMIFS(Outputs[2031],
Outputs[[Capacity]:[Capacity]],"used_capacity",
Outputs[[Cluster]:[Cluster]],$B323,
Outputs[[Primary_output]:[Primary_output]], "HYGEN")*PJ2TWh,"")</f>
        <v>0</v>
      </c>
      <c r="N323" s="28">
        <f ca="1">IFERROR(SUMIFS(Outputs[2032],
Outputs[[Capacity]:[Capacity]],"used_capacity",
Outputs[[Cluster]:[Cluster]],$B323,
Outputs[[Primary_output]:[Primary_output]], "HYGEN")*PJ2TWh,"")</f>
        <v>0</v>
      </c>
      <c r="O323" s="28">
        <f ca="1">IFERROR(SUMIFS(Outputs[2033],
Outputs[[Capacity]:[Capacity]],"used_capacity",
Outputs[[Cluster]:[Cluster]],$B323,
Outputs[[Primary_output]:[Primary_output]], "HYGEN")*PJ2TWh,"")</f>
        <v>0</v>
      </c>
      <c r="P323" s="28">
        <f ca="1">IFERROR(SUMIFS(Outputs[2034],
Outputs[[Capacity]:[Capacity]],"used_capacity",
Outputs[[Cluster]:[Cluster]],$B323,
Outputs[[Primary_output]:[Primary_output]], "HYGEN")*PJ2TWh,"")</f>
        <v>0</v>
      </c>
      <c r="Q323" s="28">
        <f ca="1">IFERROR(SUMIFS(Outputs[2035],
Outputs[[Capacity]:[Capacity]],"used_capacity",
Outputs[[Cluster]:[Cluster]],$B323,
Outputs[[Primary_output]:[Primary_output]], "HYGEN")*PJ2TWh,"")</f>
        <v>0</v>
      </c>
      <c r="R323" s="28">
        <f ca="1">IFERROR(SUMIFS(Outputs[2036],
Outputs[[Capacity]:[Capacity]],"used_capacity",
Outputs[[Cluster]:[Cluster]],$B323,
Outputs[[Primary_output]:[Primary_output]], "HYGEN")*PJ2TWh,"")</f>
        <v>0</v>
      </c>
      <c r="S323" s="28">
        <f ca="1">IFERROR(SUMIFS(Outputs[2037],
Outputs[[Capacity]:[Capacity]],"used_capacity",
Outputs[[Cluster]:[Cluster]],$B323,
Outputs[[Primary_output]:[Primary_output]], "HYGEN")*PJ2TWh,"")</f>
        <v>0</v>
      </c>
      <c r="T323" s="28">
        <f ca="1">IFERROR(SUMIFS(Outputs[2038],
Outputs[[Capacity]:[Capacity]],"used_capacity",
Outputs[[Cluster]:[Cluster]],$B323,
Outputs[[Primary_output]:[Primary_output]], "HYGEN")*PJ2TWh,"")</f>
        <v>0</v>
      </c>
      <c r="U323" s="28">
        <f ca="1">IFERROR(SUMIFS(Outputs[2039],
Outputs[[Capacity]:[Capacity]],"used_capacity",
Outputs[[Cluster]:[Cluster]],$B323,
Outputs[[Primary_output]:[Primary_output]], "HYGEN")*PJ2TWh,"")</f>
        <v>0</v>
      </c>
      <c r="V323" s="28">
        <f ca="1">IFERROR(SUMIFS(Outputs[2040],
Outputs[[Capacity]:[Capacity]],"used_capacity",
Outputs[[Cluster]:[Cluster]],$B323,
Outputs[[Primary_output]:[Primary_output]], "HYGEN")*PJ2TWh,"")</f>
        <v>0</v>
      </c>
      <c r="W323" s="28">
        <f ca="1">IFERROR(SUMIFS(Outputs[2041],
Outputs[[Capacity]:[Capacity]],"used_capacity",
Outputs[[Cluster]:[Cluster]],$B323,
Outputs[[Primary_output]:[Primary_output]], "HYGEN")*PJ2TWh,"")</f>
        <v>0</v>
      </c>
      <c r="X323" s="28">
        <f ca="1">IFERROR(SUMIFS(Outputs[2042],
Outputs[[Capacity]:[Capacity]],"used_capacity",
Outputs[[Cluster]:[Cluster]],$B323,
Outputs[[Primary_output]:[Primary_output]], "HYGEN")*PJ2TWh,"")</f>
        <v>0</v>
      </c>
      <c r="Y323" s="28">
        <f ca="1">IFERROR(SUMIFS(Outputs[2043],
Outputs[[Capacity]:[Capacity]],"used_capacity",
Outputs[[Cluster]:[Cluster]],$B323,
Outputs[[Primary_output]:[Primary_output]], "HYGEN")*PJ2TWh,"")</f>
        <v>0</v>
      </c>
      <c r="Z323" s="28">
        <f ca="1">IFERROR(SUMIFS(Outputs[2044],
Outputs[[Capacity]:[Capacity]],"used_capacity",
Outputs[[Cluster]:[Cluster]],$B323,
Outputs[[Primary_output]:[Primary_output]], "HYGEN")*PJ2TWh,"")</f>
        <v>0</v>
      </c>
      <c r="AA323" s="28">
        <f ca="1">IFERROR(SUMIFS(Outputs[2045],
Outputs[[Capacity]:[Capacity]],"used_capacity",
Outputs[[Cluster]:[Cluster]],$B323,
Outputs[[Primary_output]:[Primary_output]], "HYGEN")*PJ2TWh,"")</f>
        <v>0</v>
      </c>
      <c r="AB323" s="28">
        <f ca="1">IFERROR(SUMIFS(Outputs[2046],
Outputs[[Capacity]:[Capacity]],"used_capacity",
Outputs[[Cluster]:[Cluster]],$B323,
Outputs[[Primary_output]:[Primary_output]], "HYGEN")*PJ2TWh,"")</f>
        <v>0</v>
      </c>
      <c r="AC323" s="28">
        <f ca="1">IFERROR(SUMIFS(Outputs[2047],
Outputs[[Capacity]:[Capacity]],"used_capacity",
Outputs[[Cluster]:[Cluster]],$B323,
Outputs[[Primary_output]:[Primary_output]], "HYGEN")*PJ2TWh,"")</f>
        <v>0</v>
      </c>
      <c r="AD323" s="28">
        <f ca="1">IFERROR(SUMIFS(Outputs[2048],
Outputs[[Capacity]:[Capacity]],"used_capacity",
Outputs[[Cluster]:[Cluster]],$B323,
Outputs[[Primary_output]:[Primary_output]], "HYGEN")*PJ2TWh,"")</f>
        <v>0</v>
      </c>
      <c r="AE323" s="28">
        <f ca="1">IFERROR(SUMIFS(Outputs[2049],
Outputs[[Capacity]:[Capacity]],"used_capacity",
Outputs[[Cluster]:[Cluster]],$B323,
Outputs[[Primary_output]:[Primary_output]], "HYGEN")*PJ2TWh,"")</f>
        <v>0</v>
      </c>
      <c r="AF323" s="28">
        <f ca="1">IFERROR(SUMIFS(Outputs[2050],
Outputs[[Capacity]:[Capacity]],"used_capacity",
Outputs[[Cluster]:[Cluster]],$B323,
Outputs[[Primary_output]:[Primary_output]], "HYGEN")*PJ2TWh,"")</f>
        <v>0</v>
      </c>
      <c r="AG323" s="28">
        <f ca="1">IFERROR(SUMIFS(Outputs[2051],
Outputs[[Capacity]:[Capacity]],"used_capacity",
Outputs[[Cluster]:[Cluster]],$B323,
Outputs[[Primary_output]:[Primary_output]], "HYGEN")*PJ2TWh,"")</f>
        <v>0</v>
      </c>
    </row>
    <row r="324" spans="1:36" ht="14.65" thickBot="1" x14ac:dyDescent="0.5">
      <c r="A324" s="2"/>
      <c r="B324" s="29" t="s">
        <v>124</v>
      </c>
      <c r="C324" s="31">
        <f ca="1">IF(C105&lt;&gt;"",SUM(C314:C323),"")</f>
        <v>0</v>
      </c>
      <c r="D324" s="31">
        <f t="shared" ref="D324:AG324" ca="1" si="64">IF(D105&lt;&gt;"",SUM(D314:D323),"")</f>
        <v>0</v>
      </c>
      <c r="E324" s="31">
        <f t="shared" ca="1" si="64"/>
        <v>0</v>
      </c>
      <c r="F324" s="31">
        <f t="shared" ca="1" si="64"/>
        <v>0</v>
      </c>
      <c r="G324" s="31">
        <f t="shared" ca="1" si="64"/>
        <v>0</v>
      </c>
      <c r="H324" s="31">
        <f t="shared" ca="1" si="64"/>
        <v>0</v>
      </c>
      <c r="I324" s="31">
        <f t="shared" ca="1" si="64"/>
        <v>0</v>
      </c>
      <c r="J324" s="31">
        <f t="shared" ca="1" si="64"/>
        <v>0</v>
      </c>
      <c r="K324" s="31">
        <f t="shared" ca="1" si="64"/>
        <v>0</v>
      </c>
      <c r="L324" s="31">
        <f t="shared" ca="1" si="64"/>
        <v>0</v>
      </c>
      <c r="M324" s="31">
        <f t="shared" ca="1" si="64"/>
        <v>0</v>
      </c>
      <c r="N324" s="31">
        <f t="shared" ca="1" si="64"/>
        <v>0</v>
      </c>
      <c r="O324" s="31">
        <f t="shared" ca="1" si="64"/>
        <v>0</v>
      </c>
      <c r="P324" s="31">
        <f t="shared" ca="1" si="64"/>
        <v>0</v>
      </c>
      <c r="Q324" s="31">
        <f t="shared" ca="1" si="64"/>
        <v>0</v>
      </c>
      <c r="R324" s="31">
        <f t="shared" ca="1" si="64"/>
        <v>0</v>
      </c>
      <c r="S324" s="31">
        <f t="shared" ca="1" si="64"/>
        <v>0</v>
      </c>
      <c r="T324" s="31">
        <f t="shared" ca="1" si="64"/>
        <v>0</v>
      </c>
      <c r="U324" s="31">
        <f t="shared" ca="1" si="64"/>
        <v>0</v>
      </c>
      <c r="V324" s="31">
        <f t="shared" ca="1" si="64"/>
        <v>0</v>
      </c>
      <c r="W324" s="31">
        <f t="shared" ca="1" si="64"/>
        <v>0</v>
      </c>
      <c r="X324" s="31">
        <f t="shared" ca="1" si="64"/>
        <v>0</v>
      </c>
      <c r="Y324" s="31">
        <f t="shared" ca="1" si="64"/>
        <v>0</v>
      </c>
      <c r="Z324" s="31">
        <f t="shared" ca="1" si="64"/>
        <v>0</v>
      </c>
      <c r="AA324" s="31">
        <f t="shared" ca="1" si="64"/>
        <v>0</v>
      </c>
      <c r="AB324" s="31">
        <f t="shared" ca="1" si="64"/>
        <v>0</v>
      </c>
      <c r="AC324" s="31">
        <f t="shared" ca="1" si="64"/>
        <v>0</v>
      </c>
      <c r="AD324" s="31">
        <f t="shared" ca="1" si="64"/>
        <v>0</v>
      </c>
      <c r="AE324" s="31">
        <f t="shared" ca="1" si="64"/>
        <v>0</v>
      </c>
      <c r="AF324" s="31">
        <f t="shared" ca="1" si="64"/>
        <v>0</v>
      </c>
      <c r="AG324" s="31">
        <f t="shared" ca="1" si="64"/>
        <v>0</v>
      </c>
    </row>
    <row r="325" spans="1:36" ht="14.65" thickTop="1" x14ac:dyDescent="0.45">
      <c r="A325" s="2"/>
      <c r="B325" s="6"/>
    </row>
    <row r="326" spans="1:36" x14ac:dyDescent="0.45">
      <c r="A326" s="2"/>
      <c r="B326" s="6"/>
      <c r="C326" s="6">
        <v>2021</v>
      </c>
      <c r="D326" s="6">
        <v>2022</v>
      </c>
      <c r="E326" s="6">
        <v>2023</v>
      </c>
      <c r="F326" s="6">
        <v>2024</v>
      </c>
      <c r="G326" s="6">
        <v>2025</v>
      </c>
      <c r="H326" s="6">
        <v>2026</v>
      </c>
      <c r="I326" s="6">
        <v>2027</v>
      </c>
      <c r="J326" s="6">
        <v>2028</v>
      </c>
      <c r="K326" s="6">
        <v>2029</v>
      </c>
      <c r="L326" s="6">
        <v>2030</v>
      </c>
      <c r="M326" s="6">
        <v>2031</v>
      </c>
      <c r="N326" s="6">
        <v>2032</v>
      </c>
      <c r="O326" s="6">
        <v>2033</v>
      </c>
      <c r="P326" s="6">
        <v>2034</v>
      </c>
      <c r="Q326" s="6">
        <v>2035</v>
      </c>
      <c r="R326" s="6">
        <v>2036</v>
      </c>
      <c r="S326" s="6">
        <v>2037</v>
      </c>
      <c r="T326" s="6">
        <v>2038</v>
      </c>
      <c r="U326" s="6">
        <v>2039</v>
      </c>
      <c r="V326" s="6">
        <v>2040</v>
      </c>
      <c r="W326" s="6">
        <v>2041</v>
      </c>
      <c r="X326" s="6">
        <v>2042</v>
      </c>
      <c r="Y326" s="6">
        <v>2043</v>
      </c>
      <c r="Z326" s="6">
        <v>2044</v>
      </c>
      <c r="AA326" s="6">
        <v>2045</v>
      </c>
      <c r="AB326" s="6">
        <v>2046</v>
      </c>
      <c r="AC326" s="6">
        <v>2047</v>
      </c>
      <c r="AD326" s="6">
        <v>2048</v>
      </c>
      <c r="AE326" s="6">
        <v>2049</v>
      </c>
      <c r="AF326" s="6">
        <v>2050</v>
      </c>
      <c r="AG326" s="6">
        <v>2051</v>
      </c>
    </row>
    <row r="327" spans="1:36" x14ac:dyDescent="0.45">
      <c r="A327" t="s">
        <v>132</v>
      </c>
      <c r="B327" t="s">
        <v>84</v>
      </c>
      <c r="C327" s="28">
        <f ca="1">IFERROR(SUMIFS(Outputs[2021],
Outputs[[Capacity]:[Capacity]],"used_capacity",
Outputs[[Technology_description]:[Technology_description]],$B327)*PJ2TWh,"")</f>
        <v>0</v>
      </c>
      <c r="D327" s="28">
        <f ca="1">IFERROR(SUMIFS(Outputs[2022],
Outputs[[Capacity]:[Capacity]],"used_capacity",
Outputs[[Technology_description]:[Technology_description]],$B327)*PJ2TWh,"")</f>
        <v>0</v>
      </c>
      <c r="E327" s="28">
        <f ca="1">IFERROR(SUMIFS(Outputs[2023],
Outputs[[Capacity]:[Capacity]],"used_capacity",
Outputs[[Technology_description]:[Technology_description]],$B327)*PJ2TWh,"")</f>
        <v>0</v>
      </c>
      <c r="F327" s="28">
        <f ca="1">IFERROR(SUMIFS(Outputs[2024],
Outputs[[Capacity]:[Capacity]],"used_capacity",
Outputs[[Technology_description]:[Technology_description]],$B327)*PJ2TWh,"")</f>
        <v>0</v>
      </c>
      <c r="G327" s="28">
        <f ca="1">IFERROR(SUMIFS(Outputs[2025],
Outputs[[Capacity]:[Capacity]],"used_capacity",
Outputs[[Technology_description]:[Technology_description]],$B327)*PJ2TWh,"")</f>
        <v>0</v>
      </c>
      <c r="H327" s="28">
        <f ca="1">IFERROR(SUMIFS(Outputs[2026],
Outputs[[Capacity]:[Capacity]],"used_capacity",
Outputs[[Technology_description]:[Technology_description]],$B327)*PJ2TWh,"")</f>
        <v>0</v>
      </c>
      <c r="I327" s="28">
        <f ca="1">IFERROR(SUMIFS(Outputs[2027],
Outputs[[Capacity]:[Capacity]],"used_capacity",
Outputs[[Technology_description]:[Technology_description]],$B327)*PJ2TWh,"")</f>
        <v>0</v>
      </c>
      <c r="J327" s="28">
        <f ca="1">IFERROR(SUMIFS(Outputs[2028],
Outputs[[Capacity]:[Capacity]],"used_capacity",
Outputs[[Technology_description]:[Technology_description]],$B327)*PJ2TWh,"")</f>
        <v>0</v>
      </c>
      <c r="K327" s="28">
        <f ca="1">IFERROR(SUMIFS(Outputs[2029],
Outputs[[Capacity]:[Capacity]],"used_capacity",
Outputs[[Technology_description]:[Technology_description]],$B327)*PJ2TWh,"")</f>
        <v>0</v>
      </c>
      <c r="L327" s="28">
        <f ca="1">IFERROR(SUMIFS(Outputs[2030],
Outputs[[Capacity]:[Capacity]],"used_capacity",
Outputs[[Technology_description]:[Technology_description]],$B327)*PJ2TWh,"")</f>
        <v>0</v>
      </c>
      <c r="M327" s="28">
        <f ca="1">IFERROR(SUMIFS(Outputs[2031],
Outputs[[Capacity]:[Capacity]],"used_capacity",
Outputs[[Technology_description]:[Technology_description]],$B327)*PJ2TWh,"")</f>
        <v>0</v>
      </c>
      <c r="N327" s="28">
        <f ca="1">IFERROR(SUMIFS(Outputs[2032],
Outputs[[Capacity]:[Capacity]],"used_capacity",
Outputs[[Technology_description]:[Technology_description]],$B327)*PJ2TWh,"")</f>
        <v>0</v>
      </c>
      <c r="O327" s="28">
        <f ca="1">IFERROR(SUMIFS(Outputs[2033],
Outputs[[Capacity]:[Capacity]],"used_capacity",
Outputs[[Technology_description]:[Technology_description]],$B327)*PJ2TWh,"")</f>
        <v>0</v>
      </c>
      <c r="P327" s="28">
        <f ca="1">IFERROR(SUMIFS(Outputs[2034],
Outputs[[Capacity]:[Capacity]],"used_capacity",
Outputs[[Technology_description]:[Technology_description]],$B327)*PJ2TWh,"")</f>
        <v>0</v>
      </c>
      <c r="Q327" s="28">
        <f ca="1">IFERROR(SUMIFS(Outputs[2035],
Outputs[[Capacity]:[Capacity]],"used_capacity",
Outputs[[Technology_description]:[Technology_description]],$B327)*PJ2TWh,"")</f>
        <v>0</v>
      </c>
      <c r="R327" s="28">
        <f ca="1">IFERROR(SUMIFS(Outputs[2036],
Outputs[[Capacity]:[Capacity]],"used_capacity",
Outputs[[Technology_description]:[Technology_description]],$B327)*PJ2TWh,"")</f>
        <v>0</v>
      </c>
      <c r="S327" s="28">
        <f ca="1">IFERROR(SUMIFS(Outputs[2037],
Outputs[[Capacity]:[Capacity]],"used_capacity",
Outputs[[Technology_description]:[Technology_description]],$B327)*PJ2TWh,"")</f>
        <v>0</v>
      </c>
      <c r="T327" s="28">
        <f ca="1">IFERROR(SUMIFS(Outputs[2038],
Outputs[[Capacity]:[Capacity]],"used_capacity",
Outputs[[Technology_description]:[Technology_description]],$B327)*PJ2TWh,"")</f>
        <v>0</v>
      </c>
      <c r="U327" s="28">
        <f ca="1">IFERROR(SUMIFS(Outputs[2039],
Outputs[[Capacity]:[Capacity]],"used_capacity",
Outputs[[Technology_description]:[Technology_description]],$B327)*PJ2TWh,"")</f>
        <v>0</v>
      </c>
      <c r="V327" s="28">
        <f ca="1">IFERROR(SUMIFS(Outputs[2040],
Outputs[[Capacity]:[Capacity]],"used_capacity",
Outputs[[Technology_description]:[Technology_description]],$B327)*PJ2TWh,"")</f>
        <v>0</v>
      </c>
      <c r="W327" s="28">
        <f ca="1">IFERROR(SUMIFS(Outputs[2041],
Outputs[[Capacity]:[Capacity]],"used_capacity",
Outputs[[Technology_description]:[Technology_description]],$B327)*PJ2TWh,"")</f>
        <v>0</v>
      </c>
      <c r="X327" s="28">
        <f ca="1">IFERROR(SUMIFS(Outputs[2042],
Outputs[[Capacity]:[Capacity]],"used_capacity",
Outputs[[Technology_description]:[Technology_description]],$B327)*PJ2TWh,"")</f>
        <v>0</v>
      </c>
      <c r="Y327" s="28">
        <f ca="1">IFERROR(SUMIFS(Outputs[2043],
Outputs[[Capacity]:[Capacity]],"used_capacity",
Outputs[[Technology_description]:[Technology_description]],$B327)*PJ2TWh,"")</f>
        <v>0</v>
      </c>
      <c r="Z327" s="28">
        <f ca="1">IFERROR(SUMIFS(Outputs[2044],
Outputs[[Capacity]:[Capacity]],"used_capacity",
Outputs[[Technology_description]:[Technology_description]],$B327)*PJ2TWh,"")</f>
        <v>0</v>
      </c>
      <c r="AA327" s="28">
        <f ca="1">IFERROR(SUMIFS(Outputs[2045],
Outputs[[Capacity]:[Capacity]],"used_capacity",
Outputs[[Technology_description]:[Technology_description]],$B327)*PJ2TWh,"")</f>
        <v>0</v>
      </c>
      <c r="AB327" s="28">
        <f ca="1">IFERROR(SUMIFS(Outputs[2046],
Outputs[[Capacity]:[Capacity]],"used_capacity",
Outputs[[Technology_description]:[Technology_description]],$B327)*PJ2TWh,"")</f>
        <v>0</v>
      </c>
      <c r="AC327" s="28">
        <f ca="1">IFERROR(SUMIFS(Outputs[2047],
Outputs[[Capacity]:[Capacity]],"used_capacity",
Outputs[[Technology_description]:[Technology_description]],$B327)*PJ2TWh,"")</f>
        <v>0</v>
      </c>
      <c r="AD327" s="28">
        <f ca="1">IFERROR(SUMIFS(Outputs[2048],
Outputs[[Capacity]:[Capacity]],"used_capacity",
Outputs[[Technology_description]:[Technology_description]],$B327)*PJ2TWh,"")</f>
        <v>0</v>
      </c>
      <c r="AE327" s="28">
        <f ca="1">IFERROR(SUMIFS(Outputs[2049],
Outputs[[Capacity]:[Capacity]],"used_capacity",
Outputs[[Technology_description]:[Technology_description]],$B327)*PJ2TWh,"")</f>
        <v>0</v>
      </c>
      <c r="AF327" s="28">
        <f ca="1">IFERROR(SUMIFS(Outputs[2050],
Outputs[[Capacity]:[Capacity]],"used_capacity",
Outputs[[Technology_description]:[Technology_description]],$B327)*PJ2TWh,"")</f>
        <v>0</v>
      </c>
      <c r="AG327" s="28">
        <f ca="1">IFERROR(SUMIFS(Outputs[2051],
Outputs[[Capacity]:[Capacity]],"used_capacity",
Outputs[[Technology_description]:[Technology_description]],$B327)*PJ2TWh,"")</f>
        <v>0</v>
      </c>
    </row>
    <row r="328" spans="1:36" x14ac:dyDescent="0.45">
      <c r="A328" s="2"/>
      <c r="B328" t="s">
        <v>116</v>
      </c>
      <c r="C328" s="28">
        <f ca="1">IFERROR(SUMIFS(Outputs[2021],
Outputs[[Capacity]:[Capacity]],"used_capacity",
Outputs[[Technology_description]:[Technology_description]],$B328)*PJ2TWh,"")</f>
        <v>0</v>
      </c>
      <c r="D328" s="28">
        <f ca="1">IFERROR(SUMIFS(Outputs[2022],
Outputs[[Capacity]:[Capacity]],"used_capacity",
Outputs[[Technology_description]:[Technology_description]],$B328)*PJ2TWh,"")</f>
        <v>0</v>
      </c>
      <c r="E328" s="28">
        <f ca="1">IFERROR(SUMIFS(Outputs[2023],
Outputs[[Capacity]:[Capacity]],"used_capacity",
Outputs[[Technology_description]:[Technology_description]],$B328)*PJ2TWh,"")</f>
        <v>0</v>
      </c>
      <c r="F328" s="28">
        <f ca="1">IFERROR(SUMIFS(Outputs[2024],
Outputs[[Capacity]:[Capacity]],"used_capacity",
Outputs[[Technology_description]:[Technology_description]],$B328)*PJ2TWh,"")</f>
        <v>0</v>
      </c>
      <c r="G328" s="28">
        <f ca="1">IFERROR(SUMIFS(Outputs[2025],
Outputs[[Capacity]:[Capacity]],"used_capacity",
Outputs[[Technology_description]:[Technology_description]],$B328)*PJ2TWh,"")</f>
        <v>0</v>
      </c>
      <c r="H328" s="28">
        <f ca="1">IFERROR(SUMIFS(Outputs[2026],
Outputs[[Capacity]:[Capacity]],"used_capacity",
Outputs[[Technology_description]:[Technology_description]],$B328)*PJ2TWh,"")</f>
        <v>0</v>
      </c>
      <c r="I328" s="28">
        <f ca="1">IFERROR(SUMIFS(Outputs[2027],
Outputs[[Capacity]:[Capacity]],"used_capacity",
Outputs[[Technology_description]:[Technology_description]],$B328)*PJ2TWh,"")</f>
        <v>0</v>
      </c>
      <c r="J328" s="28">
        <f ca="1">IFERROR(SUMIFS(Outputs[2028],
Outputs[[Capacity]:[Capacity]],"used_capacity",
Outputs[[Technology_description]:[Technology_description]],$B328)*PJ2TWh,"")</f>
        <v>0</v>
      </c>
      <c r="K328" s="28">
        <f ca="1">IFERROR(SUMIFS(Outputs[2029],
Outputs[[Capacity]:[Capacity]],"used_capacity",
Outputs[[Technology_description]:[Technology_description]],$B328)*PJ2TWh,"")</f>
        <v>0</v>
      </c>
      <c r="L328" s="28">
        <f ca="1">IFERROR(SUMIFS(Outputs[2030],
Outputs[[Capacity]:[Capacity]],"used_capacity",
Outputs[[Technology_description]:[Technology_description]],$B328)*PJ2TWh,"")</f>
        <v>0</v>
      </c>
      <c r="M328" s="28">
        <f ca="1">IFERROR(SUMIFS(Outputs[2031],
Outputs[[Capacity]:[Capacity]],"used_capacity",
Outputs[[Technology_description]:[Technology_description]],$B328)*PJ2TWh,"")</f>
        <v>0</v>
      </c>
      <c r="N328" s="28">
        <f ca="1">IFERROR(SUMIFS(Outputs[2032],
Outputs[[Capacity]:[Capacity]],"used_capacity",
Outputs[[Technology_description]:[Technology_description]],$B328)*PJ2TWh,"")</f>
        <v>0</v>
      </c>
      <c r="O328" s="28">
        <f ca="1">IFERROR(SUMIFS(Outputs[2033],
Outputs[[Capacity]:[Capacity]],"used_capacity",
Outputs[[Technology_description]:[Technology_description]],$B328)*PJ2TWh,"")</f>
        <v>0</v>
      </c>
      <c r="P328" s="28">
        <f ca="1">IFERROR(SUMIFS(Outputs[2034],
Outputs[[Capacity]:[Capacity]],"used_capacity",
Outputs[[Technology_description]:[Technology_description]],$B328)*PJ2TWh,"")</f>
        <v>0</v>
      </c>
      <c r="Q328" s="28">
        <f ca="1">IFERROR(SUMIFS(Outputs[2035],
Outputs[[Capacity]:[Capacity]],"used_capacity",
Outputs[[Technology_description]:[Technology_description]],$B328)*PJ2TWh,"")</f>
        <v>0</v>
      </c>
      <c r="R328" s="28">
        <f ca="1">IFERROR(SUMIFS(Outputs[2036],
Outputs[[Capacity]:[Capacity]],"used_capacity",
Outputs[[Technology_description]:[Technology_description]],$B328)*PJ2TWh,"")</f>
        <v>0</v>
      </c>
      <c r="S328" s="28">
        <f ca="1">IFERROR(SUMIFS(Outputs[2037],
Outputs[[Capacity]:[Capacity]],"used_capacity",
Outputs[[Technology_description]:[Technology_description]],$B328)*PJ2TWh,"")</f>
        <v>0</v>
      </c>
      <c r="T328" s="28">
        <f ca="1">IFERROR(SUMIFS(Outputs[2038],
Outputs[[Capacity]:[Capacity]],"used_capacity",
Outputs[[Technology_description]:[Technology_description]],$B328)*PJ2TWh,"")</f>
        <v>0</v>
      </c>
      <c r="U328" s="28">
        <f ca="1">IFERROR(SUMIFS(Outputs[2039],
Outputs[[Capacity]:[Capacity]],"used_capacity",
Outputs[[Technology_description]:[Technology_description]],$B328)*PJ2TWh,"")</f>
        <v>0</v>
      </c>
      <c r="V328" s="28">
        <f ca="1">IFERROR(SUMIFS(Outputs[2040],
Outputs[[Capacity]:[Capacity]],"used_capacity",
Outputs[[Technology_description]:[Technology_description]],$B328)*PJ2TWh,"")</f>
        <v>0</v>
      </c>
      <c r="W328" s="28">
        <f ca="1">IFERROR(SUMIFS(Outputs[2041],
Outputs[[Capacity]:[Capacity]],"used_capacity",
Outputs[[Technology_description]:[Technology_description]],$B328)*PJ2TWh,"")</f>
        <v>0</v>
      </c>
      <c r="X328" s="28">
        <f ca="1">IFERROR(SUMIFS(Outputs[2042],
Outputs[[Capacity]:[Capacity]],"used_capacity",
Outputs[[Technology_description]:[Technology_description]],$B328)*PJ2TWh,"")</f>
        <v>0</v>
      </c>
      <c r="Y328" s="28">
        <f ca="1">IFERROR(SUMIFS(Outputs[2043],
Outputs[[Capacity]:[Capacity]],"used_capacity",
Outputs[[Technology_description]:[Technology_description]],$B328)*PJ2TWh,"")</f>
        <v>0</v>
      </c>
      <c r="Z328" s="28">
        <f ca="1">IFERROR(SUMIFS(Outputs[2044],
Outputs[[Capacity]:[Capacity]],"used_capacity",
Outputs[[Technology_description]:[Technology_description]],$B328)*PJ2TWh,"")</f>
        <v>0</v>
      </c>
      <c r="AA328" s="28">
        <f ca="1">IFERROR(SUMIFS(Outputs[2045],
Outputs[[Capacity]:[Capacity]],"used_capacity",
Outputs[[Technology_description]:[Technology_description]],$B328)*PJ2TWh,"")</f>
        <v>0</v>
      </c>
      <c r="AB328" s="28">
        <f ca="1">IFERROR(SUMIFS(Outputs[2046],
Outputs[[Capacity]:[Capacity]],"used_capacity",
Outputs[[Technology_description]:[Technology_description]],$B328)*PJ2TWh,"")</f>
        <v>0</v>
      </c>
      <c r="AC328" s="28">
        <f ca="1">IFERROR(SUMIFS(Outputs[2047],
Outputs[[Capacity]:[Capacity]],"used_capacity",
Outputs[[Technology_description]:[Technology_description]],$B328)*PJ2TWh,"")</f>
        <v>0</v>
      </c>
      <c r="AD328" s="28">
        <f ca="1">IFERROR(SUMIFS(Outputs[2048],
Outputs[[Capacity]:[Capacity]],"used_capacity",
Outputs[[Technology_description]:[Technology_description]],$B328)*PJ2TWh,"")</f>
        <v>0</v>
      </c>
      <c r="AE328" s="28">
        <f ca="1">IFERROR(SUMIFS(Outputs[2049],
Outputs[[Capacity]:[Capacity]],"used_capacity",
Outputs[[Technology_description]:[Technology_description]],$B328)*PJ2TWh,"")</f>
        <v>0</v>
      </c>
      <c r="AF328" s="28">
        <f ca="1">IFERROR(SUMIFS(Outputs[2050],
Outputs[[Capacity]:[Capacity]],"used_capacity",
Outputs[[Technology_description]:[Technology_description]],$B328)*PJ2TWh,"")</f>
        <v>0</v>
      </c>
      <c r="AG328" s="28">
        <f ca="1">IFERROR(SUMIFS(Outputs[2051],
Outputs[[Capacity]:[Capacity]],"used_capacity",
Outputs[[Technology_description]:[Technology_description]],$B328)*PJ2TWh,"")</f>
        <v>0</v>
      </c>
    </row>
    <row r="329" spans="1:36" x14ac:dyDescent="0.45">
      <c r="A329" s="2"/>
      <c r="B329" t="s">
        <v>117</v>
      </c>
      <c r="C329" s="28">
        <f ca="1">IFERROR(SUMIFS(Outputs[2021],
Outputs[[Capacity]:[Capacity]],"used_capacity",
Outputs[[Technology_description]:[Technology_description]],$B329)*PJ2TWh,"")</f>
        <v>0</v>
      </c>
      <c r="D329" s="28">
        <f ca="1">IFERROR(SUMIFS(Outputs[2022],
Outputs[[Capacity]:[Capacity]],"used_capacity",
Outputs[[Technology_description]:[Technology_description]],$B329)*PJ2TWh,"")</f>
        <v>0</v>
      </c>
      <c r="E329" s="28">
        <f ca="1">IFERROR(SUMIFS(Outputs[2023],
Outputs[[Capacity]:[Capacity]],"used_capacity",
Outputs[[Technology_description]:[Technology_description]],$B329)*PJ2TWh,"")</f>
        <v>0</v>
      </c>
      <c r="F329" s="28">
        <f ca="1">IFERROR(SUMIFS(Outputs[2024],
Outputs[[Capacity]:[Capacity]],"used_capacity",
Outputs[[Technology_description]:[Technology_description]],$B329)*PJ2TWh,"")</f>
        <v>0</v>
      </c>
      <c r="G329" s="28">
        <f ca="1">IFERROR(SUMIFS(Outputs[2025],
Outputs[[Capacity]:[Capacity]],"used_capacity",
Outputs[[Technology_description]:[Technology_description]],$B329)*PJ2TWh,"")</f>
        <v>0</v>
      </c>
      <c r="H329" s="28">
        <f ca="1">IFERROR(SUMIFS(Outputs[2026],
Outputs[[Capacity]:[Capacity]],"used_capacity",
Outputs[[Technology_description]:[Technology_description]],$B329)*PJ2TWh,"")</f>
        <v>0</v>
      </c>
      <c r="I329" s="28">
        <f ca="1">IFERROR(SUMIFS(Outputs[2027],
Outputs[[Capacity]:[Capacity]],"used_capacity",
Outputs[[Technology_description]:[Technology_description]],$B329)*PJ2TWh,"")</f>
        <v>0</v>
      </c>
      <c r="J329" s="28">
        <f ca="1">IFERROR(SUMIFS(Outputs[2028],
Outputs[[Capacity]:[Capacity]],"used_capacity",
Outputs[[Technology_description]:[Technology_description]],$B329)*PJ2TWh,"")</f>
        <v>0</v>
      </c>
      <c r="K329" s="28">
        <f ca="1">IFERROR(SUMIFS(Outputs[2029],
Outputs[[Capacity]:[Capacity]],"used_capacity",
Outputs[[Technology_description]:[Technology_description]],$B329)*PJ2TWh,"")</f>
        <v>0</v>
      </c>
      <c r="L329" s="28">
        <f ca="1">IFERROR(SUMIFS(Outputs[2030],
Outputs[[Capacity]:[Capacity]],"used_capacity",
Outputs[[Technology_description]:[Technology_description]],$B329)*PJ2TWh,"")</f>
        <v>0</v>
      </c>
      <c r="M329" s="28">
        <f ca="1">IFERROR(SUMIFS(Outputs[2031],
Outputs[[Capacity]:[Capacity]],"used_capacity",
Outputs[[Technology_description]:[Technology_description]],$B329)*PJ2TWh,"")</f>
        <v>0</v>
      </c>
      <c r="N329" s="28">
        <f ca="1">IFERROR(SUMIFS(Outputs[2032],
Outputs[[Capacity]:[Capacity]],"used_capacity",
Outputs[[Technology_description]:[Technology_description]],$B329)*PJ2TWh,"")</f>
        <v>0</v>
      </c>
      <c r="O329" s="28">
        <f ca="1">IFERROR(SUMIFS(Outputs[2033],
Outputs[[Capacity]:[Capacity]],"used_capacity",
Outputs[[Technology_description]:[Technology_description]],$B329)*PJ2TWh,"")</f>
        <v>0</v>
      </c>
      <c r="P329" s="28">
        <f ca="1">IFERROR(SUMIFS(Outputs[2034],
Outputs[[Capacity]:[Capacity]],"used_capacity",
Outputs[[Technology_description]:[Technology_description]],$B329)*PJ2TWh,"")</f>
        <v>0</v>
      </c>
      <c r="Q329" s="28">
        <f ca="1">IFERROR(SUMIFS(Outputs[2035],
Outputs[[Capacity]:[Capacity]],"used_capacity",
Outputs[[Technology_description]:[Technology_description]],$B329)*PJ2TWh,"")</f>
        <v>0</v>
      </c>
      <c r="R329" s="28">
        <f ca="1">IFERROR(SUMIFS(Outputs[2036],
Outputs[[Capacity]:[Capacity]],"used_capacity",
Outputs[[Technology_description]:[Technology_description]],$B329)*PJ2TWh,"")</f>
        <v>0</v>
      </c>
      <c r="S329" s="28">
        <f ca="1">IFERROR(SUMIFS(Outputs[2037],
Outputs[[Capacity]:[Capacity]],"used_capacity",
Outputs[[Technology_description]:[Technology_description]],$B329)*PJ2TWh,"")</f>
        <v>0</v>
      </c>
      <c r="T329" s="28">
        <f ca="1">IFERROR(SUMIFS(Outputs[2038],
Outputs[[Capacity]:[Capacity]],"used_capacity",
Outputs[[Technology_description]:[Technology_description]],$B329)*PJ2TWh,"")</f>
        <v>0</v>
      </c>
      <c r="U329" s="28">
        <f ca="1">IFERROR(SUMIFS(Outputs[2039],
Outputs[[Capacity]:[Capacity]],"used_capacity",
Outputs[[Technology_description]:[Technology_description]],$B329)*PJ2TWh,"")</f>
        <v>0</v>
      </c>
      <c r="V329" s="28">
        <f ca="1">IFERROR(SUMIFS(Outputs[2040],
Outputs[[Capacity]:[Capacity]],"used_capacity",
Outputs[[Technology_description]:[Technology_description]],$B329)*PJ2TWh,"")</f>
        <v>0</v>
      </c>
      <c r="W329" s="28">
        <f ca="1">IFERROR(SUMIFS(Outputs[2041],
Outputs[[Capacity]:[Capacity]],"used_capacity",
Outputs[[Technology_description]:[Technology_description]],$B329)*PJ2TWh,"")</f>
        <v>0</v>
      </c>
      <c r="X329" s="28">
        <f ca="1">IFERROR(SUMIFS(Outputs[2042],
Outputs[[Capacity]:[Capacity]],"used_capacity",
Outputs[[Technology_description]:[Technology_description]],$B329)*PJ2TWh,"")</f>
        <v>0</v>
      </c>
      <c r="Y329" s="28">
        <f ca="1">IFERROR(SUMIFS(Outputs[2043],
Outputs[[Capacity]:[Capacity]],"used_capacity",
Outputs[[Technology_description]:[Technology_description]],$B329)*PJ2TWh,"")</f>
        <v>0</v>
      </c>
      <c r="Z329" s="28">
        <f ca="1">IFERROR(SUMIFS(Outputs[2044],
Outputs[[Capacity]:[Capacity]],"used_capacity",
Outputs[[Technology_description]:[Technology_description]],$B329)*PJ2TWh,"")</f>
        <v>0</v>
      </c>
      <c r="AA329" s="28">
        <f ca="1">IFERROR(SUMIFS(Outputs[2045],
Outputs[[Capacity]:[Capacity]],"used_capacity",
Outputs[[Technology_description]:[Technology_description]],$B329)*PJ2TWh,"")</f>
        <v>0</v>
      </c>
      <c r="AB329" s="28">
        <f ca="1">IFERROR(SUMIFS(Outputs[2046],
Outputs[[Capacity]:[Capacity]],"used_capacity",
Outputs[[Technology_description]:[Technology_description]],$B329)*PJ2TWh,"")</f>
        <v>0</v>
      </c>
      <c r="AC329" s="28">
        <f ca="1">IFERROR(SUMIFS(Outputs[2047],
Outputs[[Capacity]:[Capacity]],"used_capacity",
Outputs[[Technology_description]:[Technology_description]],$B329)*PJ2TWh,"")</f>
        <v>0</v>
      </c>
      <c r="AD329" s="28">
        <f ca="1">IFERROR(SUMIFS(Outputs[2048],
Outputs[[Capacity]:[Capacity]],"used_capacity",
Outputs[[Technology_description]:[Technology_description]],$B329)*PJ2TWh,"")</f>
        <v>0</v>
      </c>
      <c r="AE329" s="28">
        <f ca="1">IFERROR(SUMIFS(Outputs[2049],
Outputs[[Capacity]:[Capacity]],"used_capacity",
Outputs[[Technology_description]:[Technology_description]],$B329)*PJ2TWh,"")</f>
        <v>0</v>
      </c>
      <c r="AF329" s="28">
        <f ca="1">IFERROR(SUMIFS(Outputs[2050],
Outputs[[Capacity]:[Capacity]],"used_capacity",
Outputs[[Technology_description]:[Technology_description]],$B329)*PJ2TWh,"")</f>
        <v>0</v>
      </c>
      <c r="AG329" s="28">
        <f ca="1">IFERROR(SUMIFS(Outputs[2051],
Outputs[[Capacity]:[Capacity]],"used_capacity",
Outputs[[Technology_description]:[Technology_description]],$B329)*PJ2TWh,"")</f>
        <v>0</v>
      </c>
    </row>
    <row r="330" spans="1:36" x14ac:dyDescent="0.45">
      <c r="A330" s="2"/>
      <c r="B330" t="s">
        <v>118</v>
      </c>
      <c r="C330" s="28">
        <f ca="1">IFERROR(SUMIFS(Outputs[2021],
Outputs[[Capacity]:[Capacity]],"used_capacity",
Outputs[[Technology_description]:[Technology_description]],$B330)*PJ2TWh,"")</f>
        <v>0</v>
      </c>
      <c r="D330" s="28">
        <f ca="1">IFERROR(SUMIFS(Outputs[2022],
Outputs[[Capacity]:[Capacity]],"used_capacity",
Outputs[[Technology_description]:[Technology_description]],$B330)*PJ2TWh,"")</f>
        <v>0</v>
      </c>
      <c r="E330" s="28">
        <f ca="1">IFERROR(SUMIFS(Outputs[2023],
Outputs[[Capacity]:[Capacity]],"used_capacity",
Outputs[[Technology_description]:[Technology_description]],$B330)*PJ2TWh,"")</f>
        <v>0</v>
      </c>
      <c r="F330" s="28">
        <f ca="1">IFERROR(SUMIFS(Outputs[2024],
Outputs[[Capacity]:[Capacity]],"used_capacity",
Outputs[[Technology_description]:[Technology_description]],$B330)*PJ2TWh,"")</f>
        <v>0</v>
      </c>
      <c r="G330" s="28">
        <f ca="1">IFERROR(SUMIFS(Outputs[2025],
Outputs[[Capacity]:[Capacity]],"used_capacity",
Outputs[[Technology_description]:[Technology_description]],$B330)*PJ2TWh,"")</f>
        <v>0</v>
      </c>
      <c r="H330" s="28">
        <f ca="1">IFERROR(SUMIFS(Outputs[2026],
Outputs[[Capacity]:[Capacity]],"used_capacity",
Outputs[[Technology_description]:[Technology_description]],$B330)*PJ2TWh,"")</f>
        <v>0</v>
      </c>
      <c r="I330" s="28">
        <f ca="1">IFERROR(SUMIFS(Outputs[2027],
Outputs[[Capacity]:[Capacity]],"used_capacity",
Outputs[[Technology_description]:[Technology_description]],$B330)*PJ2TWh,"")</f>
        <v>0</v>
      </c>
      <c r="J330" s="28">
        <f ca="1">IFERROR(SUMIFS(Outputs[2028],
Outputs[[Capacity]:[Capacity]],"used_capacity",
Outputs[[Technology_description]:[Technology_description]],$B330)*PJ2TWh,"")</f>
        <v>0</v>
      </c>
      <c r="K330" s="28">
        <f ca="1">IFERROR(SUMIFS(Outputs[2029],
Outputs[[Capacity]:[Capacity]],"used_capacity",
Outputs[[Technology_description]:[Technology_description]],$B330)*PJ2TWh,"")</f>
        <v>0</v>
      </c>
      <c r="L330" s="28">
        <f ca="1">IFERROR(SUMIFS(Outputs[2030],
Outputs[[Capacity]:[Capacity]],"used_capacity",
Outputs[[Technology_description]:[Technology_description]],$B330)*PJ2TWh,"")</f>
        <v>0</v>
      </c>
      <c r="M330" s="28">
        <f ca="1">IFERROR(SUMIFS(Outputs[2031],
Outputs[[Capacity]:[Capacity]],"used_capacity",
Outputs[[Technology_description]:[Technology_description]],$B330)*PJ2TWh,"")</f>
        <v>0</v>
      </c>
      <c r="N330" s="28">
        <f ca="1">IFERROR(SUMIFS(Outputs[2032],
Outputs[[Capacity]:[Capacity]],"used_capacity",
Outputs[[Technology_description]:[Technology_description]],$B330)*PJ2TWh,"")</f>
        <v>0</v>
      </c>
      <c r="O330" s="28">
        <f ca="1">IFERROR(SUMIFS(Outputs[2033],
Outputs[[Capacity]:[Capacity]],"used_capacity",
Outputs[[Technology_description]:[Technology_description]],$B330)*PJ2TWh,"")</f>
        <v>0</v>
      </c>
      <c r="P330" s="28">
        <f ca="1">IFERROR(SUMIFS(Outputs[2034],
Outputs[[Capacity]:[Capacity]],"used_capacity",
Outputs[[Technology_description]:[Technology_description]],$B330)*PJ2TWh,"")</f>
        <v>0</v>
      </c>
      <c r="Q330" s="28">
        <f ca="1">IFERROR(SUMIFS(Outputs[2035],
Outputs[[Capacity]:[Capacity]],"used_capacity",
Outputs[[Technology_description]:[Technology_description]],$B330)*PJ2TWh,"")</f>
        <v>0</v>
      </c>
      <c r="R330" s="28">
        <f ca="1">IFERROR(SUMIFS(Outputs[2036],
Outputs[[Capacity]:[Capacity]],"used_capacity",
Outputs[[Technology_description]:[Technology_description]],$B330)*PJ2TWh,"")</f>
        <v>0</v>
      </c>
      <c r="S330" s="28">
        <f ca="1">IFERROR(SUMIFS(Outputs[2037],
Outputs[[Capacity]:[Capacity]],"used_capacity",
Outputs[[Technology_description]:[Technology_description]],$B330)*PJ2TWh,"")</f>
        <v>0</v>
      </c>
      <c r="T330" s="28">
        <f ca="1">IFERROR(SUMIFS(Outputs[2038],
Outputs[[Capacity]:[Capacity]],"used_capacity",
Outputs[[Technology_description]:[Technology_description]],$B330)*PJ2TWh,"")</f>
        <v>0</v>
      </c>
      <c r="U330" s="28">
        <f ca="1">IFERROR(SUMIFS(Outputs[2039],
Outputs[[Capacity]:[Capacity]],"used_capacity",
Outputs[[Technology_description]:[Technology_description]],$B330)*PJ2TWh,"")</f>
        <v>0</v>
      </c>
      <c r="V330" s="28">
        <f ca="1">IFERROR(SUMIFS(Outputs[2040],
Outputs[[Capacity]:[Capacity]],"used_capacity",
Outputs[[Technology_description]:[Technology_description]],$B330)*PJ2TWh,"")</f>
        <v>0</v>
      </c>
      <c r="W330" s="28">
        <f ca="1">IFERROR(SUMIFS(Outputs[2041],
Outputs[[Capacity]:[Capacity]],"used_capacity",
Outputs[[Technology_description]:[Technology_description]],$B330)*PJ2TWh,"")</f>
        <v>0</v>
      </c>
      <c r="X330" s="28">
        <f ca="1">IFERROR(SUMIFS(Outputs[2042],
Outputs[[Capacity]:[Capacity]],"used_capacity",
Outputs[[Technology_description]:[Technology_description]],$B330)*PJ2TWh,"")</f>
        <v>0</v>
      </c>
      <c r="Y330" s="28">
        <f ca="1">IFERROR(SUMIFS(Outputs[2043],
Outputs[[Capacity]:[Capacity]],"used_capacity",
Outputs[[Technology_description]:[Technology_description]],$B330)*PJ2TWh,"")</f>
        <v>0</v>
      </c>
      <c r="Z330" s="28">
        <f ca="1">IFERROR(SUMIFS(Outputs[2044],
Outputs[[Capacity]:[Capacity]],"used_capacity",
Outputs[[Technology_description]:[Technology_description]],$B330)*PJ2TWh,"")</f>
        <v>0</v>
      </c>
      <c r="AA330" s="28">
        <f ca="1">IFERROR(SUMIFS(Outputs[2045],
Outputs[[Capacity]:[Capacity]],"used_capacity",
Outputs[[Technology_description]:[Technology_description]],$B330)*PJ2TWh,"")</f>
        <v>0</v>
      </c>
      <c r="AB330" s="28">
        <f ca="1">IFERROR(SUMIFS(Outputs[2046],
Outputs[[Capacity]:[Capacity]],"used_capacity",
Outputs[[Technology_description]:[Technology_description]],$B330)*PJ2TWh,"")</f>
        <v>0</v>
      </c>
      <c r="AC330" s="28">
        <f ca="1">IFERROR(SUMIFS(Outputs[2047],
Outputs[[Capacity]:[Capacity]],"used_capacity",
Outputs[[Technology_description]:[Technology_description]],$B330)*PJ2TWh,"")</f>
        <v>0</v>
      </c>
      <c r="AD330" s="28">
        <f ca="1">IFERROR(SUMIFS(Outputs[2048],
Outputs[[Capacity]:[Capacity]],"used_capacity",
Outputs[[Technology_description]:[Technology_description]],$B330)*PJ2TWh,"")</f>
        <v>0</v>
      </c>
      <c r="AE330" s="28">
        <f ca="1">IFERROR(SUMIFS(Outputs[2049],
Outputs[[Capacity]:[Capacity]],"used_capacity",
Outputs[[Technology_description]:[Technology_description]],$B330)*PJ2TWh,"")</f>
        <v>0</v>
      </c>
      <c r="AF330" s="28">
        <f ca="1">IFERROR(SUMIFS(Outputs[2050],
Outputs[[Capacity]:[Capacity]],"used_capacity",
Outputs[[Technology_description]:[Technology_description]],$B330)*PJ2TWh,"")</f>
        <v>0</v>
      </c>
      <c r="AG330" s="28">
        <f ca="1">IFERROR(SUMIFS(Outputs[2051],
Outputs[[Capacity]:[Capacity]],"used_capacity",
Outputs[[Technology_description]:[Technology_description]],$B330)*PJ2TWh,"")</f>
        <v>0</v>
      </c>
    </row>
    <row r="331" spans="1:36" x14ac:dyDescent="0.45">
      <c r="A331" s="2"/>
      <c r="B331" t="s">
        <v>119</v>
      </c>
      <c r="C331" s="28">
        <f ca="1">IFERROR(SUMIFS(Outputs[2021],
Outputs[[Capacity]:[Capacity]],"used_capacity",
Outputs[[Technology_description]:[Technology_description]],$B331)*PJ2TWh,"")</f>
        <v>0</v>
      </c>
      <c r="D331" s="28">
        <f ca="1">IFERROR(SUMIFS(Outputs[2022],
Outputs[[Capacity]:[Capacity]],"used_capacity",
Outputs[[Technology_description]:[Technology_description]],$B331)*PJ2TWh,"")</f>
        <v>0</v>
      </c>
      <c r="E331" s="28">
        <f ca="1">IFERROR(SUMIFS(Outputs[2023],
Outputs[[Capacity]:[Capacity]],"used_capacity",
Outputs[[Technology_description]:[Technology_description]],$B331)*PJ2TWh,"")</f>
        <v>0</v>
      </c>
      <c r="F331" s="28">
        <f ca="1">IFERROR(SUMIFS(Outputs[2024],
Outputs[[Capacity]:[Capacity]],"used_capacity",
Outputs[[Technology_description]:[Technology_description]],$B331)*PJ2TWh,"")</f>
        <v>0</v>
      </c>
      <c r="G331" s="28">
        <f ca="1">IFERROR(SUMIFS(Outputs[2025],
Outputs[[Capacity]:[Capacity]],"used_capacity",
Outputs[[Technology_description]:[Technology_description]],$B331)*PJ2TWh,"")</f>
        <v>0</v>
      </c>
      <c r="H331" s="28">
        <f ca="1">IFERROR(SUMIFS(Outputs[2026],
Outputs[[Capacity]:[Capacity]],"used_capacity",
Outputs[[Technology_description]:[Technology_description]],$B331)*PJ2TWh,"")</f>
        <v>0</v>
      </c>
      <c r="I331" s="28">
        <f ca="1">IFERROR(SUMIFS(Outputs[2027],
Outputs[[Capacity]:[Capacity]],"used_capacity",
Outputs[[Technology_description]:[Technology_description]],$B331)*PJ2TWh,"")</f>
        <v>0</v>
      </c>
      <c r="J331" s="28">
        <f ca="1">IFERROR(SUMIFS(Outputs[2028],
Outputs[[Capacity]:[Capacity]],"used_capacity",
Outputs[[Technology_description]:[Technology_description]],$B331)*PJ2TWh,"")</f>
        <v>0</v>
      </c>
      <c r="K331" s="28">
        <f ca="1">IFERROR(SUMIFS(Outputs[2029],
Outputs[[Capacity]:[Capacity]],"used_capacity",
Outputs[[Technology_description]:[Technology_description]],$B331)*PJ2TWh,"")</f>
        <v>0</v>
      </c>
      <c r="L331" s="28">
        <f ca="1">IFERROR(SUMIFS(Outputs[2030],
Outputs[[Capacity]:[Capacity]],"used_capacity",
Outputs[[Technology_description]:[Technology_description]],$B331)*PJ2TWh,"")</f>
        <v>0</v>
      </c>
      <c r="M331" s="28">
        <f ca="1">IFERROR(SUMIFS(Outputs[2031],
Outputs[[Capacity]:[Capacity]],"used_capacity",
Outputs[[Technology_description]:[Technology_description]],$B331)*PJ2TWh,"")</f>
        <v>0</v>
      </c>
      <c r="N331" s="28">
        <f ca="1">IFERROR(SUMIFS(Outputs[2032],
Outputs[[Capacity]:[Capacity]],"used_capacity",
Outputs[[Technology_description]:[Technology_description]],$B331)*PJ2TWh,"")</f>
        <v>0</v>
      </c>
      <c r="O331" s="28">
        <f ca="1">IFERROR(SUMIFS(Outputs[2033],
Outputs[[Capacity]:[Capacity]],"used_capacity",
Outputs[[Technology_description]:[Technology_description]],$B331)*PJ2TWh,"")</f>
        <v>0</v>
      </c>
      <c r="P331" s="28">
        <f ca="1">IFERROR(SUMIFS(Outputs[2034],
Outputs[[Capacity]:[Capacity]],"used_capacity",
Outputs[[Technology_description]:[Technology_description]],$B331)*PJ2TWh,"")</f>
        <v>0</v>
      </c>
      <c r="Q331" s="28">
        <f ca="1">IFERROR(SUMIFS(Outputs[2035],
Outputs[[Capacity]:[Capacity]],"used_capacity",
Outputs[[Technology_description]:[Technology_description]],$B331)*PJ2TWh,"")</f>
        <v>0</v>
      </c>
      <c r="R331" s="28">
        <f ca="1">IFERROR(SUMIFS(Outputs[2036],
Outputs[[Capacity]:[Capacity]],"used_capacity",
Outputs[[Technology_description]:[Technology_description]],$B331)*PJ2TWh,"")</f>
        <v>0</v>
      </c>
      <c r="S331" s="28">
        <f ca="1">IFERROR(SUMIFS(Outputs[2037],
Outputs[[Capacity]:[Capacity]],"used_capacity",
Outputs[[Technology_description]:[Technology_description]],$B331)*PJ2TWh,"")</f>
        <v>0</v>
      </c>
      <c r="T331" s="28">
        <f ca="1">IFERROR(SUMIFS(Outputs[2038],
Outputs[[Capacity]:[Capacity]],"used_capacity",
Outputs[[Technology_description]:[Technology_description]],$B331)*PJ2TWh,"")</f>
        <v>0</v>
      </c>
      <c r="U331" s="28">
        <f ca="1">IFERROR(SUMIFS(Outputs[2039],
Outputs[[Capacity]:[Capacity]],"used_capacity",
Outputs[[Technology_description]:[Technology_description]],$B331)*PJ2TWh,"")</f>
        <v>0</v>
      </c>
      <c r="V331" s="28">
        <f ca="1">IFERROR(SUMIFS(Outputs[2040],
Outputs[[Capacity]:[Capacity]],"used_capacity",
Outputs[[Technology_description]:[Technology_description]],$B331)*PJ2TWh,"")</f>
        <v>0</v>
      </c>
      <c r="W331" s="28">
        <f ca="1">IFERROR(SUMIFS(Outputs[2041],
Outputs[[Capacity]:[Capacity]],"used_capacity",
Outputs[[Technology_description]:[Technology_description]],$B331)*PJ2TWh,"")</f>
        <v>0</v>
      </c>
      <c r="X331" s="28">
        <f ca="1">IFERROR(SUMIFS(Outputs[2042],
Outputs[[Capacity]:[Capacity]],"used_capacity",
Outputs[[Technology_description]:[Technology_description]],$B331)*PJ2TWh,"")</f>
        <v>0</v>
      </c>
      <c r="Y331" s="28">
        <f ca="1">IFERROR(SUMIFS(Outputs[2043],
Outputs[[Capacity]:[Capacity]],"used_capacity",
Outputs[[Technology_description]:[Technology_description]],$B331)*PJ2TWh,"")</f>
        <v>0</v>
      </c>
      <c r="Z331" s="28">
        <f ca="1">IFERROR(SUMIFS(Outputs[2044],
Outputs[[Capacity]:[Capacity]],"used_capacity",
Outputs[[Technology_description]:[Technology_description]],$B331)*PJ2TWh,"")</f>
        <v>0</v>
      </c>
      <c r="AA331" s="28">
        <f ca="1">IFERROR(SUMIFS(Outputs[2045],
Outputs[[Capacity]:[Capacity]],"used_capacity",
Outputs[[Technology_description]:[Technology_description]],$B331)*PJ2TWh,"")</f>
        <v>0</v>
      </c>
      <c r="AB331" s="28">
        <f ca="1">IFERROR(SUMIFS(Outputs[2046],
Outputs[[Capacity]:[Capacity]],"used_capacity",
Outputs[[Technology_description]:[Technology_description]],$B331)*PJ2TWh,"")</f>
        <v>0</v>
      </c>
      <c r="AC331" s="28">
        <f ca="1">IFERROR(SUMIFS(Outputs[2047],
Outputs[[Capacity]:[Capacity]],"used_capacity",
Outputs[[Technology_description]:[Technology_description]],$B331)*PJ2TWh,"")</f>
        <v>0</v>
      </c>
      <c r="AD331" s="28">
        <f ca="1">IFERROR(SUMIFS(Outputs[2048],
Outputs[[Capacity]:[Capacity]],"used_capacity",
Outputs[[Technology_description]:[Technology_description]],$B331)*PJ2TWh,"")</f>
        <v>0</v>
      </c>
      <c r="AE331" s="28">
        <f ca="1">IFERROR(SUMIFS(Outputs[2049],
Outputs[[Capacity]:[Capacity]],"used_capacity",
Outputs[[Technology_description]:[Technology_description]],$B331)*PJ2TWh,"")</f>
        <v>0</v>
      </c>
      <c r="AF331" s="28">
        <f ca="1">IFERROR(SUMIFS(Outputs[2050],
Outputs[[Capacity]:[Capacity]],"used_capacity",
Outputs[[Technology_description]:[Technology_description]],$B331)*PJ2TWh,"")</f>
        <v>0</v>
      </c>
      <c r="AG331" s="28">
        <f ca="1">IFERROR(SUMIFS(Outputs[2051],
Outputs[[Capacity]:[Capacity]],"used_capacity",
Outputs[[Technology_description]:[Technology_description]],$B331)*PJ2TWh,"")</f>
        <v>0</v>
      </c>
    </row>
    <row r="332" spans="1:36" x14ac:dyDescent="0.45">
      <c r="A332" s="2"/>
      <c r="B332" t="s">
        <v>85</v>
      </c>
      <c r="C332" s="28">
        <f ca="1">IFERROR(SUMIFS(Outputs[2021],
Outputs[[Capacity]:[Capacity]],"used_capacity",
Outputs[[Technology_description]:[Technology_description]],$B332)*PJ2TWh,"")</f>
        <v>0</v>
      </c>
      <c r="D332" s="28">
        <f ca="1">IFERROR(SUMIFS(Outputs[2022],
Outputs[[Capacity]:[Capacity]],"used_capacity",
Outputs[[Technology_description]:[Technology_description]],$B332)*PJ2TWh,"")</f>
        <v>0</v>
      </c>
      <c r="E332" s="28">
        <f ca="1">IFERROR(SUMIFS(Outputs[2023],
Outputs[[Capacity]:[Capacity]],"used_capacity",
Outputs[[Technology_description]:[Technology_description]],$B332)*PJ2TWh,"")</f>
        <v>0</v>
      </c>
      <c r="F332" s="28">
        <f ca="1">IFERROR(SUMIFS(Outputs[2024],
Outputs[[Capacity]:[Capacity]],"used_capacity",
Outputs[[Technology_description]:[Technology_description]],$B332)*PJ2TWh,"")</f>
        <v>0</v>
      </c>
      <c r="G332" s="28">
        <f ca="1">IFERROR(SUMIFS(Outputs[2025],
Outputs[[Capacity]:[Capacity]],"used_capacity",
Outputs[[Technology_description]:[Technology_description]],$B332)*PJ2TWh,"")</f>
        <v>0</v>
      </c>
      <c r="H332" s="28">
        <f ca="1">IFERROR(SUMIFS(Outputs[2026],
Outputs[[Capacity]:[Capacity]],"used_capacity",
Outputs[[Technology_description]:[Technology_description]],$B332)*PJ2TWh,"")</f>
        <v>0</v>
      </c>
      <c r="I332" s="28">
        <f ca="1">IFERROR(SUMIFS(Outputs[2027],
Outputs[[Capacity]:[Capacity]],"used_capacity",
Outputs[[Technology_description]:[Technology_description]],$B332)*PJ2TWh,"")</f>
        <v>0</v>
      </c>
      <c r="J332" s="28">
        <f ca="1">IFERROR(SUMIFS(Outputs[2028],
Outputs[[Capacity]:[Capacity]],"used_capacity",
Outputs[[Technology_description]:[Technology_description]],$B332)*PJ2TWh,"")</f>
        <v>0</v>
      </c>
      <c r="K332" s="28">
        <f ca="1">IFERROR(SUMIFS(Outputs[2029],
Outputs[[Capacity]:[Capacity]],"used_capacity",
Outputs[[Technology_description]:[Technology_description]],$B332)*PJ2TWh,"")</f>
        <v>0</v>
      </c>
      <c r="L332" s="28">
        <f ca="1">IFERROR(SUMIFS(Outputs[2030],
Outputs[[Capacity]:[Capacity]],"used_capacity",
Outputs[[Technology_description]:[Technology_description]],$B332)*PJ2TWh,"")</f>
        <v>0</v>
      </c>
      <c r="M332" s="28">
        <f ca="1">IFERROR(SUMIFS(Outputs[2031],
Outputs[[Capacity]:[Capacity]],"used_capacity",
Outputs[[Technology_description]:[Technology_description]],$B332)*PJ2TWh,"")</f>
        <v>0</v>
      </c>
      <c r="N332" s="28">
        <f ca="1">IFERROR(SUMIFS(Outputs[2032],
Outputs[[Capacity]:[Capacity]],"used_capacity",
Outputs[[Technology_description]:[Technology_description]],$B332)*PJ2TWh,"")</f>
        <v>0</v>
      </c>
      <c r="O332" s="28">
        <f ca="1">IFERROR(SUMIFS(Outputs[2033],
Outputs[[Capacity]:[Capacity]],"used_capacity",
Outputs[[Technology_description]:[Technology_description]],$B332)*PJ2TWh,"")</f>
        <v>0</v>
      </c>
      <c r="P332" s="28">
        <f ca="1">IFERROR(SUMIFS(Outputs[2034],
Outputs[[Capacity]:[Capacity]],"used_capacity",
Outputs[[Technology_description]:[Technology_description]],$B332)*PJ2TWh,"")</f>
        <v>0</v>
      </c>
      <c r="Q332" s="28">
        <f ca="1">IFERROR(SUMIFS(Outputs[2035],
Outputs[[Capacity]:[Capacity]],"used_capacity",
Outputs[[Technology_description]:[Technology_description]],$B332)*PJ2TWh,"")</f>
        <v>0</v>
      </c>
      <c r="R332" s="28">
        <f ca="1">IFERROR(SUMIFS(Outputs[2036],
Outputs[[Capacity]:[Capacity]],"used_capacity",
Outputs[[Technology_description]:[Technology_description]],$B332)*PJ2TWh,"")</f>
        <v>0</v>
      </c>
      <c r="S332" s="28">
        <f ca="1">IFERROR(SUMIFS(Outputs[2037],
Outputs[[Capacity]:[Capacity]],"used_capacity",
Outputs[[Technology_description]:[Technology_description]],$B332)*PJ2TWh,"")</f>
        <v>0</v>
      </c>
      <c r="T332" s="28">
        <f ca="1">IFERROR(SUMIFS(Outputs[2038],
Outputs[[Capacity]:[Capacity]],"used_capacity",
Outputs[[Technology_description]:[Technology_description]],$B332)*PJ2TWh,"")</f>
        <v>0</v>
      </c>
      <c r="U332" s="28">
        <f ca="1">IFERROR(SUMIFS(Outputs[2039],
Outputs[[Capacity]:[Capacity]],"used_capacity",
Outputs[[Technology_description]:[Technology_description]],$B332)*PJ2TWh,"")</f>
        <v>0</v>
      </c>
      <c r="V332" s="28">
        <f ca="1">IFERROR(SUMIFS(Outputs[2040],
Outputs[[Capacity]:[Capacity]],"used_capacity",
Outputs[[Technology_description]:[Technology_description]],$B332)*PJ2TWh,"")</f>
        <v>0</v>
      </c>
      <c r="W332" s="28">
        <f ca="1">IFERROR(SUMIFS(Outputs[2041],
Outputs[[Capacity]:[Capacity]],"used_capacity",
Outputs[[Technology_description]:[Technology_description]],$B332)*PJ2TWh,"")</f>
        <v>0</v>
      </c>
      <c r="X332" s="28">
        <f ca="1">IFERROR(SUMIFS(Outputs[2042],
Outputs[[Capacity]:[Capacity]],"used_capacity",
Outputs[[Technology_description]:[Technology_description]],$B332)*PJ2TWh,"")</f>
        <v>0</v>
      </c>
      <c r="Y332" s="28">
        <f ca="1">IFERROR(SUMIFS(Outputs[2043],
Outputs[[Capacity]:[Capacity]],"used_capacity",
Outputs[[Technology_description]:[Technology_description]],$B332)*PJ2TWh,"")</f>
        <v>0</v>
      </c>
      <c r="Z332" s="28">
        <f ca="1">IFERROR(SUMIFS(Outputs[2044],
Outputs[[Capacity]:[Capacity]],"used_capacity",
Outputs[[Technology_description]:[Technology_description]],$B332)*PJ2TWh,"")</f>
        <v>0</v>
      </c>
      <c r="AA332" s="28">
        <f ca="1">IFERROR(SUMIFS(Outputs[2045],
Outputs[[Capacity]:[Capacity]],"used_capacity",
Outputs[[Technology_description]:[Technology_description]],$B332)*PJ2TWh,"")</f>
        <v>0</v>
      </c>
      <c r="AB332" s="28">
        <f ca="1">IFERROR(SUMIFS(Outputs[2046],
Outputs[[Capacity]:[Capacity]],"used_capacity",
Outputs[[Technology_description]:[Technology_description]],$B332)*PJ2TWh,"")</f>
        <v>0</v>
      </c>
      <c r="AC332" s="28">
        <f ca="1">IFERROR(SUMIFS(Outputs[2047],
Outputs[[Capacity]:[Capacity]],"used_capacity",
Outputs[[Technology_description]:[Technology_description]],$B332)*PJ2TWh,"")</f>
        <v>0</v>
      </c>
      <c r="AD332" s="28">
        <f ca="1">IFERROR(SUMIFS(Outputs[2048],
Outputs[[Capacity]:[Capacity]],"used_capacity",
Outputs[[Technology_description]:[Technology_description]],$B332)*PJ2TWh,"")</f>
        <v>0</v>
      </c>
      <c r="AE332" s="28">
        <f ca="1">IFERROR(SUMIFS(Outputs[2049],
Outputs[[Capacity]:[Capacity]],"used_capacity",
Outputs[[Technology_description]:[Technology_description]],$B332)*PJ2TWh,"")</f>
        <v>0</v>
      </c>
      <c r="AF332" s="28">
        <f ca="1">IFERROR(SUMIFS(Outputs[2050],
Outputs[[Capacity]:[Capacity]],"used_capacity",
Outputs[[Technology_description]:[Technology_description]],$B332)*PJ2TWh,"")</f>
        <v>0</v>
      </c>
      <c r="AG332" s="28">
        <f ca="1">IFERROR(SUMIFS(Outputs[2051],
Outputs[[Capacity]:[Capacity]],"used_capacity",
Outputs[[Technology_description]:[Technology_description]],$B332)*PJ2TWh,"")</f>
        <v>0</v>
      </c>
      <c r="AJ332" s="20"/>
    </row>
    <row r="333" spans="1:36" ht="14.65" thickBot="1" x14ac:dyDescent="0.5">
      <c r="A333" s="2"/>
      <c r="B333" s="29" t="s">
        <v>124</v>
      </c>
      <c r="C333" s="31">
        <f ca="1">IF(C105&lt;&gt;"",SUM(C327:C332),"")</f>
        <v>0</v>
      </c>
      <c r="D333" s="31">
        <f t="shared" ref="D333:AG333" ca="1" si="65">IF(D105&lt;&gt;"",SUM(D327:D332),"")</f>
        <v>0</v>
      </c>
      <c r="E333" s="31">
        <f t="shared" ca="1" si="65"/>
        <v>0</v>
      </c>
      <c r="F333" s="31">
        <f t="shared" ca="1" si="65"/>
        <v>0</v>
      </c>
      <c r="G333" s="31">
        <f t="shared" ca="1" si="65"/>
        <v>0</v>
      </c>
      <c r="H333" s="31">
        <f t="shared" ca="1" si="65"/>
        <v>0</v>
      </c>
      <c r="I333" s="31">
        <f t="shared" ca="1" si="65"/>
        <v>0</v>
      </c>
      <c r="J333" s="31">
        <f t="shared" ca="1" si="65"/>
        <v>0</v>
      </c>
      <c r="K333" s="31">
        <f t="shared" ca="1" si="65"/>
        <v>0</v>
      </c>
      <c r="L333" s="31">
        <f t="shared" ca="1" si="65"/>
        <v>0</v>
      </c>
      <c r="M333" s="31">
        <f t="shared" ca="1" si="65"/>
        <v>0</v>
      </c>
      <c r="N333" s="31">
        <f t="shared" ca="1" si="65"/>
        <v>0</v>
      </c>
      <c r="O333" s="31">
        <f t="shared" ca="1" si="65"/>
        <v>0</v>
      </c>
      <c r="P333" s="31">
        <f t="shared" ca="1" si="65"/>
        <v>0</v>
      </c>
      <c r="Q333" s="31">
        <f t="shared" ca="1" si="65"/>
        <v>0</v>
      </c>
      <c r="R333" s="31">
        <f t="shared" ca="1" si="65"/>
        <v>0</v>
      </c>
      <c r="S333" s="31">
        <f t="shared" ca="1" si="65"/>
        <v>0</v>
      </c>
      <c r="T333" s="31">
        <f t="shared" ca="1" si="65"/>
        <v>0</v>
      </c>
      <c r="U333" s="31">
        <f t="shared" ca="1" si="65"/>
        <v>0</v>
      </c>
      <c r="V333" s="31">
        <f t="shared" ca="1" si="65"/>
        <v>0</v>
      </c>
      <c r="W333" s="31">
        <f t="shared" ca="1" si="65"/>
        <v>0</v>
      </c>
      <c r="X333" s="31">
        <f t="shared" ca="1" si="65"/>
        <v>0</v>
      </c>
      <c r="Y333" s="31">
        <f t="shared" ca="1" si="65"/>
        <v>0</v>
      </c>
      <c r="Z333" s="31">
        <f t="shared" ca="1" si="65"/>
        <v>0</v>
      </c>
      <c r="AA333" s="31">
        <f t="shared" ca="1" si="65"/>
        <v>0</v>
      </c>
      <c r="AB333" s="31">
        <f t="shared" ca="1" si="65"/>
        <v>0</v>
      </c>
      <c r="AC333" s="31">
        <f t="shared" ca="1" si="65"/>
        <v>0</v>
      </c>
      <c r="AD333" s="31">
        <f t="shared" ca="1" si="65"/>
        <v>0</v>
      </c>
      <c r="AE333" s="31">
        <f t="shared" ca="1" si="65"/>
        <v>0</v>
      </c>
      <c r="AF333" s="31">
        <f t="shared" ca="1" si="65"/>
        <v>0</v>
      </c>
      <c r="AG333" s="31">
        <f t="shared" ca="1" si="65"/>
        <v>0</v>
      </c>
    </row>
    <row r="334" spans="1:36" ht="14.65" thickTop="1" x14ac:dyDescent="0.45">
      <c r="A334" s="2"/>
      <c r="B334" s="6"/>
    </row>
    <row r="335" spans="1:36" ht="28.5" customHeight="1" x14ac:dyDescent="0.75">
      <c r="A335" s="26" t="s">
        <v>89</v>
      </c>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row>
    <row r="338" spans="1:36" ht="18" x14ac:dyDescent="0.55000000000000004">
      <c r="A338" s="5" t="s">
        <v>92</v>
      </c>
      <c r="B338" s="25" t="s">
        <v>199</v>
      </c>
    </row>
    <row r="339" spans="1:36" x14ac:dyDescent="0.45">
      <c r="B339" s="14"/>
    </row>
    <row r="340" spans="1:36" ht="18" x14ac:dyDescent="0.55000000000000004">
      <c r="A340" s="5"/>
      <c r="B340" s="6"/>
      <c r="C340" s="6">
        <v>2021</v>
      </c>
      <c r="D340" s="6">
        <v>2022</v>
      </c>
      <c r="E340" s="6">
        <v>2023</v>
      </c>
      <c r="F340" s="6">
        <v>2024</v>
      </c>
      <c r="G340" s="6">
        <v>2025</v>
      </c>
      <c r="H340" s="6">
        <v>2026</v>
      </c>
      <c r="I340" s="6">
        <v>2027</v>
      </c>
      <c r="J340" s="6">
        <v>2028</v>
      </c>
      <c r="K340" s="6">
        <v>2029</v>
      </c>
      <c r="L340" s="6">
        <v>2030</v>
      </c>
      <c r="M340" s="6">
        <v>2031</v>
      </c>
      <c r="N340" s="6">
        <v>2032</v>
      </c>
      <c r="O340" s="6">
        <v>2033</v>
      </c>
      <c r="P340" s="6">
        <v>2034</v>
      </c>
      <c r="Q340" s="6">
        <v>2035</v>
      </c>
      <c r="R340" s="6">
        <v>2036</v>
      </c>
      <c r="S340" s="6">
        <v>2037</v>
      </c>
      <c r="T340" s="6">
        <v>2038</v>
      </c>
      <c r="U340" s="6">
        <v>2039</v>
      </c>
      <c r="V340" s="6">
        <v>2040</v>
      </c>
      <c r="W340" s="6">
        <v>2041</v>
      </c>
      <c r="X340" s="6">
        <v>2042</v>
      </c>
      <c r="Y340" s="6">
        <v>2043</v>
      </c>
      <c r="Z340" s="6">
        <v>2044</v>
      </c>
      <c r="AA340" s="6">
        <v>2045</v>
      </c>
      <c r="AB340" s="6">
        <v>2046</v>
      </c>
      <c r="AC340" s="6">
        <v>2047</v>
      </c>
      <c r="AD340" s="6">
        <v>2048</v>
      </c>
      <c r="AE340" s="6">
        <v>2049</v>
      </c>
      <c r="AF340" s="6">
        <v>2050</v>
      </c>
      <c r="AG340" s="6">
        <v>2051</v>
      </c>
    </row>
    <row r="341" spans="1:36" x14ac:dyDescent="0.45">
      <c r="A341" t="s">
        <v>93</v>
      </c>
      <c r="B341" t="s">
        <v>70</v>
      </c>
      <c r="C341" s="46">
        <f>IFERROR(SUMIFS(Infrastructure[2021],Infrastructure[[cluster]:[cluster]],"="&amp;$B341,Infrastructure[[variable_type]:[variable_type]],"H2_pipe_new_capacity")*PJ2MW,"")</f>
        <v>0</v>
      </c>
      <c r="D341" s="46">
        <f>IFERROR(SUMIFS(Infrastructure[2022],Infrastructure[[cluster]:[cluster]],"="&amp;$B341,Infrastructure[[variable_type]:[variable_type]],"H2_pipe_new_capacity")*PJ2MW,"")</f>
        <v>0</v>
      </c>
      <c r="E341" s="46">
        <f>IFERROR(SUMIFS(Infrastructure[2023],Infrastructure[[cluster]:[cluster]],"="&amp;$B341,Infrastructure[[variable_type]:[variable_type]],"H2_pipe_new_capacity")*PJ2MW,"")</f>
        <v>0</v>
      </c>
      <c r="F341" s="46">
        <f>IFERROR(SUMIFS(Infrastructure[2024],Infrastructure[[cluster]:[cluster]],"="&amp;$B341,Infrastructure[[variable_type]:[variable_type]],"H2_pipe_new_capacity")*PJ2MW,"")</f>
        <v>0</v>
      </c>
      <c r="G341" s="46">
        <f>IFERROR(SUMIFS(Infrastructure[2025],Infrastructure[[cluster]:[cluster]],"="&amp;$B341,Infrastructure[[variable_type]:[variable_type]],"H2_pipe_new_capacity")*PJ2MW,"")</f>
        <v>0</v>
      </c>
      <c r="H341" s="46">
        <f>IFERROR(SUMIFS(Infrastructure[2026],Infrastructure[[cluster]:[cluster]],"="&amp;$B341,Infrastructure[[variable_type]:[variable_type]],"H2_pipe_new_capacity")*PJ2MW,"")</f>
        <v>0</v>
      </c>
      <c r="I341" s="46">
        <f>IFERROR(SUMIFS(Infrastructure[2027],Infrastructure[[cluster]:[cluster]],"="&amp;$B341,Infrastructure[[variable_type]:[variable_type]],"H2_pipe_new_capacity")*PJ2MW,"")</f>
        <v>0</v>
      </c>
      <c r="J341" s="46">
        <f>IFERROR(SUMIFS(Infrastructure[2028],Infrastructure[[cluster]:[cluster]],"="&amp;$B341,Infrastructure[[variable_type]:[variable_type]],"H2_pipe_new_capacity")*PJ2MW,"")</f>
        <v>0</v>
      </c>
      <c r="K341" s="46">
        <f>IFERROR(SUMIFS(Infrastructure[2029],Infrastructure[[cluster]:[cluster]],"="&amp;$B341,Infrastructure[[variable_type]:[variable_type]],"H2_pipe_new_capacity")*PJ2MW,"")</f>
        <v>0</v>
      </c>
      <c r="L341" s="46">
        <f>IFERROR(SUMIFS(Infrastructure[2030],Infrastructure[[cluster]:[cluster]],"="&amp;$B341,Infrastructure[[variable_type]:[variable_type]],"H2_pipe_new_capacity")*PJ2MW,"")</f>
        <v>0</v>
      </c>
      <c r="M341" s="46">
        <f>IFERROR(SUMIFS(Infrastructure[2031],Infrastructure[[cluster]:[cluster]],"="&amp;$B341,Infrastructure[[variable_type]:[variable_type]],"H2_pipe_new_capacity")*PJ2MW,"")</f>
        <v>0</v>
      </c>
      <c r="N341" s="46">
        <f>IFERROR(SUMIFS(Infrastructure[2032],Infrastructure[[cluster]:[cluster]],"="&amp;$B341,Infrastructure[[variable_type]:[variable_type]],"H2_pipe_new_capacity")*PJ2MW,"")</f>
        <v>0</v>
      </c>
      <c r="O341" s="46">
        <f>IFERROR(SUMIFS(Infrastructure[2033],Infrastructure[[cluster]:[cluster]],"="&amp;$B341,Infrastructure[[variable_type]:[variable_type]],"H2_pipe_new_capacity")*PJ2MW,"")</f>
        <v>0</v>
      </c>
      <c r="P341" s="46">
        <f>IFERROR(SUMIFS(Infrastructure[2034],Infrastructure[[cluster]:[cluster]],"="&amp;$B341,Infrastructure[[variable_type]:[variable_type]],"H2_pipe_new_capacity")*PJ2MW,"")</f>
        <v>0</v>
      </c>
      <c r="Q341" s="46">
        <f>IFERROR(SUMIFS(Infrastructure[2035],Infrastructure[[cluster]:[cluster]],"="&amp;$B341,Infrastructure[[variable_type]:[variable_type]],"H2_pipe_new_capacity")*PJ2MW,"")</f>
        <v>0</v>
      </c>
      <c r="R341" s="46">
        <f>IFERROR(SUMIFS(Infrastructure[2036],Infrastructure[[cluster]:[cluster]],"="&amp;$B341,Infrastructure[[variable_type]:[variable_type]],"H2_pipe_new_capacity")*PJ2MW,"")</f>
        <v>0</v>
      </c>
      <c r="S341" s="46">
        <f>IFERROR(SUMIFS(Infrastructure[2037],Infrastructure[[cluster]:[cluster]],"="&amp;$B341,Infrastructure[[variable_type]:[variable_type]],"H2_pipe_new_capacity")*PJ2MW,"")</f>
        <v>0</v>
      </c>
      <c r="T341" s="46">
        <f>IFERROR(SUMIFS(Infrastructure[2038],Infrastructure[[cluster]:[cluster]],"="&amp;$B341,Infrastructure[[variable_type]:[variable_type]],"H2_pipe_new_capacity")*PJ2MW,"")</f>
        <v>0</v>
      </c>
      <c r="U341" s="46">
        <f>IFERROR(SUMIFS(Infrastructure[2039],Infrastructure[[cluster]:[cluster]],"="&amp;$B341,Infrastructure[[variable_type]:[variable_type]],"H2_pipe_new_capacity")*PJ2MW,"")</f>
        <v>0</v>
      </c>
      <c r="V341" s="46">
        <f>IFERROR(SUMIFS(Infrastructure[2040],Infrastructure[[cluster]:[cluster]],"="&amp;$B341,Infrastructure[[variable_type]:[variable_type]],"H2_pipe_new_capacity")*PJ2MW,"")</f>
        <v>0</v>
      </c>
      <c r="W341" s="46">
        <f>IFERROR(SUMIFS(Infrastructure[2041],Infrastructure[[cluster]:[cluster]],"="&amp;$B341,Infrastructure[[variable_type]:[variable_type]],"H2_pipe_new_capacity")*PJ2MW,"")</f>
        <v>0</v>
      </c>
      <c r="X341" s="46">
        <f>IFERROR(SUMIFS(Infrastructure[2042],Infrastructure[[cluster]:[cluster]],"="&amp;$B341,Infrastructure[[variable_type]:[variable_type]],"H2_pipe_new_capacity")*PJ2MW,"")</f>
        <v>0</v>
      </c>
      <c r="Y341" s="46">
        <f>IFERROR(SUMIFS(Infrastructure[2043],Infrastructure[[cluster]:[cluster]],"="&amp;$B341,Infrastructure[[variable_type]:[variable_type]],"H2_pipe_new_capacity")*PJ2MW,"")</f>
        <v>0</v>
      </c>
      <c r="Z341" s="46">
        <f>IFERROR(SUMIFS(Infrastructure[2044],Infrastructure[[cluster]:[cluster]],"="&amp;$B341,Infrastructure[[variable_type]:[variable_type]],"H2_pipe_new_capacity")*PJ2MW,"")</f>
        <v>0</v>
      </c>
      <c r="AA341" s="46">
        <f>IFERROR(SUMIFS(Infrastructure[2045],Infrastructure[[cluster]:[cluster]],"="&amp;$B341,Infrastructure[[variable_type]:[variable_type]],"H2_pipe_new_capacity")*PJ2MW,"")</f>
        <v>0</v>
      </c>
      <c r="AB341" s="46">
        <f>IFERROR(SUMIFS(Infrastructure[2046],Infrastructure[[cluster]:[cluster]],"="&amp;$B341,Infrastructure[[variable_type]:[variable_type]],"H2_pipe_new_capacity")*PJ2MW,"")</f>
        <v>0</v>
      </c>
      <c r="AC341" s="46">
        <f>IFERROR(SUMIFS(Infrastructure[2047],Infrastructure[[cluster]:[cluster]],"="&amp;$B341,Infrastructure[[variable_type]:[variable_type]],"H2_pipe_new_capacity")*PJ2MW,"")</f>
        <v>0</v>
      </c>
      <c r="AD341" s="46">
        <f>IFERROR(SUMIFS(Infrastructure[2048],Infrastructure[[cluster]:[cluster]],"="&amp;$B341,Infrastructure[[variable_type]:[variable_type]],"H2_pipe_new_capacity")*PJ2MW,"")</f>
        <v>0</v>
      </c>
      <c r="AE341" s="46">
        <f>IFERROR(SUMIFS(Infrastructure[2049],Infrastructure[[cluster]:[cluster]],"="&amp;$B341,Infrastructure[[variable_type]:[variable_type]],"H2_pipe_new_capacity")*PJ2MW,"")</f>
        <v>0</v>
      </c>
      <c r="AF341" s="46">
        <f>IFERROR(SUMIFS(Infrastructure[2050],Infrastructure[[cluster]:[cluster]],"="&amp;$B341,Infrastructure[[variable_type]:[variable_type]],"H2_pipe_new_capacity")*PJ2MW,"")</f>
        <v>0</v>
      </c>
      <c r="AG341" s="46">
        <f>IFERROR(SUMIFS(Infrastructure[2051],Infrastructure[[cluster]:[cluster]],"="&amp;$B341,Infrastructure[[variable_type]:[variable_type]],"H2_pipe_new_capacity")*PJ2MW,"")</f>
        <v>0</v>
      </c>
    </row>
    <row r="342" spans="1:36" x14ac:dyDescent="0.45">
      <c r="B342" t="s">
        <v>52</v>
      </c>
      <c r="C342" s="46">
        <f>IFERROR(SUMIFS(Infrastructure[2021],Infrastructure[[cluster]:[cluster]],"="&amp;$B342,Infrastructure[[variable_type]:[variable_type]],"H2_pipe_new_capacity")*PJ2MW,"")</f>
        <v>0</v>
      </c>
      <c r="D342" s="46">
        <f>IFERROR(SUMIFS(Infrastructure[2022],Infrastructure[[cluster]:[cluster]],"="&amp;$B342,Infrastructure[[variable_type]:[variable_type]],"H2_pipe_new_capacity")*PJ2MW,"")</f>
        <v>0</v>
      </c>
      <c r="E342" s="46">
        <f>IFERROR(SUMIFS(Infrastructure[2023],Infrastructure[[cluster]:[cluster]],"="&amp;$B342,Infrastructure[[variable_type]:[variable_type]],"H2_pipe_new_capacity")*PJ2MW,"")</f>
        <v>0</v>
      </c>
      <c r="F342" s="46">
        <f>IFERROR(SUMIFS(Infrastructure[2024],Infrastructure[[cluster]:[cluster]],"="&amp;$B342,Infrastructure[[variable_type]:[variable_type]],"H2_pipe_new_capacity")*PJ2MW,"")</f>
        <v>0</v>
      </c>
      <c r="G342" s="46">
        <f>IFERROR(SUMIFS(Infrastructure[2025],Infrastructure[[cluster]:[cluster]],"="&amp;$B342,Infrastructure[[variable_type]:[variable_type]],"H2_pipe_new_capacity")*PJ2MW,"")</f>
        <v>0</v>
      </c>
      <c r="H342" s="46">
        <f>IFERROR(SUMIFS(Infrastructure[2026],Infrastructure[[cluster]:[cluster]],"="&amp;$B342,Infrastructure[[variable_type]:[variable_type]],"H2_pipe_new_capacity")*PJ2MW,"")</f>
        <v>0</v>
      </c>
      <c r="I342" s="46">
        <f>IFERROR(SUMIFS(Infrastructure[2027],Infrastructure[[cluster]:[cluster]],"="&amp;$B342,Infrastructure[[variable_type]:[variable_type]],"H2_pipe_new_capacity")*PJ2MW,"")</f>
        <v>0</v>
      </c>
      <c r="J342" s="46">
        <f>IFERROR(SUMIFS(Infrastructure[2028],Infrastructure[[cluster]:[cluster]],"="&amp;$B342,Infrastructure[[variable_type]:[variable_type]],"H2_pipe_new_capacity")*PJ2MW,"")</f>
        <v>0</v>
      </c>
      <c r="K342" s="46">
        <f>IFERROR(SUMIFS(Infrastructure[2029],Infrastructure[[cluster]:[cluster]],"="&amp;$B342,Infrastructure[[variable_type]:[variable_type]],"H2_pipe_new_capacity")*PJ2MW,"")</f>
        <v>0</v>
      </c>
      <c r="L342" s="46">
        <f>IFERROR(SUMIFS(Infrastructure[2030],Infrastructure[[cluster]:[cluster]],"="&amp;$B342,Infrastructure[[variable_type]:[variable_type]],"H2_pipe_new_capacity")*PJ2MW,"")</f>
        <v>0</v>
      </c>
      <c r="M342" s="46">
        <f>IFERROR(SUMIFS(Infrastructure[2031],Infrastructure[[cluster]:[cluster]],"="&amp;$B342,Infrastructure[[variable_type]:[variable_type]],"H2_pipe_new_capacity")*PJ2MW,"")</f>
        <v>0</v>
      </c>
      <c r="N342" s="46">
        <f>IFERROR(SUMIFS(Infrastructure[2032],Infrastructure[[cluster]:[cluster]],"="&amp;$B342,Infrastructure[[variable_type]:[variable_type]],"H2_pipe_new_capacity")*PJ2MW,"")</f>
        <v>0</v>
      </c>
      <c r="O342" s="46">
        <f>IFERROR(SUMIFS(Infrastructure[2033],Infrastructure[[cluster]:[cluster]],"="&amp;$B342,Infrastructure[[variable_type]:[variable_type]],"H2_pipe_new_capacity")*PJ2MW,"")</f>
        <v>0</v>
      </c>
      <c r="P342" s="46">
        <f>IFERROR(SUMIFS(Infrastructure[2034],Infrastructure[[cluster]:[cluster]],"="&amp;$B342,Infrastructure[[variable_type]:[variable_type]],"H2_pipe_new_capacity")*PJ2MW,"")</f>
        <v>0</v>
      </c>
      <c r="Q342" s="46">
        <f>IFERROR(SUMIFS(Infrastructure[2035],Infrastructure[[cluster]:[cluster]],"="&amp;$B342,Infrastructure[[variable_type]:[variable_type]],"H2_pipe_new_capacity")*PJ2MW,"")</f>
        <v>0</v>
      </c>
      <c r="R342" s="46">
        <f>IFERROR(SUMIFS(Infrastructure[2036],Infrastructure[[cluster]:[cluster]],"="&amp;$B342,Infrastructure[[variable_type]:[variable_type]],"H2_pipe_new_capacity")*PJ2MW,"")</f>
        <v>0</v>
      </c>
      <c r="S342" s="46">
        <f>IFERROR(SUMIFS(Infrastructure[2037],Infrastructure[[cluster]:[cluster]],"="&amp;$B342,Infrastructure[[variable_type]:[variable_type]],"H2_pipe_new_capacity")*PJ2MW,"")</f>
        <v>0</v>
      </c>
      <c r="T342" s="46">
        <f>IFERROR(SUMIFS(Infrastructure[2038],Infrastructure[[cluster]:[cluster]],"="&amp;$B342,Infrastructure[[variable_type]:[variable_type]],"H2_pipe_new_capacity")*PJ2MW,"")</f>
        <v>0</v>
      </c>
      <c r="U342" s="46">
        <f>IFERROR(SUMIFS(Infrastructure[2039],Infrastructure[[cluster]:[cluster]],"="&amp;$B342,Infrastructure[[variable_type]:[variable_type]],"H2_pipe_new_capacity")*PJ2MW,"")</f>
        <v>0</v>
      </c>
      <c r="V342" s="46">
        <f>IFERROR(SUMIFS(Infrastructure[2040],Infrastructure[[cluster]:[cluster]],"="&amp;$B342,Infrastructure[[variable_type]:[variable_type]],"H2_pipe_new_capacity")*PJ2MW,"")</f>
        <v>0</v>
      </c>
      <c r="W342" s="46">
        <f>IFERROR(SUMIFS(Infrastructure[2041],Infrastructure[[cluster]:[cluster]],"="&amp;$B342,Infrastructure[[variable_type]:[variable_type]],"H2_pipe_new_capacity")*PJ2MW,"")</f>
        <v>0</v>
      </c>
      <c r="X342" s="46">
        <f>IFERROR(SUMIFS(Infrastructure[2042],Infrastructure[[cluster]:[cluster]],"="&amp;$B342,Infrastructure[[variable_type]:[variable_type]],"H2_pipe_new_capacity")*PJ2MW,"")</f>
        <v>0</v>
      </c>
      <c r="Y342" s="46">
        <f>IFERROR(SUMIFS(Infrastructure[2043],Infrastructure[[cluster]:[cluster]],"="&amp;$B342,Infrastructure[[variable_type]:[variable_type]],"H2_pipe_new_capacity")*PJ2MW,"")</f>
        <v>0</v>
      </c>
      <c r="Z342" s="46">
        <f>IFERROR(SUMIFS(Infrastructure[2044],Infrastructure[[cluster]:[cluster]],"="&amp;$B342,Infrastructure[[variable_type]:[variable_type]],"H2_pipe_new_capacity")*PJ2MW,"")</f>
        <v>0</v>
      </c>
      <c r="AA342" s="46">
        <f>IFERROR(SUMIFS(Infrastructure[2045],Infrastructure[[cluster]:[cluster]],"="&amp;$B342,Infrastructure[[variable_type]:[variable_type]],"H2_pipe_new_capacity")*PJ2MW,"")</f>
        <v>0</v>
      </c>
      <c r="AB342" s="46">
        <f>IFERROR(SUMIFS(Infrastructure[2046],Infrastructure[[cluster]:[cluster]],"="&amp;$B342,Infrastructure[[variable_type]:[variable_type]],"H2_pipe_new_capacity")*PJ2MW,"")</f>
        <v>0</v>
      </c>
      <c r="AC342" s="46">
        <f>IFERROR(SUMIFS(Infrastructure[2047],Infrastructure[[cluster]:[cluster]],"="&amp;$B342,Infrastructure[[variable_type]:[variable_type]],"H2_pipe_new_capacity")*PJ2MW,"")</f>
        <v>0</v>
      </c>
      <c r="AD342" s="46">
        <f>IFERROR(SUMIFS(Infrastructure[2048],Infrastructure[[cluster]:[cluster]],"="&amp;$B342,Infrastructure[[variable_type]:[variable_type]],"H2_pipe_new_capacity")*PJ2MW,"")</f>
        <v>0</v>
      </c>
      <c r="AE342" s="46">
        <f>IFERROR(SUMIFS(Infrastructure[2049],Infrastructure[[cluster]:[cluster]],"="&amp;$B342,Infrastructure[[variable_type]:[variable_type]],"H2_pipe_new_capacity")*PJ2MW,"")</f>
        <v>0</v>
      </c>
      <c r="AF342" s="46">
        <f>IFERROR(SUMIFS(Infrastructure[2050],Infrastructure[[cluster]:[cluster]],"="&amp;$B342,Infrastructure[[variable_type]:[variable_type]],"H2_pipe_new_capacity")*PJ2MW,"")</f>
        <v>0</v>
      </c>
      <c r="AG342" s="46">
        <f>IFERROR(SUMIFS(Infrastructure[2051],Infrastructure[[cluster]:[cluster]],"="&amp;$B342,Infrastructure[[variable_type]:[variable_type]],"H2_pipe_new_capacity")*PJ2MW,"")</f>
        <v>0</v>
      </c>
    </row>
    <row r="343" spans="1:36" x14ac:dyDescent="0.45">
      <c r="B343" t="s">
        <v>71</v>
      </c>
      <c r="C343" s="46">
        <f>IFERROR(SUMIFS(Infrastructure[2021],Infrastructure[[cluster]:[cluster]],"="&amp;$B343,Infrastructure[[variable_type]:[variable_type]],"H2_pipe_new_capacity")*PJ2MW,"")</f>
        <v>0</v>
      </c>
      <c r="D343" s="46">
        <f>IFERROR(SUMIFS(Infrastructure[2022],Infrastructure[[cluster]:[cluster]],"="&amp;$B343,Infrastructure[[variable_type]:[variable_type]],"H2_pipe_new_capacity")*PJ2MW,"")</f>
        <v>0</v>
      </c>
      <c r="E343" s="46">
        <f>IFERROR(SUMIFS(Infrastructure[2023],Infrastructure[[cluster]:[cluster]],"="&amp;$B343,Infrastructure[[variable_type]:[variable_type]],"H2_pipe_new_capacity")*PJ2MW,"")</f>
        <v>0</v>
      </c>
      <c r="F343" s="46">
        <f>IFERROR(SUMIFS(Infrastructure[2024],Infrastructure[[cluster]:[cluster]],"="&amp;$B343,Infrastructure[[variable_type]:[variable_type]],"H2_pipe_new_capacity")*PJ2MW,"")</f>
        <v>0</v>
      </c>
      <c r="G343" s="46">
        <f>IFERROR(SUMIFS(Infrastructure[2025],Infrastructure[[cluster]:[cluster]],"="&amp;$B343,Infrastructure[[variable_type]:[variable_type]],"H2_pipe_new_capacity")*PJ2MW,"")</f>
        <v>0</v>
      </c>
      <c r="H343" s="46">
        <f>IFERROR(SUMIFS(Infrastructure[2026],Infrastructure[[cluster]:[cluster]],"="&amp;$B343,Infrastructure[[variable_type]:[variable_type]],"H2_pipe_new_capacity")*PJ2MW,"")</f>
        <v>0</v>
      </c>
      <c r="I343" s="46">
        <f>IFERROR(SUMIFS(Infrastructure[2027],Infrastructure[[cluster]:[cluster]],"="&amp;$B343,Infrastructure[[variable_type]:[variable_type]],"H2_pipe_new_capacity")*PJ2MW,"")</f>
        <v>0</v>
      </c>
      <c r="J343" s="46">
        <f>IFERROR(SUMIFS(Infrastructure[2028],Infrastructure[[cluster]:[cluster]],"="&amp;$B343,Infrastructure[[variable_type]:[variable_type]],"H2_pipe_new_capacity")*PJ2MW,"")</f>
        <v>0</v>
      </c>
      <c r="K343" s="46">
        <f>IFERROR(SUMIFS(Infrastructure[2029],Infrastructure[[cluster]:[cluster]],"="&amp;$B343,Infrastructure[[variable_type]:[variable_type]],"H2_pipe_new_capacity")*PJ2MW,"")</f>
        <v>0</v>
      </c>
      <c r="L343" s="46">
        <f>IFERROR(SUMIFS(Infrastructure[2030],Infrastructure[[cluster]:[cluster]],"="&amp;$B343,Infrastructure[[variable_type]:[variable_type]],"H2_pipe_new_capacity")*PJ2MW,"")</f>
        <v>0</v>
      </c>
      <c r="M343" s="46">
        <f>IFERROR(SUMIFS(Infrastructure[2031],Infrastructure[[cluster]:[cluster]],"="&amp;$B343,Infrastructure[[variable_type]:[variable_type]],"H2_pipe_new_capacity")*PJ2MW,"")</f>
        <v>0</v>
      </c>
      <c r="N343" s="46">
        <f>IFERROR(SUMIFS(Infrastructure[2032],Infrastructure[[cluster]:[cluster]],"="&amp;$B343,Infrastructure[[variable_type]:[variable_type]],"H2_pipe_new_capacity")*PJ2MW,"")</f>
        <v>0</v>
      </c>
      <c r="O343" s="46">
        <f>IFERROR(SUMIFS(Infrastructure[2033],Infrastructure[[cluster]:[cluster]],"="&amp;$B343,Infrastructure[[variable_type]:[variable_type]],"H2_pipe_new_capacity")*PJ2MW,"")</f>
        <v>0</v>
      </c>
      <c r="P343" s="46">
        <f>IFERROR(SUMIFS(Infrastructure[2034],Infrastructure[[cluster]:[cluster]],"="&amp;$B343,Infrastructure[[variable_type]:[variable_type]],"H2_pipe_new_capacity")*PJ2MW,"")</f>
        <v>0</v>
      </c>
      <c r="Q343" s="46">
        <f>IFERROR(SUMIFS(Infrastructure[2035],Infrastructure[[cluster]:[cluster]],"="&amp;$B343,Infrastructure[[variable_type]:[variable_type]],"H2_pipe_new_capacity")*PJ2MW,"")</f>
        <v>0</v>
      </c>
      <c r="R343" s="46">
        <f>IFERROR(SUMIFS(Infrastructure[2036],Infrastructure[[cluster]:[cluster]],"="&amp;$B343,Infrastructure[[variable_type]:[variable_type]],"H2_pipe_new_capacity")*PJ2MW,"")</f>
        <v>0</v>
      </c>
      <c r="S343" s="46">
        <f>IFERROR(SUMIFS(Infrastructure[2037],Infrastructure[[cluster]:[cluster]],"="&amp;$B343,Infrastructure[[variable_type]:[variable_type]],"H2_pipe_new_capacity")*PJ2MW,"")</f>
        <v>0</v>
      </c>
      <c r="T343" s="46">
        <f>IFERROR(SUMIFS(Infrastructure[2038],Infrastructure[[cluster]:[cluster]],"="&amp;$B343,Infrastructure[[variable_type]:[variable_type]],"H2_pipe_new_capacity")*PJ2MW,"")</f>
        <v>0</v>
      </c>
      <c r="U343" s="46">
        <f>IFERROR(SUMIFS(Infrastructure[2039],Infrastructure[[cluster]:[cluster]],"="&amp;$B343,Infrastructure[[variable_type]:[variable_type]],"H2_pipe_new_capacity")*PJ2MW,"")</f>
        <v>0</v>
      </c>
      <c r="V343" s="46">
        <f>IFERROR(SUMIFS(Infrastructure[2040],Infrastructure[[cluster]:[cluster]],"="&amp;$B343,Infrastructure[[variable_type]:[variable_type]],"H2_pipe_new_capacity")*PJ2MW,"")</f>
        <v>0</v>
      </c>
      <c r="W343" s="46">
        <f>IFERROR(SUMIFS(Infrastructure[2041],Infrastructure[[cluster]:[cluster]],"="&amp;$B343,Infrastructure[[variable_type]:[variable_type]],"H2_pipe_new_capacity")*PJ2MW,"")</f>
        <v>0</v>
      </c>
      <c r="X343" s="46">
        <f>IFERROR(SUMIFS(Infrastructure[2042],Infrastructure[[cluster]:[cluster]],"="&amp;$B343,Infrastructure[[variable_type]:[variable_type]],"H2_pipe_new_capacity")*PJ2MW,"")</f>
        <v>0</v>
      </c>
      <c r="Y343" s="46">
        <f>IFERROR(SUMIFS(Infrastructure[2043],Infrastructure[[cluster]:[cluster]],"="&amp;$B343,Infrastructure[[variable_type]:[variable_type]],"H2_pipe_new_capacity")*PJ2MW,"")</f>
        <v>0</v>
      </c>
      <c r="Z343" s="46">
        <f>IFERROR(SUMIFS(Infrastructure[2044],Infrastructure[[cluster]:[cluster]],"="&amp;$B343,Infrastructure[[variable_type]:[variable_type]],"H2_pipe_new_capacity")*PJ2MW,"")</f>
        <v>0</v>
      </c>
      <c r="AA343" s="46">
        <f>IFERROR(SUMIFS(Infrastructure[2045],Infrastructure[[cluster]:[cluster]],"="&amp;$B343,Infrastructure[[variable_type]:[variable_type]],"H2_pipe_new_capacity")*PJ2MW,"")</f>
        <v>0</v>
      </c>
      <c r="AB343" s="46">
        <f>IFERROR(SUMIFS(Infrastructure[2046],Infrastructure[[cluster]:[cluster]],"="&amp;$B343,Infrastructure[[variable_type]:[variable_type]],"H2_pipe_new_capacity")*PJ2MW,"")</f>
        <v>0</v>
      </c>
      <c r="AC343" s="46">
        <f>IFERROR(SUMIFS(Infrastructure[2047],Infrastructure[[cluster]:[cluster]],"="&amp;$B343,Infrastructure[[variable_type]:[variable_type]],"H2_pipe_new_capacity")*PJ2MW,"")</f>
        <v>0</v>
      </c>
      <c r="AD343" s="46">
        <f>IFERROR(SUMIFS(Infrastructure[2048],Infrastructure[[cluster]:[cluster]],"="&amp;$B343,Infrastructure[[variable_type]:[variable_type]],"H2_pipe_new_capacity")*PJ2MW,"")</f>
        <v>0</v>
      </c>
      <c r="AE343" s="46">
        <f>IFERROR(SUMIFS(Infrastructure[2049],Infrastructure[[cluster]:[cluster]],"="&amp;$B343,Infrastructure[[variable_type]:[variable_type]],"H2_pipe_new_capacity")*PJ2MW,"")</f>
        <v>0</v>
      </c>
      <c r="AF343" s="46">
        <f>IFERROR(SUMIFS(Infrastructure[2050],Infrastructure[[cluster]:[cluster]],"="&amp;$B343,Infrastructure[[variable_type]:[variable_type]],"H2_pipe_new_capacity")*PJ2MW,"")</f>
        <v>0</v>
      </c>
      <c r="AG343" s="46">
        <f>IFERROR(SUMIFS(Infrastructure[2051],Infrastructure[[cluster]:[cluster]],"="&amp;$B343,Infrastructure[[variable_type]:[variable_type]],"H2_pipe_new_capacity")*PJ2MW,"")</f>
        <v>0</v>
      </c>
    </row>
    <row r="344" spans="1:36" x14ac:dyDescent="0.45">
      <c r="B344" t="s">
        <v>72</v>
      </c>
      <c r="C344" s="46">
        <f>IFERROR(SUMIFS(Infrastructure[2021],Infrastructure[[cluster]:[cluster]],"="&amp;$B344,Infrastructure[[variable_type]:[variable_type]],"H2_pipe_new_capacity")*PJ2MW,"")</f>
        <v>0</v>
      </c>
      <c r="D344" s="46">
        <f>IFERROR(SUMIFS(Infrastructure[2022],Infrastructure[[cluster]:[cluster]],"="&amp;$B344,Infrastructure[[variable_type]:[variable_type]],"H2_pipe_new_capacity")*PJ2MW,"")</f>
        <v>0</v>
      </c>
      <c r="E344" s="46">
        <f>IFERROR(SUMIFS(Infrastructure[2023],Infrastructure[[cluster]:[cluster]],"="&amp;$B344,Infrastructure[[variable_type]:[variable_type]],"H2_pipe_new_capacity")*PJ2MW,"")</f>
        <v>0</v>
      </c>
      <c r="F344" s="46">
        <f>IFERROR(SUMIFS(Infrastructure[2024],Infrastructure[[cluster]:[cluster]],"="&amp;$B344,Infrastructure[[variable_type]:[variable_type]],"H2_pipe_new_capacity")*PJ2MW,"")</f>
        <v>0</v>
      </c>
      <c r="G344" s="46">
        <f>IFERROR(SUMIFS(Infrastructure[2025],Infrastructure[[cluster]:[cluster]],"="&amp;$B344,Infrastructure[[variable_type]:[variable_type]],"H2_pipe_new_capacity")*PJ2MW,"")</f>
        <v>0</v>
      </c>
      <c r="H344" s="46">
        <f>IFERROR(SUMIFS(Infrastructure[2026],Infrastructure[[cluster]:[cluster]],"="&amp;$B344,Infrastructure[[variable_type]:[variable_type]],"H2_pipe_new_capacity")*PJ2MW,"")</f>
        <v>0</v>
      </c>
      <c r="I344" s="46">
        <f>IFERROR(SUMIFS(Infrastructure[2027],Infrastructure[[cluster]:[cluster]],"="&amp;$B344,Infrastructure[[variable_type]:[variable_type]],"H2_pipe_new_capacity")*PJ2MW,"")</f>
        <v>0</v>
      </c>
      <c r="J344" s="46">
        <f>IFERROR(SUMIFS(Infrastructure[2028],Infrastructure[[cluster]:[cluster]],"="&amp;$B344,Infrastructure[[variable_type]:[variable_type]],"H2_pipe_new_capacity")*PJ2MW,"")</f>
        <v>0</v>
      </c>
      <c r="K344" s="46">
        <f>IFERROR(SUMIFS(Infrastructure[2029],Infrastructure[[cluster]:[cluster]],"="&amp;$B344,Infrastructure[[variable_type]:[variable_type]],"H2_pipe_new_capacity")*PJ2MW,"")</f>
        <v>0</v>
      </c>
      <c r="L344" s="46">
        <f>IFERROR(SUMIFS(Infrastructure[2030],Infrastructure[[cluster]:[cluster]],"="&amp;$B344,Infrastructure[[variable_type]:[variable_type]],"H2_pipe_new_capacity")*PJ2MW,"")</f>
        <v>0</v>
      </c>
      <c r="M344" s="46">
        <f>IFERROR(SUMIFS(Infrastructure[2031],Infrastructure[[cluster]:[cluster]],"="&amp;$B344,Infrastructure[[variable_type]:[variable_type]],"H2_pipe_new_capacity")*PJ2MW,"")</f>
        <v>0</v>
      </c>
      <c r="N344" s="46">
        <f>IFERROR(SUMIFS(Infrastructure[2032],Infrastructure[[cluster]:[cluster]],"="&amp;$B344,Infrastructure[[variable_type]:[variable_type]],"H2_pipe_new_capacity")*PJ2MW,"")</f>
        <v>0</v>
      </c>
      <c r="O344" s="46">
        <f>IFERROR(SUMIFS(Infrastructure[2033],Infrastructure[[cluster]:[cluster]],"="&amp;$B344,Infrastructure[[variable_type]:[variable_type]],"H2_pipe_new_capacity")*PJ2MW,"")</f>
        <v>0</v>
      </c>
      <c r="P344" s="46">
        <f>IFERROR(SUMIFS(Infrastructure[2034],Infrastructure[[cluster]:[cluster]],"="&amp;$B344,Infrastructure[[variable_type]:[variable_type]],"H2_pipe_new_capacity")*PJ2MW,"")</f>
        <v>0</v>
      </c>
      <c r="Q344" s="46">
        <f>IFERROR(SUMIFS(Infrastructure[2035],Infrastructure[[cluster]:[cluster]],"="&amp;$B344,Infrastructure[[variable_type]:[variable_type]],"H2_pipe_new_capacity")*PJ2MW,"")</f>
        <v>0</v>
      </c>
      <c r="R344" s="46">
        <f>IFERROR(SUMIFS(Infrastructure[2036],Infrastructure[[cluster]:[cluster]],"="&amp;$B344,Infrastructure[[variable_type]:[variable_type]],"H2_pipe_new_capacity")*PJ2MW,"")</f>
        <v>0</v>
      </c>
      <c r="S344" s="46">
        <f>IFERROR(SUMIFS(Infrastructure[2037],Infrastructure[[cluster]:[cluster]],"="&amp;$B344,Infrastructure[[variable_type]:[variable_type]],"H2_pipe_new_capacity")*PJ2MW,"")</f>
        <v>0</v>
      </c>
      <c r="T344" s="46">
        <f>IFERROR(SUMIFS(Infrastructure[2038],Infrastructure[[cluster]:[cluster]],"="&amp;$B344,Infrastructure[[variable_type]:[variable_type]],"H2_pipe_new_capacity")*PJ2MW,"")</f>
        <v>0</v>
      </c>
      <c r="U344" s="46">
        <f>IFERROR(SUMIFS(Infrastructure[2039],Infrastructure[[cluster]:[cluster]],"="&amp;$B344,Infrastructure[[variable_type]:[variable_type]],"H2_pipe_new_capacity")*PJ2MW,"")</f>
        <v>0</v>
      </c>
      <c r="V344" s="46">
        <f>IFERROR(SUMIFS(Infrastructure[2040],Infrastructure[[cluster]:[cluster]],"="&amp;$B344,Infrastructure[[variable_type]:[variable_type]],"H2_pipe_new_capacity")*PJ2MW,"")</f>
        <v>0</v>
      </c>
      <c r="W344" s="46">
        <f>IFERROR(SUMIFS(Infrastructure[2041],Infrastructure[[cluster]:[cluster]],"="&amp;$B344,Infrastructure[[variable_type]:[variable_type]],"H2_pipe_new_capacity")*PJ2MW,"")</f>
        <v>0</v>
      </c>
      <c r="X344" s="46">
        <f>IFERROR(SUMIFS(Infrastructure[2042],Infrastructure[[cluster]:[cluster]],"="&amp;$B344,Infrastructure[[variable_type]:[variable_type]],"H2_pipe_new_capacity")*PJ2MW,"")</f>
        <v>0</v>
      </c>
      <c r="Y344" s="46">
        <f>IFERROR(SUMIFS(Infrastructure[2043],Infrastructure[[cluster]:[cluster]],"="&amp;$B344,Infrastructure[[variable_type]:[variable_type]],"H2_pipe_new_capacity")*PJ2MW,"")</f>
        <v>0</v>
      </c>
      <c r="Z344" s="46">
        <f>IFERROR(SUMIFS(Infrastructure[2044],Infrastructure[[cluster]:[cluster]],"="&amp;$B344,Infrastructure[[variable_type]:[variable_type]],"H2_pipe_new_capacity")*PJ2MW,"")</f>
        <v>0</v>
      </c>
      <c r="AA344" s="46">
        <f>IFERROR(SUMIFS(Infrastructure[2045],Infrastructure[[cluster]:[cluster]],"="&amp;$B344,Infrastructure[[variable_type]:[variable_type]],"H2_pipe_new_capacity")*PJ2MW,"")</f>
        <v>0</v>
      </c>
      <c r="AB344" s="46">
        <f>IFERROR(SUMIFS(Infrastructure[2046],Infrastructure[[cluster]:[cluster]],"="&amp;$B344,Infrastructure[[variable_type]:[variable_type]],"H2_pipe_new_capacity")*PJ2MW,"")</f>
        <v>0</v>
      </c>
      <c r="AC344" s="46">
        <f>IFERROR(SUMIFS(Infrastructure[2047],Infrastructure[[cluster]:[cluster]],"="&amp;$B344,Infrastructure[[variable_type]:[variable_type]],"H2_pipe_new_capacity")*PJ2MW,"")</f>
        <v>0</v>
      </c>
      <c r="AD344" s="46">
        <f>IFERROR(SUMIFS(Infrastructure[2048],Infrastructure[[cluster]:[cluster]],"="&amp;$B344,Infrastructure[[variable_type]:[variable_type]],"H2_pipe_new_capacity")*PJ2MW,"")</f>
        <v>0</v>
      </c>
      <c r="AE344" s="46">
        <f>IFERROR(SUMIFS(Infrastructure[2049],Infrastructure[[cluster]:[cluster]],"="&amp;$B344,Infrastructure[[variable_type]:[variable_type]],"H2_pipe_new_capacity")*PJ2MW,"")</f>
        <v>0</v>
      </c>
      <c r="AF344" s="46">
        <f>IFERROR(SUMIFS(Infrastructure[2050],Infrastructure[[cluster]:[cluster]],"="&amp;$B344,Infrastructure[[variable_type]:[variable_type]],"H2_pipe_new_capacity")*PJ2MW,"")</f>
        <v>0</v>
      </c>
      <c r="AG344" s="46">
        <f>IFERROR(SUMIFS(Infrastructure[2051],Infrastructure[[cluster]:[cluster]],"="&amp;$B344,Infrastructure[[variable_type]:[variable_type]],"H2_pipe_new_capacity")*PJ2MW,"")</f>
        <v>0</v>
      </c>
    </row>
    <row r="345" spans="1:36" x14ac:dyDescent="0.45">
      <c r="B345" t="s">
        <v>73</v>
      </c>
      <c r="C345" s="46">
        <f>IFERROR(SUMIFS(Infrastructure[2021],Infrastructure[[cluster]:[cluster]],"="&amp;$B345,Infrastructure[[variable_type]:[variable_type]],"H2_pipe_new_capacity")*PJ2MW,"")</f>
        <v>0</v>
      </c>
      <c r="D345" s="46">
        <f>IFERROR(SUMIFS(Infrastructure[2022],Infrastructure[[cluster]:[cluster]],"="&amp;$B345,Infrastructure[[variable_type]:[variable_type]],"H2_pipe_new_capacity")*PJ2MW,"")</f>
        <v>0</v>
      </c>
      <c r="E345" s="46">
        <f>IFERROR(SUMIFS(Infrastructure[2023],Infrastructure[[cluster]:[cluster]],"="&amp;$B345,Infrastructure[[variable_type]:[variable_type]],"H2_pipe_new_capacity")*PJ2MW,"")</f>
        <v>0</v>
      </c>
      <c r="F345" s="46">
        <f>IFERROR(SUMIFS(Infrastructure[2024],Infrastructure[[cluster]:[cluster]],"="&amp;$B345,Infrastructure[[variable_type]:[variable_type]],"H2_pipe_new_capacity")*PJ2MW,"")</f>
        <v>0</v>
      </c>
      <c r="G345" s="46">
        <f>IFERROR(SUMIFS(Infrastructure[2025],Infrastructure[[cluster]:[cluster]],"="&amp;$B345,Infrastructure[[variable_type]:[variable_type]],"H2_pipe_new_capacity")*PJ2MW,"")</f>
        <v>0</v>
      </c>
      <c r="H345" s="46">
        <f>IFERROR(SUMIFS(Infrastructure[2026],Infrastructure[[cluster]:[cluster]],"="&amp;$B345,Infrastructure[[variable_type]:[variable_type]],"H2_pipe_new_capacity")*PJ2MW,"")</f>
        <v>0</v>
      </c>
      <c r="I345" s="46">
        <f>IFERROR(SUMIFS(Infrastructure[2027],Infrastructure[[cluster]:[cluster]],"="&amp;$B345,Infrastructure[[variable_type]:[variable_type]],"H2_pipe_new_capacity")*PJ2MW,"")</f>
        <v>0</v>
      </c>
      <c r="J345" s="46">
        <f>IFERROR(SUMIFS(Infrastructure[2028],Infrastructure[[cluster]:[cluster]],"="&amp;$B345,Infrastructure[[variable_type]:[variable_type]],"H2_pipe_new_capacity")*PJ2MW,"")</f>
        <v>0</v>
      </c>
      <c r="K345" s="46">
        <f>IFERROR(SUMIFS(Infrastructure[2029],Infrastructure[[cluster]:[cluster]],"="&amp;$B345,Infrastructure[[variable_type]:[variable_type]],"H2_pipe_new_capacity")*PJ2MW,"")</f>
        <v>0</v>
      </c>
      <c r="L345" s="46">
        <f>IFERROR(SUMIFS(Infrastructure[2030],Infrastructure[[cluster]:[cluster]],"="&amp;$B345,Infrastructure[[variable_type]:[variable_type]],"H2_pipe_new_capacity")*PJ2MW,"")</f>
        <v>0</v>
      </c>
      <c r="M345" s="46">
        <f>IFERROR(SUMIFS(Infrastructure[2031],Infrastructure[[cluster]:[cluster]],"="&amp;$B345,Infrastructure[[variable_type]:[variable_type]],"H2_pipe_new_capacity")*PJ2MW,"")</f>
        <v>0</v>
      </c>
      <c r="N345" s="46">
        <f>IFERROR(SUMIFS(Infrastructure[2032],Infrastructure[[cluster]:[cluster]],"="&amp;$B345,Infrastructure[[variable_type]:[variable_type]],"H2_pipe_new_capacity")*PJ2MW,"")</f>
        <v>0</v>
      </c>
      <c r="O345" s="46">
        <f>IFERROR(SUMIFS(Infrastructure[2033],Infrastructure[[cluster]:[cluster]],"="&amp;$B345,Infrastructure[[variable_type]:[variable_type]],"H2_pipe_new_capacity")*PJ2MW,"")</f>
        <v>0</v>
      </c>
      <c r="P345" s="46">
        <f>IFERROR(SUMIFS(Infrastructure[2034],Infrastructure[[cluster]:[cluster]],"="&amp;$B345,Infrastructure[[variable_type]:[variable_type]],"H2_pipe_new_capacity")*PJ2MW,"")</f>
        <v>0</v>
      </c>
      <c r="Q345" s="46">
        <f>IFERROR(SUMIFS(Infrastructure[2035],Infrastructure[[cluster]:[cluster]],"="&amp;$B345,Infrastructure[[variable_type]:[variable_type]],"H2_pipe_new_capacity")*PJ2MW,"")</f>
        <v>0</v>
      </c>
      <c r="R345" s="46">
        <f>IFERROR(SUMIFS(Infrastructure[2036],Infrastructure[[cluster]:[cluster]],"="&amp;$B345,Infrastructure[[variable_type]:[variable_type]],"H2_pipe_new_capacity")*PJ2MW,"")</f>
        <v>0</v>
      </c>
      <c r="S345" s="46">
        <f>IFERROR(SUMIFS(Infrastructure[2037],Infrastructure[[cluster]:[cluster]],"="&amp;$B345,Infrastructure[[variable_type]:[variable_type]],"H2_pipe_new_capacity")*PJ2MW,"")</f>
        <v>0</v>
      </c>
      <c r="T345" s="46">
        <f>IFERROR(SUMIFS(Infrastructure[2038],Infrastructure[[cluster]:[cluster]],"="&amp;$B345,Infrastructure[[variable_type]:[variable_type]],"H2_pipe_new_capacity")*PJ2MW,"")</f>
        <v>0</v>
      </c>
      <c r="U345" s="46">
        <f>IFERROR(SUMIFS(Infrastructure[2039],Infrastructure[[cluster]:[cluster]],"="&amp;$B345,Infrastructure[[variable_type]:[variable_type]],"H2_pipe_new_capacity")*PJ2MW,"")</f>
        <v>0</v>
      </c>
      <c r="V345" s="46">
        <f>IFERROR(SUMIFS(Infrastructure[2040],Infrastructure[[cluster]:[cluster]],"="&amp;$B345,Infrastructure[[variable_type]:[variable_type]],"H2_pipe_new_capacity")*PJ2MW,"")</f>
        <v>0</v>
      </c>
      <c r="W345" s="46">
        <f>IFERROR(SUMIFS(Infrastructure[2041],Infrastructure[[cluster]:[cluster]],"="&amp;$B345,Infrastructure[[variable_type]:[variable_type]],"H2_pipe_new_capacity")*PJ2MW,"")</f>
        <v>0</v>
      </c>
      <c r="X345" s="46">
        <f>IFERROR(SUMIFS(Infrastructure[2042],Infrastructure[[cluster]:[cluster]],"="&amp;$B345,Infrastructure[[variable_type]:[variable_type]],"H2_pipe_new_capacity")*PJ2MW,"")</f>
        <v>0</v>
      </c>
      <c r="Y345" s="46">
        <f>IFERROR(SUMIFS(Infrastructure[2043],Infrastructure[[cluster]:[cluster]],"="&amp;$B345,Infrastructure[[variable_type]:[variable_type]],"H2_pipe_new_capacity")*PJ2MW,"")</f>
        <v>0</v>
      </c>
      <c r="Z345" s="46">
        <f>IFERROR(SUMIFS(Infrastructure[2044],Infrastructure[[cluster]:[cluster]],"="&amp;$B345,Infrastructure[[variable_type]:[variable_type]],"H2_pipe_new_capacity")*PJ2MW,"")</f>
        <v>0</v>
      </c>
      <c r="AA345" s="46">
        <f>IFERROR(SUMIFS(Infrastructure[2045],Infrastructure[[cluster]:[cluster]],"="&amp;$B345,Infrastructure[[variable_type]:[variable_type]],"H2_pipe_new_capacity")*PJ2MW,"")</f>
        <v>0</v>
      </c>
      <c r="AB345" s="46">
        <f>IFERROR(SUMIFS(Infrastructure[2046],Infrastructure[[cluster]:[cluster]],"="&amp;$B345,Infrastructure[[variable_type]:[variable_type]],"H2_pipe_new_capacity")*PJ2MW,"")</f>
        <v>0</v>
      </c>
      <c r="AC345" s="46">
        <f>IFERROR(SUMIFS(Infrastructure[2047],Infrastructure[[cluster]:[cluster]],"="&amp;$B345,Infrastructure[[variable_type]:[variable_type]],"H2_pipe_new_capacity")*PJ2MW,"")</f>
        <v>0</v>
      </c>
      <c r="AD345" s="46">
        <f>IFERROR(SUMIFS(Infrastructure[2048],Infrastructure[[cluster]:[cluster]],"="&amp;$B345,Infrastructure[[variable_type]:[variable_type]],"H2_pipe_new_capacity")*PJ2MW,"")</f>
        <v>0</v>
      </c>
      <c r="AE345" s="46">
        <f>IFERROR(SUMIFS(Infrastructure[2049],Infrastructure[[cluster]:[cluster]],"="&amp;$B345,Infrastructure[[variable_type]:[variable_type]],"H2_pipe_new_capacity")*PJ2MW,"")</f>
        <v>0</v>
      </c>
      <c r="AF345" s="46">
        <f>IFERROR(SUMIFS(Infrastructure[2050],Infrastructure[[cluster]:[cluster]],"="&amp;$B345,Infrastructure[[variable_type]:[variable_type]],"H2_pipe_new_capacity")*PJ2MW,"")</f>
        <v>0</v>
      </c>
      <c r="AG345" s="46">
        <f>IFERROR(SUMIFS(Infrastructure[2051],Infrastructure[[cluster]:[cluster]],"="&amp;$B345,Infrastructure[[variable_type]:[variable_type]],"H2_pipe_new_capacity")*PJ2MW,"")</f>
        <v>0</v>
      </c>
    </row>
    <row r="346" spans="1:36" x14ac:dyDescent="0.45">
      <c r="B346" t="s">
        <v>74</v>
      </c>
      <c r="C346" s="46">
        <f>IFERROR(SUMIFS(Infrastructure[2021],Infrastructure[[cluster]:[cluster]],"="&amp;$B346,Infrastructure[[variable_type]:[variable_type]],"H2_pipe_new_capacity")*PJ2MW,"")</f>
        <v>0</v>
      </c>
      <c r="D346" s="46">
        <f>IFERROR(SUMIFS(Infrastructure[2022],Infrastructure[[cluster]:[cluster]],"="&amp;$B346,Infrastructure[[variable_type]:[variable_type]],"H2_pipe_new_capacity")*PJ2MW,"")</f>
        <v>0</v>
      </c>
      <c r="E346" s="46">
        <f>IFERROR(SUMIFS(Infrastructure[2023],Infrastructure[[cluster]:[cluster]],"="&amp;$B346,Infrastructure[[variable_type]:[variable_type]],"H2_pipe_new_capacity")*PJ2MW,"")</f>
        <v>0</v>
      </c>
      <c r="F346" s="46">
        <f>IFERROR(SUMIFS(Infrastructure[2024],Infrastructure[[cluster]:[cluster]],"="&amp;$B346,Infrastructure[[variable_type]:[variable_type]],"H2_pipe_new_capacity")*PJ2MW,"")</f>
        <v>0</v>
      </c>
      <c r="G346" s="46">
        <f>IFERROR(SUMIFS(Infrastructure[2025],Infrastructure[[cluster]:[cluster]],"="&amp;$B346,Infrastructure[[variable_type]:[variable_type]],"H2_pipe_new_capacity")*PJ2MW,"")</f>
        <v>0</v>
      </c>
      <c r="H346" s="46">
        <f>IFERROR(SUMIFS(Infrastructure[2026],Infrastructure[[cluster]:[cluster]],"="&amp;$B346,Infrastructure[[variable_type]:[variable_type]],"H2_pipe_new_capacity")*PJ2MW,"")</f>
        <v>0</v>
      </c>
      <c r="I346" s="46">
        <f>IFERROR(SUMIFS(Infrastructure[2027],Infrastructure[[cluster]:[cluster]],"="&amp;$B346,Infrastructure[[variable_type]:[variable_type]],"H2_pipe_new_capacity")*PJ2MW,"")</f>
        <v>0</v>
      </c>
      <c r="J346" s="46">
        <f>IFERROR(SUMIFS(Infrastructure[2028],Infrastructure[[cluster]:[cluster]],"="&amp;$B346,Infrastructure[[variable_type]:[variable_type]],"H2_pipe_new_capacity")*PJ2MW,"")</f>
        <v>0</v>
      </c>
      <c r="K346" s="46">
        <f>IFERROR(SUMIFS(Infrastructure[2029],Infrastructure[[cluster]:[cluster]],"="&amp;$B346,Infrastructure[[variable_type]:[variable_type]],"H2_pipe_new_capacity")*PJ2MW,"")</f>
        <v>0</v>
      </c>
      <c r="L346" s="46">
        <f>IFERROR(SUMIFS(Infrastructure[2030],Infrastructure[[cluster]:[cluster]],"="&amp;$B346,Infrastructure[[variable_type]:[variable_type]],"H2_pipe_new_capacity")*PJ2MW,"")</f>
        <v>0</v>
      </c>
      <c r="M346" s="46">
        <f>IFERROR(SUMIFS(Infrastructure[2031],Infrastructure[[cluster]:[cluster]],"="&amp;$B346,Infrastructure[[variable_type]:[variable_type]],"H2_pipe_new_capacity")*PJ2MW,"")</f>
        <v>0</v>
      </c>
      <c r="N346" s="46">
        <f>IFERROR(SUMIFS(Infrastructure[2032],Infrastructure[[cluster]:[cluster]],"="&amp;$B346,Infrastructure[[variable_type]:[variable_type]],"H2_pipe_new_capacity")*PJ2MW,"")</f>
        <v>0</v>
      </c>
      <c r="O346" s="46">
        <f>IFERROR(SUMIFS(Infrastructure[2033],Infrastructure[[cluster]:[cluster]],"="&amp;$B346,Infrastructure[[variable_type]:[variable_type]],"H2_pipe_new_capacity")*PJ2MW,"")</f>
        <v>0</v>
      </c>
      <c r="P346" s="46">
        <f>IFERROR(SUMIFS(Infrastructure[2034],Infrastructure[[cluster]:[cluster]],"="&amp;$B346,Infrastructure[[variable_type]:[variable_type]],"H2_pipe_new_capacity")*PJ2MW,"")</f>
        <v>0</v>
      </c>
      <c r="Q346" s="46">
        <f>IFERROR(SUMIFS(Infrastructure[2035],Infrastructure[[cluster]:[cluster]],"="&amp;$B346,Infrastructure[[variable_type]:[variable_type]],"H2_pipe_new_capacity")*PJ2MW,"")</f>
        <v>0</v>
      </c>
      <c r="R346" s="46">
        <f>IFERROR(SUMIFS(Infrastructure[2036],Infrastructure[[cluster]:[cluster]],"="&amp;$B346,Infrastructure[[variable_type]:[variable_type]],"H2_pipe_new_capacity")*PJ2MW,"")</f>
        <v>0</v>
      </c>
      <c r="S346" s="46">
        <f>IFERROR(SUMIFS(Infrastructure[2037],Infrastructure[[cluster]:[cluster]],"="&amp;$B346,Infrastructure[[variable_type]:[variable_type]],"H2_pipe_new_capacity")*PJ2MW,"")</f>
        <v>0</v>
      </c>
      <c r="T346" s="46">
        <f>IFERROR(SUMIFS(Infrastructure[2038],Infrastructure[[cluster]:[cluster]],"="&amp;$B346,Infrastructure[[variable_type]:[variable_type]],"H2_pipe_new_capacity")*PJ2MW,"")</f>
        <v>0</v>
      </c>
      <c r="U346" s="46">
        <f>IFERROR(SUMIFS(Infrastructure[2039],Infrastructure[[cluster]:[cluster]],"="&amp;$B346,Infrastructure[[variable_type]:[variable_type]],"H2_pipe_new_capacity")*PJ2MW,"")</f>
        <v>0</v>
      </c>
      <c r="V346" s="46">
        <f>IFERROR(SUMIFS(Infrastructure[2040],Infrastructure[[cluster]:[cluster]],"="&amp;$B346,Infrastructure[[variable_type]:[variable_type]],"H2_pipe_new_capacity")*PJ2MW,"")</f>
        <v>0</v>
      </c>
      <c r="W346" s="46">
        <f>IFERROR(SUMIFS(Infrastructure[2041],Infrastructure[[cluster]:[cluster]],"="&amp;$B346,Infrastructure[[variable_type]:[variable_type]],"H2_pipe_new_capacity")*PJ2MW,"")</f>
        <v>0</v>
      </c>
      <c r="X346" s="46">
        <f>IFERROR(SUMIFS(Infrastructure[2042],Infrastructure[[cluster]:[cluster]],"="&amp;$B346,Infrastructure[[variable_type]:[variable_type]],"H2_pipe_new_capacity")*PJ2MW,"")</f>
        <v>0</v>
      </c>
      <c r="Y346" s="46">
        <f>IFERROR(SUMIFS(Infrastructure[2043],Infrastructure[[cluster]:[cluster]],"="&amp;$B346,Infrastructure[[variable_type]:[variable_type]],"H2_pipe_new_capacity")*PJ2MW,"")</f>
        <v>0</v>
      </c>
      <c r="Z346" s="46">
        <f>IFERROR(SUMIFS(Infrastructure[2044],Infrastructure[[cluster]:[cluster]],"="&amp;$B346,Infrastructure[[variable_type]:[variable_type]],"H2_pipe_new_capacity")*PJ2MW,"")</f>
        <v>0</v>
      </c>
      <c r="AA346" s="46">
        <f>IFERROR(SUMIFS(Infrastructure[2045],Infrastructure[[cluster]:[cluster]],"="&amp;$B346,Infrastructure[[variable_type]:[variable_type]],"H2_pipe_new_capacity")*PJ2MW,"")</f>
        <v>0</v>
      </c>
      <c r="AB346" s="46">
        <f>IFERROR(SUMIFS(Infrastructure[2046],Infrastructure[[cluster]:[cluster]],"="&amp;$B346,Infrastructure[[variable_type]:[variable_type]],"H2_pipe_new_capacity")*PJ2MW,"")</f>
        <v>0</v>
      </c>
      <c r="AC346" s="46">
        <f>IFERROR(SUMIFS(Infrastructure[2047],Infrastructure[[cluster]:[cluster]],"="&amp;$B346,Infrastructure[[variable_type]:[variable_type]],"H2_pipe_new_capacity")*PJ2MW,"")</f>
        <v>0</v>
      </c>
      <c r="AD346" s="46">
        <f>IFERROR(SUMIFS(Infrastructure[2048],Infrastructure[[cluster]:[cluster]],"="&amp;$B346,Infrastructure[[variable_type]:[variable_type]],"H2_pipe_new_capacity")*PJ2MW,"")</f>
        <v>0</v>
      </c>
      <c r="AE346" s="46">
        <f>IFERROR(SUMIFS(Infrastructure[2049],Infrastructure[[cluster]:[cluster]],"="&amp;$B346,Infrastructure[[variable_type]:[variable_type]],"H2_pipe_new_capacity")*PJ2MW,"")</f>
        <v>0</v>
      </c>
      <c r="AF346" s="46">
        <f>IFERROR(SUMIFS(Infrastructure[2050],Infrastructure[[cluster]:[cluster]],"="&amp;$B346,Infrastructure[[variable_type]:[variable_type]],"H2_pipe_new_capacity")*PJ2MW,"")</f>
        <v>0</v>
      </c>
      <c r="AG346" s="46">
        <f>IFERROR(SUMIFS(Infrastructure[2051],Infrastructure[[cluster]:[cluster]],"="&amp;$B346,Infrastructure[[variable_type]:[variable_type]],"H2_pipe_new_capacity")*PJ2MW,"")</f>
        <v>0</v>
      </c>
    </row>
    <row r="347" spans="1:36" x14ac:dyDescent="0.45">
      <c r="B347" t="s">
        <v>75</v>
      </c>
      <c r="C347" s="46">
        <f>IFERROR(SUMIFS(Infrastructure[2021],Infrastructure[[cluster]:[cluster]],"="&amp;$B347,Infrastructure[[variable_type]:[variable_type]],"H2_pipe_new_capacity")*PJ2MW,"")</f>
        <v>0</v>
      </c>
      <c r="D347" s="46">
        <f>IFERROR(SUMIFS(Infrastructure[2022],Infrastructure[[cluster]:[cluster]],"="&amp;$B347,Infrastructure[[variable_type]:[variable_type]],"H2_pipe_new_capacity")*PJ2MW,"")</f>
        <v>0</v>
      </c>
      <c r="E347" s="46">
        <f>IFERROR(SUMIFS(Infrastructure[2023],Infrastructure[[cluster]:[cluster]],"="&amp;$B347,Infrastructure[[variable_type]:[variable_type]],"H2_pipe_new_capacity")*PJ2MW,"")</f>
        <v>0</v>
      </c>
      <c r="F347" s="46">
        <f>IFERROR(SUMIFS(Infrastructure[2024],Infrastructure[[cluster]:[cluster]],"="&amp;$B347,Infrastructure[[variable_type]:[variable_type]],"H2_pipe_new_capacity")*PJ2MW,"")</f>
        <v>0</v>
      </c>
      <c r="G347" s="46">
        <f>IFERROR(SUMIFS(Infrastructure[2025],Infrastructure[[cluster]:[cluster]],"="&amp;$B347,Infrastructure[[variable_type]:[variable_type]],"H2_pipe_new_capacity")*PJ2MW,"")</f>
        <v>0</v>
      </c>
      <c r="H347" s="46">
        <f>IFERROR(SUMIFS(Infrastructure[2026],Infrastructure[[cluster]:[cluster]],"="&amp;$B347,Infrastructure[[variable_type]:[variable_type]],"H2_pipe_new_capacity")*PJ2MW,"")</f>
        <v>0</v>
      </c>
      <c r="I347" s="46">
        <f>IFERROR(SUMIFS(Infrastructure[2027],Infrastructure[[cluster]:[cluster]],"="&amp;$B347,Infrastructure[[variable_type]:[variable_type]],"H2_pipe_new_capacity")*PJ2MW,"")</f>
        <v>0</v>
      </c>
      <c r="J347" s="46">
        <f>IFERROR(SUMIFS(Infrastructure[2028],Infrastructure[[cluster]:[cluster]],"="&amp;$B347,Infrastructure[[variable_type]:[variable_type]],"H2_pipe_new_capacity")*PJ2MW,"")</f>
        <v>0</v>
      </c>
      <c r="K347" s="46">
        <f>IFERROR(SUMIFS(Infrastructure[2029],Infrastructure[[cluster]:[cluster]],"="&amp;$B347,Infrastructure[[variable_type]:[variable_type]],"H2_pipe_new_capacity")*PJ2MW,"")</f>
        <v>0</v>
      </c>
      <c r="L347" s="46">
        <f>IFERROR(SUMIFS(Infrastructure[2030],Infrastructure[[cluster]:[cluster]],"="&amp;$B347,Infrastructure[[variable_type]:[variable_type]],"H2_pipe_new_capacity")*PJ2MW,"")</f>
        <v>0</v>
      </c>
      <c r="M347" s="46">
        <f>IFERROR(SUMIFS(Infrastructure[2031],Infrastructure[[cluster]:[cluster]],"="&amp;$B347,Infrastructure[[variable_type]:[variable_type]],"H2_pipe_new_capacity")*PJ2MW,"")</f>
        <v>0</v>
      </c>
      <c r="N347" s="46">
        <f>IFERROR(SUMIFS(Infrastructure[2032],Infrastructure[[cluster]:[cluster]],"="&amp;$B347,Infrastructure[[variable_type]:[variable_type]],"H2_pipe_new_capacity")*PJ2MW,"")</f>
        <v>0</v>
      </c>
      <c r="O347" s="46">
        <f>IFERROR(SUMIFS(Infrastructure[2033],Infrastructure[[cluster]:[cluster]],"="&amp;$B347,Infrastructure[[variable_type]:[variable_type]],"H2_pipe_new_capacity")*PJ2MW,"")</f>
        <v>0</v>
      </c>
      <c r="P347" s="46">
        <f>IFERROR(SUMIFS(Infrastructure[2034],Infrastructure[[cluster]:[cluster]],"="&amp;$B347,Infrastructure[[variable_type]:[variable_type]],"H2_pipe_new_capacity")*PJ2MW,"")</f>
        <v>0</v>
      </c>
      <c r="Q347" s="46">
        <f>IFERROR(SUMIFS(Infrastructure[2035],Infrastructure[[cluster]:[cluster]],"="&amp;$B347,Infrastructure[[variable_type]:[variable_type]],"H2_pipe_new_capacity")*PJ2MW,"")</f>
        <v>0</v>
      </c>
      <c r="R347" s="46">
        <f>IFERROR(SUMIFS(Infrastructure[2036],Infrastructure[[cluster]:[cluster]],"="&amp;$B347,Infrastructure[[variable_type]:[variable_type]],"H2_pipe_new_capacity")*PJ2MW,"")</f>
        <v>0</v>
      </c>
      <c r="S347" s="46">
        <f>IFERROR(SUMIFS(Infrastructure[2037],Infrastructure[[cluster]:[cluster]],"="&amp;$B347,Infrastructure[[variable_type]:[variable_type]],"H2_pipe_new_capacity")*PJ2MW,"")</f>
        <v>0</v>
      </c>
      <c r="T347" s="46">
        <f>IFERROR(SUMIFS(Infrastructure[2038],Infrastructure[[cluster]:[cluster]],"="&amp;$B347,Infrastructure[[variable_type]:[variable_type]],"H2_pipe_new_capacity")*PJ2MW,"")</f>
        <v>0</v>
      </c>
      <c r="U347" s="46">
        <f>IFERROR(SUMIFS(Infrastructure[2039],Infrastructure[[cluster]:[cluster]],"="&amp;$B347,Infrastructure[[variable_type]:[variable_type]],"H2_pipe_new_capacity")*PJ2MW,"")</f>
        <v>0</v>
      </c>
      <c r="V347" s="46">
        <f>IFERROR(SUMIFS(Infrastructure[2040],Infrastructure[[cluster]:[cluster]],"="&amp;$B347,Infrastructure[[variable_type]:[variable_type]],"H2_pipe_new_capacity")*PJ2MW,"")</f>
        <v>0</v>
      </c>
      <c r="W347" s="46">
        <f>IFERROR(SUMIFS(Infrastructure[2041],Infrastructure[[cluster]:[cluster]],"="&amp;$B347,Infrastructure[[variable_type]:[variable_type]],"H2_pipe_new_capacity")*PJ2MW,"")</f>
        <v>0</v>
      </c>
      <c r="X347" s="46">
        <f>IFERROR(SUMIFS(Infrastructure[2042],Infrastructure[[cluster]:[cluster]],"="&amp;$B347,Infrastructure[[variable_type]:[variable_type]],"H2_pipe_new_capacity")*PJ2MW,"")</f>
        <v>0</v>
      </c>
      <c r="Y347" s="46">
        <f>IFERROR(SUMIFS(Infrastructure[2043],Infrastructure[[cluster]:[cluster]],"="&amp;$B347,Infrastructure[[variable_type]:[variable_type]],"H2_pipe_new_capacity")*PJ2MW,"")</f>
        <v>0</v>
      </c>
      <c r="Z347" s="46">
        <f>IFERROR(SUMIFS(Infrastructure[2044],Infrastructure[[cluster]:[cluster]],"="&amp;$B347,Infrastructure[[variable_type]:[variable_type]],"H2_pipe_new_capacity")*PJ2MW,"")</f>
        <v>0</v>
      </c>
      <c r="AA347" s="46">
        <f>IFERROR(SUMIFS(Infrastructure[2045],Infrastructure[[cluster]:[cluster]],"="&amp;$B347,Infrastructure[[variable_type]:[variable_type]],"H2_pipe_new_capacity")*PJ2MW,"")</f>
        <v>0</v>
      </c>
      <c r="AB347" s="46">
        <f>IFERROR(SUMIFS(Infrastructure[2046],Infrastructure[[cluster]:[cluster]],"="&amp;$B347,Infrastructure[[variable_type]:[variable_type]],"H2_pipe_new_capacity")*PJ2MW,"")</f>
        <v>0</v>
      </c>
      <c r="AC347" s="46">
        <f>IFERROR(SUMIFS(Infrastructure[2047],Infrastructure[[cluster]:[cluster]],"="&amp;$B347,Infrastructure[[variable_type]:[variable_type]],"H2_pipe_new_capacity")*PJ2MW,"")</f>
        <v>0</v>
      </c>
      <c r="AD347" s="46">
        <f>IFERROR(SUMIFS(Infrastructure[2048],Infrastructure[[cluster]:[cluster]],"="&amp;$B347,Infrastructure[[variable_type]:[variable_type]],"H2_pipe_new_capacity")*PJ2MW,"")</f>
        <v>0</v>
      </c>
      <c r="AE347" s="46">
        <f>IFERROR(SUMIFS(Infrastructure[2049],Infrastructure[[cluster]:[cluster]],"="&amp;$B347,Infrastructure[[variable_type]:[variable_type]],"H2_pipe_new_capacity")*PJ2MW,"")</f>
        <v>0</v>
      </c>
      <c r="AF347" s="46">
        <f>IFERROR(SUMIFS(Infrastructure[2050],Infrastructure[[cluster]:[cluster]],"="&amp;$B347,Infrastructure[[variable_type]:[variable_type]],"H2_pipe_new_capacity")*PJ2MW,"")</f>
        <v>0</v>
      </c>
      <c r="AG347" s="46">
        <f>IFERROR(SUMIFS(Infrastructure[2051],Infrastructure[[cluster]:[cluster]],"="&amp;$B347,Infrastructure[[variable_type]:[variable_type]],"H2_pipe_new_capacity")*PJ2MW,"")</f>
        <v>0</v>
      </c>
    </row>
    <row r="348" spans="1:36" x14ac:dyDescent="0.45">
      <c r="B348" t="s">
        <v>76</v>
      </c>
      <c r="C348" s="46">
        <f>IFERROR(SUMIFS(Infrastructure[2021],Infrastructure[[cluster]:[cluster]],"="&amp;$B348,Infrastructure[[variable_type]:[variable_type]],"H2_pipe_new_capacity")*PJ2MW,"")</f>
        <v>0</v>
      </c>
      <c r="D348" s="46">
        <f>IFERROR(SUMIFS(Infrastructure[2022],Infrastructure[[cluster]:[cluster]],"="&amp;$B348,Infrastructure[[variable_type]:[variable_type]],"H2_pipe_new_capacity")*PJ2MW,"")</f>
        <v>0</v>
      </c>
      <c r="E348" s="46">
        <f>IFERROR(SUMIFS(Infrastructure[2023],Infrastructure[[cluster]:[cluster]],"="&amp;$B348,Infrastructure[[variable_type]:[variable_type]],"H2_pipe_new_capacity")*PJ2MW,"")</f>
        <v>0</v>
      </c>
      <c r="F348" s="46">
        <f>IFERROR(SUMIFS(Infrastructure[2024],Infrastructure[[cluster]:[cluster]],"="&amp;$B348,Infrastructure[[variable_type]:[variable_type]],"H2_pipe_new_capacity")*PJ2MW,"")</f>
        <v>0</v>
      </c>
      <c r="G348" s="46">
        <f>IFERROR(SUMIFS(Infrastructure[2025],Infrastructure[[cluster]:[cluster]],"="&amp;$B348,Infrastructure[[variable_type]:[variable_type]],"H2_pipe_new_capacity")*PJ2MW,"")</f>
        <v>0</v>
      </c>
      <c r="H348" s="46">
        <f>IFERROR(SUMIFS(Infrastructure[2026],Infrastructure[[cluster]:[cluster]],"="&amp;$B348,Infrastructure[[variable_type]:[variable_type]],"H2_pipe_new_capacity")*PJ2MW,"")</f>
        <v>0</v>
      </c>
      <c r="I348" s="46">
        <f>IFERROR(SUMIFS(Infrastructure[2027],Infrastructure[[cluster]:[cluster]],"="&amp;$B348,Infrastructure[[variable_type]:[variable_type]],"H2_pipe_new_capacity")*PJ2MW,"")</f>
        <v>0</v>
      </c>
      <c r="J348" s="46">
        <f>IFERROR(SUMIFS(Infrastructure[2028],Infrastructure[[cluster]:[cluster]],"="&amp;$B348,Infrastructure[[variable_type]:[variable_type]],"H2_pipe_new_capacity")*PJ2MW,"")</f>
        <v>0</v>
      </c>
      <c r="K348" s="46">
        <f>IFERROR(SUMIFS(Infrastructure[2029],Infrastructure[[cluster]:[cluster]],"="&amp;$B348,Infrastructure[[variable_type]:[variable_type]],"H2_pipe_new_capacity")*PJ2MW,"")</f>
        <v>0</v>
      </c>
      <c r="L348" s="46">
        <f>IFERROR(SUMIFS(Infrastructure[2030],Infrastructure[[cluster]:[cluster]],"="&amp;$B348,Infrastructure[[variable_type]:[variable_type]],"H2_pipe_new_capacity")*PJ2MW,"")</f>
        <v>0</v>
      </c>
      <c r="M348" s="46">
        <f>IFERROR(SUMIFS(Infrastructure[2031],Infrastructure[[cluster]:[cluster]],"="&amp;$B348,Infrastructure[[variable_type]:[variable_type]],"H2_pipe_new_capacity")*PJ2MW,"")</f>
        <v>0</v>
      </c>
      <c r="N348" s="46">
        <f>IFERROR(SUMIFS(Infrastructure[2032],Infrastructure[[cluster]:[cluster]],"="&amp;$B348,Infrastructure[[variable_type]:[variable_type]],"H2_pipe_new_capacity")*PJ2MW,"")</f>
        <v>0</v>
      </c>
      <c r="O348" s="46">
        <f>IFERROR(SUMIFS(Infrastructure[2033],Infrastructure[[cluster]:[cluster]],"="&amp;$B348,Infrastructure[[variable_type]:[variable_type]],"H2_pipe_new_capacity")*PJ2MW,"")</f>
        <v>0</v>
      </c>
      <c r="P348" s="46">
        <f>IFERROR(SUMIFS(Infrastructure[2034],Infrastructure[[cluster]:[cluster]],"="&amp;$B348,Infrastructure[[variable_type]:[variable_type]],"H2_pipe_new_capacity")*PJ2MW,"")</f>
        <v>0</v>
      </c>
      <c r="Q348" s="46">
        <f>IFERROR(SUMIFS(Infrastructure[2035],Infrastructure[[cluster]:[cluster]],"="&amp;$B348,Infrastructure[[variable_type]:[variable_type]],"H2_pipe_new_capacity")*PJ2MW,"")</f>
        <v>0</v>
      </c>
      <c r="R348" s="46">
        <f>IFERROR(SUMIFS(Infrastructure[2036],Infrastructure[[cluster]:[cluster]],"="&amp;$B348,Infrastructure[[variable_type]:[variable_type]],"H2_pipe_new_capacity")*PJ2MW,"")</f>
        <v>0</v>
      </c>
      <c r="S348" s="46">
        <f>IFERROR(SUMIFS(Infrastructure[2037],Infrastructure[[cluster]:[cluster]],"="&amp;$B348,Infrastructure[[variable_type]:[variable_type]],"H2_pipe_new_capacity")*PJ2MW,"")</f>
        <v>0</v>
      </c>
      <c r="T348" s="46">
        <f>IFERROR(SUMIFS(Infrastructure[2038],Infrastructure[[cluster]:[cluster]],"="&amp;$B348,Infrastructure[[variable_type]:[variable_type]],"H2_pipe_new_capacity")*PJ2MW,"")</f>
        <v>0</v>
      </c>
      <c r="U348" s="46">
        <f>IFERROR(SUMIFS(Infrastructure[2039],Infrastructure[[cluster]:[cluster]],"="&amp;$B348,Infrastructure[[variable_type]:[variable_type]],"H2_pipe_new_capacity")*PJ2MW,"")</f>
        <v>0</v>
      </c>
      <c r="V348" s="46">
        <f>IFERROR(SUMIFS(Infrastructure[2040],Infrastructure[[cluster]:[cluster]],"="&amp;$B348,Infrastructure[[variable_type]:[variable_type]],"H2_pipe_new_capacity")*PJ2MW,"")</f>
        <v>0</v>
      </c>
      <c r="W348" s="46">
        <f>IFERROR(SUMIFS(Infrastructure[2041],Infrastructure[[cluster]:[cluster]],"="&amp;$B348,Infrastructure[[variable_type]:[variable_type]],"H2_pipe_new_capacity")*PJ2MW,"")</f>
        <v>0</v>
      </c>
      <c r="X348" s="46">
        <f>IFERROR(SUMIFS(Infrastructure[2042],Infrastructure[[cluster]:[cluster]],"="&amp;$B348,Infrastructure[[variable_type]:[variable_type]],"H2_pipe_new_capacity")*PJ2MW,"")</f>
        <v>0</v>
      </c>
      <c r="Y348" s="46">
        <f>IFERROR(SUMIFS(Infrastructure[2043],Infrastructure[[cluster]:[cluster]],"="&amp;$B348,Infrastructure[[variable_type]:[variable_type]],"H2_pipe_new_capacity")*PJ2MW,"")</f>
        <v>0</v>
      </c>
      <c r="Z348" s="46">
        <f>IFERROR(SUMIFS(Infrastructure[2044],Infrastructure[[cluster]:[cluster]],"="&amp;$B348,Infrastructure[[variable_type]:[variable_type]],"H2_pipe_new_capacity")*PJ2MW,"")</f>
        <v>0</v>
      </c>
      <c r="AA348" s="46">
        <f>IFERROR(SUMIFS(Infrastructure[2045],Infrastructure[[cluster]:[cluster]],"="&amp;$B348,Infrastructure[[variable_type]:[variable_type]],"H2_pipe_new_capacity")*PJ2MW,"")</f>
        <v>0</v>
      </c>
      <c r="AB348" s="46">
        <f>IFERROR(SUMIFS(Infrastructure[2046],Infrastructure[[cluster]:[cluster]],"="&amp;$B348,Infrastructure[[variable_type]:[variable_type]],"H2_pipe_new_capacity")*PJ2MW,"")</f>
        <v>0</v>
      </c>
      <c r="AC348" s="46">
        <f>IFERROR(SUMIFS(Infrastructure[2047],Infrastructure[[cluster]:[cluster]],"="&amp;$B348,Infrastructure[[variable_type]:[variable_type]],"H2_pipe_new_capacity")*PJ2MW,"")</f>
        <v>0</v>
      </c>
      <c r="AD348" s="46">
        <f>IFERROR(SUMIFS(Infrastructure[2048],Infrastructure[[cluster]:[cluster]],"="&amp;$B348,Infrastructure[[variable_type]:[variable_type]],"H2_pipe_new_capacity")*PJ2MW,"")</f>
        <v>0</v>
      </c>
      <c r="AE348" s="46">
        <f>IFERROR(SUMIFS(Infrastructure[2049],Infrastructure[[cluster]:[cluster]],"="&amp;$B348,Infrastructure[[variable_type]:[variable_type]],"H2_pipe_new_capacity")*PJ2MW,"")</f>
        <v>0</v>
      </c>
      <c r="AF348" s="46">
        <f>IFERROR(SUMIFS(Infrastructure[2050],Infrastructure[[cluster]:[cluster]],"="&amp;$B348,Infrastructure[[variable_type]:[variable_type]],"H2_pipe_new_capacity")*PJ2MW,"")</f>
        <v>0</v>
      </c>
      <c r="AG348" s="46">
        <f>IFERROR(SUMIFS(Infrastructure[2051],Infrastructure[[cluster]:[cluster]],"="&amp;$B348,Infrastructure[[variable_type]:[variable_type]],"H2_pipe_new_capacity")*PJ2MW,"")</f>
        <v>0</v>
      </c>
    </row>
    <row r="349" spans="1:36" x14ac:dyDescent="0.45">
      <c r="B349" t="s">
        <v>77</v>
      </c>
      <c r="C349" s="46">
        <f>IFERROR(SUMIFS(Infrastructure[2021],Infrastructure[[cluster]:[cluster]],"="&amp;$B349,Infrastructure[[variable_type]:[variable_type]],"H2_pipe_new_capacity")*PJ2MW,"")</f>
        <v>0</v>
      </c>
      <c r="D349" s="46">
        <f>IFERROR(SUMIFS(Infrastructure[2022],Infrastructure[[cluster]:[cluster]],"="&amp;$B349,Infrastructure[[variable_type]:[variable_type]],"H2_pipe_new_capacity")*PJ2MW,"")</f>
        <v>0</v>
      </c>
      <c r="E349" s="46">
        <f>IFERROR(SUMIFS(Infrastructure[2023],Infrastructure[[cluster]:[cluster]],"="&amp;$B349,Infrastructure[[variable_type]:[variable_type]],"H2_pipe_new_capacity")*PJ2MW,"")</f>
        <v>0</v>
      </c>
      <c r="F349" s="46">
        <f>IFERROR(SUMIFS(Infrastructure[2024],Infrastructure[[cluster]:[cluster]],"="&amp;$B349,Infrastructure[[variable_type]:[variable_type]],"H2_pipe_new_capacity")*PJ2MW,"")</f>
        <v>0</v>
      </c>
      <c r="G349" s="46">
        <f>IFERROR(SUMIFS(Infrastructure[2025],Infrastructure[[cluster]:[cluster]],"="&amp;$B349,Infrastructure[[variable_type]:[variable_type]],"H2_pipe_new_capacity")*PJ2MW,"")</f>
        <v>0</v>
      </c>
      <c r="H349" s="46">
        <f>IFERROR(SUMIFS(Infrastructure[2026],Infrastructure[[cluster]:[cluster]],"="&amp;$B349,Infrastructure[[variable_type]:[variable_type]],"H2_pipe_new_capacity")*PJ2MW,"")</f>
        <v>0</v>
      </c>
      <c r="I349" s="46">
        <f>IFERROR(SUMIFS(Infrastructure[2027],Infrastructure[[cluster]:[cluster]],"="&amp;$B349,Infrastructure[[variable_type]:[variable_type]],"H2_pipe_new_capacity")*PJ2MW,"")</f>
        <v>0</v>
      </c>
      <c r="J349" s="46">
        <f>IFERROR(SUMIFS(Infrastructure[2028],Infrastructure[[cluster]:[cluster]],"="&amp;$B349,Infrastructure[[variable_type]:[variable_type]],"H2_pipe_new_capacity")*PJ2MW,"")</f>
        <v>0</v>
      </c>
      <c r="K349" s="46">
        <f>IFERROR(SUMIFS(Infrastructure[2029],Infrastructure[[cluster]:[cluster]],"="&amp;$B349,Infrastructure[[variable_type]:[variable_type]],"H2_pipe_new_capacity")*PJ2MW,"")</f>
        <v>0</v>
      </c>
      <c r="L349" s="46">
        <f>IFERROR(SUMIFS(Infrastructure[2030],Infrastructure[[cluster]:[cluster]],"="&amp;$B349,Infrastructure[[variable_type]:[variable_type]],"H2_pipe_new_capacity")*PJ2MW,"")</f>
        <v>0</v>
      </c>
      <c r="M349" s="46">
        <f>IFERROR(SUMIFS(Infrastructure[2031],Infrastructure[[cluster]:[cluster]],"="&amp;$B349,Infrastructure[[variable_type]:[variable_type]],"H2_pipe_new_capacity")*PJ2MW,"")</f>
        <v>0</v>
      </c>
      <c r="N349" s="46">
        <f>IFERROR(SUMIFS(Infrastructure[2032],Infrastructure[[cluster]:[cluster]],"="&amp;$B349,Infrastructure[[variable_type]:[variable_type]],"H2_pipe_new_capacity")*PJ2MW,"")</f>
        <v>0</v>
      </c>
      <c r="O349" s="46">
        <f>IFERROR(SUMIFS(Infrastructure[2033],Infrastructure[[cluster]:[cluster]],"="&amp;$B349,Infrastructure[[variable_type]:[variable_type]],"H2_pipe_new_capacity")*PJ2MW,"")</f>
        <v>0</v>
      </c>
      <c r="P349" s="46">
        <f>IFERROR(SUMIFS(Infrastructure[2034],Infrastructure[[cluster]:[cluster]],"="&amp;$B349,Infrastructure[[variable_type]:[variable_type]],"H2_pipe_new_capacity")*PJ2MW,"")</f>
        <v>0</v>
      </c>
      <c r="Q349" s="46">
        <f>IFERROR(SUMIFS(Infrastructure[2035],Infrastructure[[cluster]:[cluster]],"="&amp;$B349,Infrastructure[[variable_type]:[variable_type]],"H2_pipe_new_capacity")*PJ2MW,"")</f>
        <v>0</v>
      </c>
      <c r="R349" s="46">
        <f>IFERROR(SUMIFS(Infrastructure[2036],Infrastructure[[cluster]:[cluster]],"="&amp;$B349,Infrastructure[[variable_type]:[variable_type]],"H2_pipe_new_capacity")*PJ2MW,"")</f>
        <v>0</v>
      </c>
      <c r="S349" s="46">
        <f>IFERROR(SUMIFS(Infrastructure[2037],Infrastructure[[cluster]:[cluster]],"="&amp;$B349,Infrastructure[[variable_type]:[variable_type]],"H2_pipe_new_capacity")*PJ2MW,"")</f>
        <v>0</v>
      </c>
      <c r="T349" s="46">
        <f>IFERROR(SUMIFS(Infrastructure[2038],Infrastructure[[cluster]:[cluster]],"="&amp;$B349,Infrastructure[[variable_type]:[variable_type]],"H2_pipe_new_capacity")*PJ2MW,"")</f>
        <v>0</v>
      </c>
      <c r="U349" s="46">
        <f>IFERROR(SUMIFS(Infrastructure[2039],Infrastructure[[cluster]:[cluster]],"="&amp;$B349,Infrastructure[[variable_type]:[variable_type]],"H2_pipe_new_capacity")*PJ2MW,"")</f>
        <v>0</v>
      </c>
      <c r="V349" s="46">
        <f>IFERROR(SUMIFS(Infrastructure[2040],Infrastructure[[cluster]:[cluster]],"="&amp;$B349,Infrastructure[[variable_type]:[variable_type]],"H2_pipe_new_capacity")*PJ2MW,"")</f>
        <v>0</v>
      </c>
      <c r="W349" s="46">
        <f>IFERROR(SUMIFS(Infrastructure[2041],Infrastructure[[cluster]:[cluster]],"="&amp;$B349,Infrastructure[[variable_type]:[variable_type]],"H2_pipe_new_capacity")*PJ2MW,"")</f>
        <v>0</v>
      </c>
      <c r="X349" s="46">
        <f>IFERROR(SUMIFS(Infrastructure[2042],Infrastructure[[cluster]:[cluster]],"="&amp;$B349,Infrastructure[[variable_type]:[variable_type]],"H2_pipe_new_capacity")*PJ2MW,"")</f>
        <v>0</v>
      </c>
      <c r="Y349" s="46">
        <f>IFERROR(SUMIFS(Infrastructure[2043],Infrastructure[[cluster]:[cluster]],"="&amp;$B349,Infrastructure[[variable_type]:[variable_type]],"H2_pipe_new_capacity")*PJ2MW,"")</f>
        <v>0</v>
      </c>
      <c r="Z349" s="46">
        <f>IFERROR(SUMIFS(Infrastructure[2044],Infrastructure[[cluster]:[cluster]],"="&amp;$B349,Infrastructure[[variable_type]:[variable_type]],"H2_pipe_new_capacity")*PJ2MW,"")</f>
        <v>0</v>
      </c>
      <c r="AA349" s="46">
        <f>IFERROR(SUMIFS(Infrastructure[2045],Infrastructure[[cluster]:[cluster]],"="&amp;$B349,Infrastructure[[variable_type]:[variable_type]],"H2_pipe_new_capacity")*PJ2MW,"")</f>
        <v>0</v>
      </c>
      <c r="AB349" s="46">
        <f>IFERROR(SUMIFS(Infrastructure[2046],Infrastructure[[cluster]:[cluster]],"="&amp;$B349,Infrastructure[[variable_type]:[variable_type]],"H2_pipe_new_capacity")*PJ2MW,"")</f>
        <v>0</v>
      </c>
      <c r="AC349" s="46">
        <f>IFERROR(SUMIFS(Infrastructure[2047],Infrastructure[[cluster]:[cluster]],"="&amp;$B349,Infrastructure[[variable_type]:[variable_type]],"H2_pipe_new_capacity")*PJ2MW,"")</f>
        <v>0</v>
      </c>
      <c r="AD349" s="46">
        <f>IFERROR(SUMIFS(Infrastructure[2048],Infrastructure[[cluster]:[cluster]],"="&amp;$B349,Infrastructure[[variable_type]:[variable_type]],"H2_pipe_new_capacity")*PJ2MW,"")</f>
        <v>0</v>
      </c>
      <c r="AE349" s="46">
        <f>IFERROR(SUMIFS(Infrastructure[2049],Infrastructure[[cluster]:[cluster]],"="&amp;$B349,Infrastructure[[variable_type]:[variable_type]],"H2_pipe_new_capacity")*PJ2MW,"")</f>
        <v>0</v>
      </c>
      <c r="AF349" s="46">
        <f>IFERROR(SUMIFS(Infrastructure[2050],Infrastructure[[cluster]:[cluster]],"="&amp;$B349,Infrastructure[[variable_type]:[variable_type]],"H2_pipe_new_capacity")*PJ2MW,"")</f>
        <v>0</v>
      </c>
      <c r="AG349" s="46">
        <f>IFERROR(SUMIFS(Infrastructure[2051],Infrastructure[[cluster]:[cluster]],"="&amp;$B349,Infrastructure[[variable_type]:[variable_type]],"H2_pipe_new_capacity")*PJ2MW,"")</f>
        <v>0</v>
      </c>
    </row>
    <row r="350" spans="1:36" x14ac:dyDescent="0.45">
      <c r="B350" t="s">
        <v>78</v>
      </c>
      <c r="C350" s="46">
        <f>IFERROR(SUMIFS(Infrastructure[2021],Infrastructure[[cluster]:[cluster]],"="&amp;$B350,Infrastructure[[variable_type]:[variable_type]],"H2_pipe_new_capacity")*PJ2MW,"")</f>
        <v>0</v>
      </c>
      <c r="D350" s="46">
        <f>IFERROR(SUMIFS(Infrastructure[2022],Infrastructure[[cluster]:[cluster]],"="&amp;$B350,Infrastructure[[variable_type]:[variable_type]],"H2_pipe_new_capacity")*PJ2MW,"")</f>
        <v>0</v>
      </c>
      <c r="E350" s="46">
        <f>IFERROR(SUMIFS(Infrastructure[2023],Infrastructure[[cluster]:[cluster]],"="&amp;$B350,Infrastructure[[variable_type]:[variable_type]],"H2_pipe_new_capacity")*PJ2MW,"")</f>
        <v>0</v>
      </c>
      <c r="F350" s="46">
        <f>IFERROR(SUMIFS(Infrastructure[2024],Infrastructure[[cluster]:[cluster]],"="&amp;$B350,Infrastructure[[variable_type]:[variable_type]],"H2_pipe_new_capacity")*PJ2MW,"")</f>
        <v>0</v>
      </c>
      <c r="G350" s="46">
        <f>IFERROR(SUMIFS(Infrastructure[2025],Infrastructure[[cluster]:[cluster]],"="&amp;$B350,Infrastructure[[variable_type]:[variable_type]],"H2_pipe_new_capacity")*PJ2MW,"")</f>
        <v>0</v>
      </c>
      <c r="H350" s="46">
        <f>IFERROR(SUMIFS(Infrastructure[2026],Infrastructure[[cluster]:[cluster]],"="&amp;$B350,Infrastructure[[variable_type]:[variable_type]],"H2_pipe_new_capacity")*PJ2MW,"")</f>
        <v>0</v>
      </c>
      <c r="I350" s="46">
        <f>IFERROR(SUMIFS(Infrastructure[2027],Infrastructure[[cluster]:[cluster]],"="&amp;$B350,Infrastructure[[variable_type]:[variable_type]],"H2_pipe_new_capacity")*PJ2MW,"")</f>
        <v>0</v>
      </c>
      <c r="J350" s="46">
        <f>IFERROR(SUMIFS(Infrastructure[2028],Infrastructure[[cluster]:[cluster]],"="&amp;$B350,Infrastructure[[variable_type]:[variable_type]],"H2_pipe_new_capacity")*PJ2MW,"")</f>
        <v>0</v>
      </c>
      <c r="K350" s="46">
        <f>IFERROR(SUMIFS(Infrastructure[2029],Infrastructure[[cluster]:[cluster]],"="&amp;$B350,Infrastructure[[variable_type]:[variable_type]],"H2_pipe_new_capacity")*PJ2MW,"")</f>
        <v>0</v>
      </c>
      <c r="L350" s="46">
        <f>IFERROR(SUMIFS(Infrastructure[2030],Infrastructure[[cluster]:[cluster]],"="&amp;$B350,Infrastructure[[variable_type]:[variable_type]],"H2_pipe_new_capacity")*PJ2MW,"")</f>
        <v>0</v>
      </c>
      <c r="M350" s="46">
        <f>IFERROR(SUMIFS(Infrastructure[2031],Infrastructure[[cluster]:[cluster]],"="&amp;$B350,Infrastructure[[variable_type]:[variable_type]],"H2_pipe_new_capacity")*PJ2MW,"")</f>
        <v>0</v>
      </c>
      <c r="N350" s="46">
        <f>IFERROR(SUMIFS(Infrastructure[2032],Infrastructure[[cluster]:[cluster]],"="&amp;$B350,Infrastructure[[variable_type]:[variable_type]],"H2_pipe_new_capacity")*PJ2MW,"")</f>
        <v>0</v>
      </c>
      <c r="O350" s="46">
        <f>IFERROR(SUMIFS(Infrastructure[2033],Infrastructure[[cluster]:[cluster]],"="&amp;$B350,Infrastructure[[variable_type]:[variable_type]],"H2_pipe_new_capacity")*PJ2MW,"")</f>
        <v>0</v>
      </c>
      <c r="P350" s="46">
        <f>IFERROR(SUMIFS(Infrastructure[2034],Infrastructure[[cluster]:[cluster]],"="&amp;$B350,Infrastructure[[variable_type]:[variable_type]],"H2_pipe_new_capacity")*PJ2MW,"")</f>
        <v>0</v>
      </c>
      <c r="Q350" s="46">
        <f>IFERROR(SUMIFS(Infrastructure[2035],Infrastructure[[cluster]:[cluster]],"="&amp;$B350,Infrastructure[[variable_type]:[variable_type]],"H2_pipe_new_capacity")*PJ2MW,"")</f>
        <v>0</v>
      </c>
      <c r="R350" s="46">
        <f>IFERROR(SUMIFS(Infrastructure[2036],Infrastructure[[cluster]:[cluster]],"="&amp;$B350,Infrastructure[[variable_type]:[variable_type]],"H2_pipe_new_capacity")*PJ2MW,"")</f>
        <v>0</v>
      </c>
      <c r="S350" s="46">
        <f>IFERROR(SUMIFS(Infrastructure[2037],Infrastructure[[cluster]:[cluster]],"="&amp;$B350,Infrastructure[[variable_type]:[variable_type]],"H2_pipe_new_capacity")*PJ2MW,"")</f>
        <v>0</v>
      </c>
      <c r="T350" s="46">
        <f>IFERROR(SUMIFS(Infrastructure[2038],Infrastructure[[cluster]:[cluster]],"="&amp;$B350,Infrastructure[[variable_type]:[variable_type]],"H2_pipe_new_capacity")*PJ2MW,"")</f>
        <v>0</v>
      </c>
      <c r="U350" s="46">
        <f>IFERROR(SUMIFS(Infrastructure[2039],Infrastructure[[cluster]:[cluster]],"="&amp;$B350,Infrastructure[[variable_type]:[variable_type]],"H2_pipe_new_capacity")*PJ2MW,"")</f>
        <v>0</v>
      </c>
      <c r="V350" s="46">
        <f>IFERROR(SUMIFS(Infrastructure[2040],Infrastructure[[cluster]:[cluster]],"="&amp;$B350,Infrastructure[[variable_type]:[variable_type]],"H2_pipe_new_capacity")*PJ2MW,"")</f>
        <v>0</v>
      </c>
      <c r="W350" s="46">
        <f>IFERROR(SUMIFS(Infrastructure[2041],Infrastructure[[cluster]:[cluster]],"="&amp;$B350,Infrastructure[[variable_type]:[variable_type]],"H2_pipe_new_capacity")*PJ2MW,"")</f>
        <v>0</v>
      </c>
      <c r="X350" s="46">
        <f>IFERROR(SUMIFS(Infrastructure[2042],Infrastructure[[cluster]:[cluster]],"="&amp;$B350,Infrastructure[[variable_type]:[variable_type]],"H2_pipe_new_capacity")*PJ2MW,"")</f>
        <v>0</v>
      </c>
      <c r="Y350" s="46">
        <f>IFERROR(SUMIFS(Infrastructure[2043],Infrastructure[[cluster]:[cluster]],"="&amp;$B350,Infrastructure[[variable_type]:[variable_type]],"H2_pipe_new_capacity")*PJ2MW,"")</f>
        <v>0</v>
      </c>
      <c r="Z350" s="46">
        <f>IFERROR(SUMIFS(Infrastructure[2044],Infrastructure[[cluster]:[cluster]],"="&amp;$B350,Infrastructure[[variable_type]:[variable_type]],"H2_pipe_new_capacity")*PJ2MW,"")</f>
        <v>0</v>
      </c>
      <c r="AA350" s="46">
        <f>IFERROR(SUMIFS(Infrastructure[2045],Infrastructure[[cluster]:[cluster]],"="&amp;$B350,Infrastructure[[variable_type]:[variable_type]],"H2_pipe_new_capacity")*PJ2MW,"")</f>
        <v>0</v>
      </c>
      <c r="AB350" s="46">
        <f>IFERROR(SUMIFS(Infrastructure[2046],Infrastructure[[cluster]:[cluster]],"="&amp;$B350,Infrastructure[[variable_type]:[variable_type]],"H2_pipe_new_capacity")*PJ2MW,"")</f>
        <v>0</v>
      </c>
      <c r="AC350" s="46">
        <f>IFERROR(SUMIFS(Infrastructure[2047],Infrastructure[[cluster]:[cluster]],"="&amp;$B350,Infrastructure[[variable_type]:[variable_type]],"H2_pipe_new_capacity")*PJ2MW,"")</f>
        <v>0</v>
      </c>
      <c r="AD350" s="46">
        <f>IFERROR(SUMIFS(Infrastructure[2048],Infrastructure[[cluster]:[cluster]],"="&amp;$B350,Infrastructure[[variable_type]:[variable_type]],"H2_pipe_new_capacity")*PJ2MW,"")</f>
        <v>0</v>
      </c>
      <c r="AE350" s="46">
        <f>IFERROR(SUMIFS(Infrastructure[2049],Infrastructure[[cluster]:[cluster]],"="&amp;$B350,Infrastructure[[variable_type]:[variable_type]],"H2_pipe_new_capacity")*PJ2MW,"")</f>
        <v>0</v>
      </c>
      <c r="AF350" s="46">
        <f>IFERROR(SUMIFS(Infrastructure[2050],Infrastructure[[cluster]:[cluster]],"="&amp;$B350,Infrastructure[[variable_type]:[variable_type]],"H2_pipe_new_capacity")*PJ2MW,"")</f>
        <v>0</v>
      </c>
      <c r="AG350" s="46">
        <f>IFERROR(SUMIFS(Infrastructure[2051],Infrastructure[[cluster]:[cluster]],"="&amp;$B350,Infrastructure[[variable_type]:[variable_type]],"H2_pipe_new_capacity")*PJ2MW,"")</f>
        <v>0</v>
      </c>
    </row>
    <row r="351" spans="1:36" ht="14.65" thickBot="1" x14ac:dyDescent="0.5">
      <c r="B351" s="29" t="s">
        <v>124</v>
      </c>
      <c r="C351" s="47">
        <f ca="1">IF(C105&lt;&gt;"",SUM(C341:C350),"")</f>
        <v>0</v>
      </c>
      <c r="D351" s="47">
        <f t="shared" ref="D351:AG351" ca="1" si="66">IF(D105&lt;&gt;"",SUM(D341:D350),"")</f>
        <v>0</v>
      </c>
      <c r="E351" s="47">
        <f t="shared" ca="1" si="66"/>
        <v>0</v>
      </c>
      <c r="F351" s="47">
        <f t="shared" ca="1" si="66"/>
        <v>0</v>
      </c>
      <c r="G351" s="47">
        <f t="shared" ca="1" si="66"/>
        <v>0</v>
      </c>
      <c r="H351" s="47">
        <f t="shared" ca="1" si="66"/>
        <v>0</v>
      </c>
      <c r="I351" s="47">
        <f t="shared" ca="1" si="66"/>
        <v>0</v>
      </c>
      <c r="J351" s="47">
        <f t="shared" ca="1" si="66"/>
        <v>0</v>
      </c>
      <c r="K351" s="47">
        <f t="shared" ca="1" si="66"/>
        <v>0</v>
      </c>
      <c r="L351" s="47">
        <f t="shared" ca="1" si="66"/>
        <v>0</v>
      </c>
      <c r="M351" s="47">
        <f t="shared" ca="1" si="66"/>
        <v>0</v>
      </c>
      <c r="N351" s="47">
        <f t="shared" ca="1" si="66"/>
        <v>0</v>
      </c>
      <c r="O351" s="47">
        <f t="shared" ca="1" si="66"/>
        <v>0</v>
      </c>
      <c r="P351" s="47">
        <f t="shared" ca="1" si="66"/>
        <v>0</v>
      </c>
      <c r="Q351" s="47">
        <f t="shared" ca="1" si="66"/>
        <v>0</v>
      </c>
      <c r="R351" s="47">
        <f t="shared" ca="1" si="66"/>
        <v>0</v>
      </c>
      <c r="S351" s="47">
        <f t="shared" ca="1" si="66"/>
        <v>0</v>
      </c>
      <c r="T351" s="47">
        <f t="shared" ca="1" si="66"/>
        <v>0</v>
      </c>
      <c r="U351" s="47">
        <f t="shared" ca="1" si="66"/>
        <v>0</v>
      </c>
      <c r="V351" s="47">
        <f t="shared" ca="1" si="66"/>
        <v>0</v>
      </c>
      <c r="W351" s="47">
        <f t="shared" ca="1" si="66"/>
        <v>0</v>
      </c>
      <c r="X351" s="47">
        <f t="shared" ca="1" si="66"/>
        <v>0</v>
      </c>
      <c r="Y351" s="47">
        <f t="shared" ca="1" si="66"/>
        <v>0</v>
      </c>
      <c r="Z351" s="47">
        <f t="shared" ca="1" si="66"/>
        <v>0</v>
      </c>
      <c r="AA351" s="47">
        <f t="shared" ca="1" si="66"/>
        <v>0</v>
      </c>
      <c r="AB351" s="47">
        <f t="shared" ca="1" si="66"/>
        <v>0</v>
      </c>
      <c r="AC351" s="47">
        <f t="shared" ca="1" si="66"/>
        <v>0</v>
      </c>
      <c r="AD351" s="47">
        <f t="shared" ca="1" si="66"/>
        <v>0</v>
      </c>
      <c r="AE351" s="47">
        <f t="shared" ca="1" si="66"/>
        <v>0</v>
      </c>
      <c r="AF351" s="47">
        <f t="shared" ca="1" si="66"/>
        <v>0</v>
      </c>
      <c r="AG351" s="47">
        <f t="shared" ca="1" si="66"/>
        <v>0</v>
      </c>
      <c r="AJ351" s="20"/>
    </row>
    <row r="352" spans="1:36" ht="14.65" thickTop="1" x14ac:dyDescent="0.45">
      <c r="B352" s="6"/>
    </row>
    <row r="353" spans="1:33" x14ac:dyDescent="0.45">
      <c r="B353" s="6"/>
    </row>
    <row r="354" spans="1:33" ht="18" x14ac:dyDescent="0.55000000000000004">
      <c r="A354" s="5" t="s">
        <v>96</v>
      </c>
      <c r="B354" s="25" t="s">
        <v>94</v>
      </c>
    </row>
    <row r="355" spans="1:33" x14ac:dyDescent="0.45">
      <c r="A355" t="s">
        <v>93</v>
      </c>
      <c r="B355" s="14"/>
    </row>
    <row r="356" spans="1:33" x14ac:dyDescent="0.45">
      <c r="B356" s="6"/>
      <c r="C356" s="6">
        <v>2021</v>
      </c>
      <c r="D356" s="6">
        <v>2022</v>
      </c>
      <c r="E356" s="6">
        <v>2023</v>
      </c>
      <c r="F356" s="6">
        <v>2024</v>
      </c>
      <c r="G356" s="6">
        <v>2025</v>
      </c>
      <c r="H356" s="6">
        <v>2026</v>
      </c>
      <c r="I356" s="6">
        <v>2027</v>
      </c>
      <c r="J356" s="6">
        <v>2028</v>
      </c>
      <c r="K356" s="6">
        <v>2029</v>
      </c>
      <c r="L356" s="6">
        <v>2030</v>
      </c>
      <c r="M356" s="6">
        <v>2031</v>
      </c>
      <c r="N356" s="6">
        <v>2032</v>
      </c>
      <c r="O356" s="6">
        <v>2033</v>
      </c>
      <c r="P356" s="6">
        <v>2034</v>
      </c>
      <c r="Q356" s="6">
        <v>2035</v>
      </c>
      <c r="R356" s="6">
        <v>2036</v>
      </c>
      <c r="S356" s="6">
        <v>2037</v>
      </c>
      <c r="T356" s="6">
        <v>2038</v>
      </c>
      <c r="U356" s="6">
        <v>2039</v>
      </c>
      <c r="V356" s="6">
        <v>2040</v>
      </c>
      <c r="W356" s="6">
        <v>2041</v>
      </c>
      <c r="X356" s="6">
        <v>2042</v>
      </c>
      <c r="Y356" s="6">
        <v>2043</v>
      </c>
      <c r="Z356" s="6">
        <v>2044</v>
      </c>
      <c r="AA356" s="6">
        <v>2045</v>
      </c>
      <c r="AB356" s="6">
        <v>2046</v>
      </c>
      <c r="AC356" s="6">
        <v>2047</v>
      </c>
      <c r="AD356" s="6">
        <v>2048</v>
      </c>
      <c r="AE356" s="6">
        <v>2049</v>
      </c>
      <c r="AF356" s="6">
        <v>2050</v>
      </c>
      <c r="AG356" s="6">
        <v>2051</v>
      </c>
    </row>
    <row r="357" spans="1:33" x14ac:dyDescent="0.45">
      <c r="B357" t="s">
        <v>70</v>
      </c>
      <c r="C357" s="48">
        <f>IFERROR(SUMIFS(Infrastructure[2021],Infrastructure[[cluster]:[cluster]],"="&amp;$B357,Infrastructure[[variable_type]:[variable_type]],"H2_pipe_available_capacity")*PJ2MW,"")</f>
        <v>0</v>
      </c>
      <c r="D357" s="48">
        <f>IFERROR(SUMIFS(Infrastructure[2022],Infrastructure[[cluster]:[cluster]],"="&amp;$B357,Infrastructure[[variable_type]:[variable_type]],"H2_pipe_available_capacity")*PJ2MW,"")</f>
        <v>0</v>
      </c>
      <c r="E357" s="48">
        <f>IFERROR(SUMIFS(Infrastructure[2023],Infrastructure[[cluster]:[cluster]],"="&amp;$B357,Infrastructure[[variable_type]:[variable_type]],"H2_pipe_available_capacity")*PJ2MW,"")</f>
        <v>0</v>
      </c>
      <c r="F357" s="48">
        <f>IFERROR(SUMIFS(Infrastructure[2024],Infrastructure[[cluster]:[cluster]],"="&amp;$B357,Infrastructure[[variable_type]:[variable_type]],"H2_pipe_available_capacity")*PJ2MW,"")</f>
        <v>0</v>
      </c>
      <c r="G357" s="48">
        <f>IFERROR(SUMIFS(Infrastructure[2025],Infrastructure[[cluster]:[cluster]],"="&amp;$B357,Infrastructure[[variable_type]:[variable_type]],"H2_pipe_available_capacity")*PJ2MW,"")</f>
        <v>0</v>
      </c>
      <c r="H357" s="48">
        <f>IFERROR(SUMIFS(Infrastructure[2026],Infrastructure[[cluster]:[cluster]],"="&amp;$B357,Infrastructure[[variable_type]:[variable_type]],"H2_pipe_available_capacity")*PJ2MW,"")</f>
        <v>0</v>
      </c>
      <c r="I357" s="48">
        <f>IFERROR(SUMIFS(Infrastructure[2027],Infrastructure[[cluster]:[cluster]],"="&amp;$B357,Infrastructure[[variable_type]:[variable_type]],"H2_pipe_available_capacity")*PJ2MW,"")</f>
        <v>0</v>
      </c>
      <c r="J357" s="48">
        <f>IFERROR(SUMIFS(Infrastructure[2028],Infrastructure[[cluster]:[cluster]],"="&amp;$B357,Infrastructure[[variable_type]:[variable_type]],"H2_pipe_available_capacity")*PJ2MW,"")</f>
        <v>0</v>
      </c>
      <c r="K357" s="48">
        <f>IFERROR(SUMIFS(Infrastructure[2029],Infrastructure[[cluster]:[cluster]],"="&amp;$B357,Infrastructure[[variable_type]:[variable_type]],"H2_pipe_available_capacity")*PJ2MW,"")</f>
        <v>0</v>
      </c>
      <c r="L357" s="48">
        <f>IFERROR(SUMIFS(Infrastructure[2030],Infrastructure[[cluster]:[cluster]],"="&amp;$B357,Infrastructure[[variable_type]:[variable_type]],"H2_pipe_available_capacity")*PJ2MW,"")</f>
        <v>0</v>
      </c>
      <c r="M357" s="48">
        <f>IFERROR(SUMIFS(Infrastructure[2031],Infrastructure[[cluster]:[cluster]],"="&amp;$B357,Infrastructure[[variable_type]:[variable_type]],"H2_pipe_available_capacity")*PJ2MW,"")</f>
        <v>0</v>
      </c>
      <c r="N357" s="48">
        <f>IFERROR(SUMIFS(Infrastructure[2032],Infrastructure[[cluster]:[cluster]],"="&amp;$B357,Infrastructure[[variable_type]:[variable_type]],"H2_pipe_available_capacity")*PJ2MW,"")</f>
        <v>0</v>
      </c>
      <c r="O357" s="48">
        <f>IFERROR(SUMIFS(Infrastructure[2033],Infrastructure[[cluster]:[cluster]],"="&amp;$B357,Infrastructure[[variable_type]:[variable_type]],"H2_pipe_available_capacity")*PJ2MW,"")</f>
        <v>0</v>
      </c>
      <c r="P357" s="48">
        <f>IFERROR(SUMIFS(Infrastructure[2034],Infrastructure[[cluster]:[cluster]],"="&amp;$B357,Infrastructure[[variable_type]:[variable_type]],"H2_pipe_available_capacity")*PJ2MW,"")</f>
        <v>0</v>
      </c>
      <c r="Q357" s="48">
        <f>IFERROR(SUMIFS(Infrastructure[2035],Infrastructure[[cluster]:[cluster]],"="&amp;$B357,Infrastructure[[variable_type]:[variable_type]],"H2_pipe_available_capacity")*PJ2MW,"")</f>
        <v>0</v>
      </c>
      <c r="R357" s="48">
        <f>IFERROR(SUMIFS(Infrastructure[2036],Infrastructure[[cluster]:[cluster]],"="&amp;$B357,Infrastructure[[variable_type]:[variable_type]],"H2_pipe_available_capacity")*PJ2MW,"")</f>
        <v>0</v>
      </c>
      <c r="S357" s="48">
        <f>IFERROR(SUMIFS(Infrastructure[2037],Infrastructure[[cluster]:[cluster]],"="&amp;$B357,Infrastructure[[variable_type]:[variable_type]],"H2_pipe_available_capacity")*PJ2MW,"")</f>
        <v>0</v>
      </c>
      <c r="T357" s="48">
        <f>IFERROR(SUMIFS(Infrastructure[2038],Infrastructure[[cluster]:[cluster]],"="&amp;$B357,Infrastructure[[variable_type]:[variable_type]],"H2_pipe_available_capacity")*PJ2MW,"")</f>
        <v>0</v>
      </c>
      <c r="U357" s="48">
        <f>IFERROR(SUMIFS(Infrastructure[2039],Infrastructure[[cluster]:[cluster]],"="&amp;$B357,Infrastructure[[variable_type]:[variable_type]],"H2_pipe_available_capacity")*PJ2MW,"")</f>
        <v>0</v>
      </c>
      <c r="V357" s="48">
        <f>IFERROR(SUMIFS(Infrastructure[2040],Infrastructure[[cluster]:[cluster]],"="&amp;$B357,Infrastructure[[variable_type]:[variable_type]],"H2_pipe_available_capacity")*PJ2MW,"")</f>
        <v>0</v>
      </c>
      <c r="W357" s="48">
        <f>IFERROR(SUMIFS(Infrastructure[2041],Infrastructure[[cluster]:[cluster]],"="&amp;$B357,Infrastructure[[variable_type]:[variable_type]],"H2_pipe_available_capacity")*PJ2MW,"")</f>
        <v>0</v>
      </c>
      <c r="X357" s="48">
        <f>IFERROR(SUMIFS(Infrastructure[2042],Infrastructure[[cluster]:[cluster]],"="&amp;$B357,Infrastructure[[variable_type]:[variable_type]],"H2_pipe_available_capacity")*PJ2MW,"")</f>
        <v>0</v>
      </c>
      <c r="Y357" s="48">
        <f>IFERROR(SUMIFS(Infrastructure[2043],Infrastructure[[cluster]:[cluster]],"="&amp;$B357,Infrastructure[[variable_type]:[variable_type]],"H2_pipe_available_capacity")*PJ2MW,"")</f>
        <v>0</v>
      </c>
      <c r="Z357" s="48">
        <f>IFERROR(SUMIFS(Infrastructure[2044],Infrastructure[[cluster]:[cluster]],"="&amp;$B357,Infrastructure[[variable_type]:[variable_type]],"H2_pipe_available_capacity")*PJ2MW,"")</f>
        <v>0</v>
      </c>
      <c r="AA357" s="48">
        <f>IFERROR(SUMIFS(Infrastructure[2045],Infrastructure[[cluster]:[cluster]],"="&amp;$B357,Infrastructure[[variable_type]:[variable_type]],"H2_pipe_available_capacity")*PJ2MW,"")</f>
        <v>0</v>
      </c>
      <c r="AB357" s="48">
        <f>IFERROR(SUMIFS(Infrastructure[2046],Infrastructure[[cluster]:[cluster]],"="&amp;$B357,Infrastructure[[variable_type]:[variable_type]],"H2_pipe_available_capacity")*PJ2MW,"")</f>
        <v>0</v>
      </c>
      <c r="AC357" s="48">
        <f>IFERROR(SUMIFS(Infrastructure[2047],Infrastructure[[cluster]:[cluster]],"="&amp;$B357,Infrastructure[[variable_type]:[variable_type]],"H2_pipe_available_capacity")*PJ2MW,"")</f>
        <v>0</v>
      </c>
      <c r="AD357" s="48">
        <f>IFERROR(SUMIFS(Infrastructure[2048],Infrastructure[[cluster]:[cluster]],"="&amp;$B357,Infrastructure[[variable_type]:[variable_type]],"H2_pipe_available_capacity")*PJ2MW,"")</f>
        <v>0</v>
      </c>
      <c r="AE357" s="48">
        <f>IFERROR(SUMIFS(Infrastructure[2049],Infrastructure[[cluster]:[cluster]],"="&amp;$B357,Infrastructure[[variable_type]:[variable_type]],"H2_pipe_available_capacity")*PJ2MW,"")</f>
        <v>0</v>
      </c>
      <c r="AF357" s="48">
        <f>IFERROR(SUMIFS(Infrastructure[2050],Infrastructure[[cluster]:[cluster]],"="&amp;$B357,Infrastructure[[variable_type]:[variable_type]],"H2_pipe_available_capacity")*PJ2MW,"")</f>
        <v>0</v>
      </c>
      <c r="AG357" s="48">
        <f>IFERROR(SUMIFS(Infrastructure[2051],Infrastructure[[cluster]:[cluster]],"="&amp;$B357,Infrastructure[[variable_type]:[variable_type]],"H2_pipe_available_capacity")*PJ2MW,"")</f>
        <v>0</v>
      </c>
    </row>
    <row r="358" spans="1:33" x14ac:dyDescent="0.45">
      <c r="B358" t="s">
        <v>52</v>
      </c>
      <c r="C358" s="48">
        <f>IFERROR(SUMIFS(Infrastructure[2021],Infrastructure[[cluster]:[cluster]],"="&amp;$B358,Infrastructure[[variable_type]:[variable_type]],"H2_pipe_available_capacity")*PJ2MW,"")</f>
        <v>0</v>
      </c>
      <c r="D358" s="48">
        <f>IFERROR(SUMIFS(Infrastructure[2022],Infrastructure[[cluster]:[cluster]],"="&amp;$B358,Infrastructure[[variable_type]:[variable_type]],"H2_pipe_available_capacity")*PJ2MW,"")</f>
        <v>0</v>
      </c>
      <c r="E358" s="48">
        <f>IFERROR(SUMIFS(Infrastructure[2023],Infrastructure[[cluster]:[cluster]],"="&amp;$B358,Infrastructure[[variable_type]:[variable_type]],"H2_pipe_available_capacity")*PJ2MW,"")</f>
        <v>0</v>
      </c>
      <c r="F358" s="48">
        <f>IFERROR(SUMIFS(Infrastructure[2024],Infrastructure[[cluster]:[cluster]],"="&amp;$B358,Infrastructure[[variable_type]:[variable_type]],"H2_pipe_available_capacity")*PJ2MW,"")</f>
        <v>0</v>
      </c>
      <c r="G358" s="48">
        <f>IFERROR(SUMIFS(Infrastructure[2025],Infrastructure[[cluster]:[cluster]],"="&amp;$B358,Infrastructure[[variable_type]:[variable_type]],"H2_pipe_available_capacity")*PJ2MW,"")</f>
        <v>0</v>
      </c>
      <c r="H358" s="48">
        <f>IFERROR(SUMIFS(Infrastructure[2026],Infrastructure[[cluster]:[cluster]],"="&amp;$B358,Infrastructure[[variable_type]:[variable_type]],"H2_pipe_available_capacity")*PJ2MW,"")</f>
        <v>0</v>
      </c>
      <c r="I358" s="48">
        <f>IFERROR(SUMIFS(Infrastructure[2027],Infrastructure[[cluster]:[cluster]],"="&amp;$B358,Infrastructure[[variable_type]:[variable_type]],"H2_pipe_available_capacity")*PJ2MW,"")</f>
        <v>0</v>
      </c>
      <c r="J358" s="48">
        <f>IFERROR(SUMIFS(Infrastructure[2028],Infrastructure[[cluster]:[cluster]],"="&amp;$B358,Infrastructure[[variable_type]:[variable_type]],"H2_pipe_available_capacity")*PJ2MW,"")</f>
        <v>0</v>
      </c>
      <c r="K358" s="48">
        <f>IFERROR(SUMIFS(Infrastructure[2029],Infrastructure[[cluster]:[cluster]],"="&amp;$B358,Infrastructure[[variable_type]:[variable_type]],"H2_pipe_available_capacity")*PJ2MW,"")</f>
        <v>0</v>
      </c>
      <c r="L358" s="48">
        <f>IFERROR(SUMIFS(Infrastructure[2030],Infrastructure[[cluster]:[cluster]],"="&amp;$B358,Infrastructure[[variable_type]:[variable_type]],"H2_pipe_available_capacity")*PJ2MW,"")</f>
        <v>0</v>
      </c>
      <c r="M358" s="48">
        <f>IFERROR(SUMIFS(Infrastructure[2031],Infrastructure[[cluster]:[cluster]],"="&amp;$B358,Infrastructure[[variable_type]:[variable_type]],"H2_pipe_available_capacity")*PJ2MW,"")</f>
        <v>0</v>
      </c>
      <c r="N358" s="48">
        <f>IFERROR(SUMIFS(Infrastructure[2032],Infrastructure[[cluster]:[cluster]],"="&amp;$B358,Infrastructure[[variable_type]:[variable_type]],"H2_pipe_available_capacity")*PJ2MW,"")</f>
        <v>0</v>
      </c>
      <c r="O358" s="48">
        <f>IFERROR(SUMIFS(Infrastructure[2033],Infrastructure[[cluster]:[cluster]],"="&amp;$B358,Infrastructure[[variable_type]:[variable_type]],"H2_pipe_available_capacity")*PJ2MW,"")</f>
        <v>0</v>
      </c>
      <c r="P358" s="48">
        <f>IFERROR(SUMIFS(Infrastructure[2034],Infrastructure[[cluster]:[cluster]],"="&amp;$B358,Infrastructure[[variable_type]:[variable_type]],"H2_pipe_available_capacity")*PJ2MW,"")</f>
        <v>0</v>
      </c>
      <c r="Q358" s="48">
        <f>IFERROR(SUMIFS(Infrastructure[2035],Infrastructure[[cluster]:[cluster]],"="&amp;$B358,Infrastructure[[variable_type]:[variable_type]],"H2_pipe_available_capacity")*PJ2MW,"")</f>
        <v>0</v>
      </c>
      <c r="R358" s="48">
        <f>IFERROR(SUMIFS(Infrastructure[2036],Infrastructure[[cluster]:[cluster]],"="&amp;$B358,Infrastructure[[variable_type]:[variable_type]],"H2_pipe_available_capacity")*PJ2MW,"")</f>
        <v>0</v>
      </c>
      <c r="S358" s="48">
        <f>IFERROR(SUMIFS(Infrastructure[2037],Infrastructure[[cluster]:[cluster]],"="&amp;$B358,Infrastructure[[variable_type]:[variable_type]],"H2_pipe_available_capacity")*PJ2MW,"")</f>
        <v>0</v>
      </c>
      <c r="T358" s="48">
        <f>IFERROR(SUMIFS(Infrastructure[2038],Infrastructure[[cluster]:[cluster]],"="&amp;$B358,Infrastructure[[variable_type]:[variable_type]],"H2_pipe_available_capacity")*PJ2MW,"")</f>
        <v>0</v>
      </c>
      <c r="U358" s="48">
        <f>IFERROR(SUMIFS(Infrastructure[2039],Infrastructure[[cluster]:[cluster]],"="&amp;$B358,Infrastructure[[variable_type]:[variable_type]],"H2_pipe_available_capacity")*PJ2MW,"")</f>
        <v>0</v>
      </c>
      <c r="V358" s="48">
        <f>IFERROR(SUMIFS(Infrastructure[2040],Infrastructure[[cluster]:[cluster]],"="&amp;$B358,Infrastructure[[variable_type]:[variable_type]],"H2_pipe_available_capacity")*PJ2MW,"")</f>
        <v>0</v>
      </c>
      <c r="W358" s="48">
        <f>IFERROR(SUMIFS(Infrastructure[2041],Infrastructure[[cluster]:[cluster]],"="&amp;$B358,Infrastructure[[variable_type]:[variable_type]],"H2_pipe_available_capacity")*PJ2MW,"")</f>
        <v>0</v>
      </c>
      <c r="X358" s="48">
        <f>IFERROR(SUMIFS(Infrastructure[2042],Infrastructure[[cluster]:[cluster]],"="&amp;$B358,Infrastructure[[variable_type]:[variable_type]],"H2_pipe_available_capacity")*PJ2MW,"")</f>
        <v>0</v>
      </c>
      <c r="Y358" s="48">
        <f>IFERROR(SUMIFS(Infrastructure[2043],Infrastructure[[cluster]:[cluster]],"="&amp;$B358,Infrastructure[[variable_type]:[variable_type]],"H2_pipe_available_capacity")*PJ2MW,"")</f>
        <v>0</v>
      </c>
      <c r="Z358" s="48">
        <f>IFERROR(SUMIFS(Infrastructure[2044],Infrastructure[[cluster]:[cluster]],"="&amp;$B358,Infrastructure[[variable_type]:[variable_type]],"H2_pipe_available_capacity")*PJ2MW,"")</f>
        <v>0</v>
      </c>
      <c r="AA358" s="48">
        <f>IFERROR(SUMIFS(Infrastructure[2045],Infrastructure[[cluster]:[cluster]],"="&amp;$B358,Infrastructure[[variable_type]:[variable_type]],"H2_pipe_available_capacity")*PJ2MW,"")</f>
        <v>0</v>
      </c>
      <c r="AB358" s="48">
        <f>IFERROR(SUMIFS(Infrastructure[2046],Infrastructure[[cluster]:[cluster]],"="&amp;$B358,Infrastructure[[variable_type]:[variable_type]],"H2_pipe_available_capacity")*PJ2MW,"")</f>
        <v>0</v>
      </c>
      <c r="AC358" s="48">
        <f>IFERROR(SUMIFS(Infrastructure[2047],Infrastructure[[cluster]:[cluster]],"="&amp;$B358,Infrastructure[[variable_type]:[variable_type]],"H2_pipe_available_capacity")*PJ2MW,"")</f>
        <v>0</v>
      </c>
      <c r="AD358" s="48">
        <f>IFERROR(SUMIFS(Infrastructure[2048],Infrastructure[[cluster]:[cluster]],"="&amp;$B358,Infrastructure[[variable_type]:[variable_type]],"H2_pipe_available_capacity")*PJ2MW,"")</f>
        <v>0</v>
      </c>
      <c r="AE358" s="48">
        <f>IFERROR(SUMIFS(Infrastructure[2049],Infrastructure[[cluster]:[cluster]],"="&amp;$B358,Infrastructure[[variable_type]:[variable_type]],"H2_pipe_available_capacity")*PJ2MW,"")</f>
        <v>0</v>
      </c>
      <c r="AF358" s="48">
        <f>IFERROR(SUMIFS(Infrastructure[2050],Infrastructure[[cluster]:[cluster]],"="&amp;$B358,Infrastructure[[variable_type]:[variable_type]],"H2_pipe_available_capacity")*PJ2MW,"")</f>
        <v>0</v>
      </c>
      <c r="AG358" s="48">
        <f>IFERROR(SUMIFS(Infrastructure[2051],Infrastructure[[cluster]:[cluster]],"="&amp;$B358,Infrastructure[[variable_type]:[variable_type]],"H2_pipe_available_capacity")*PJ2MW,"")</f>
        <v>0</v>
      </c>
    </row>
    <row r="359" spans="1:33" x14ac:dyDescent="0.45">
      <c r="B359" t="s">
        <v>71</v>
      </c>
      <c r="C359" s="48">
        <f>IFERROR(SUMIFS(Infrastructure[2021],Infrastructure[[cluster]:[cluster]],"="&amp;$B359,Infrastructure[[variable_type]:[variable_type]],"H2_pipe_available_capacity")*PJ2MW,"")</f>
        <v>0</v>
      </c>
      <c r="D359" s="48">
        <f>IFERROR(SUMIFS(Infrastructure[2022],Infrastructure[[cluster]:[cluster]],"="&amp;$B359,Infrastructure[[variable_type]:[variable_type]],"H2_pipe_available_capacity")*PJ2MW,"")</f>
        <v>0</v>
      </c>
      <c r="E359" s="48">
        <f>IFERROR(SUMIFS(Infrastructure[2023],Infrastructure[[cluster]:[cluster]],"="&amp;$B359,Infrastructure[[variable_type]:[variable_type]],"H2_pipe_available_capacity")*PJ2MW,"")</f>
        <v>0</v>
      </c>
      <c r="F359" s="48">
        <f>IFERROR(SUMIFS(Infrastructure[2024],Infrastructure[[cluster]:[cluster]],"="&amp;$B359,Infrastructure[[variable_type]:[variable_type]],"H2_pipe_available_capacity")*PJ2MW,"")</f>
        <v>0</v>
      </c>
      <c r="G359" s="48">
        <f>IFERROR(SUMIFS(Infrastructure[2025],Infrastructure[[cluster]:[cluster]],"="&amp;$B359,Infrastructure[[variable_type]:[variable_type]],"H2_pipe_available_capacity")*PJ2MW,"")</f>
        <v>0</v>
      </c>
      <c r="H359" s="48">
        <f>IFERROR(SUMIFS(Infrastructure[2026],Infrastructure[[cluster]:[cluster]],"="&amp;$B359,Infrastructure[[variable_type]:[variable_type]],"H2_pipe_available_capacity")*PJ2MW,"")</f>
        <v>0</v>
      </c>
      <c r="I359" s="48">
        <f>IFERROR(SUMIFS(Infrastructure[2027],Infrastructure[[cluster]:[cluster]],"="&amp;$B359,Infrastructure[[variable_type]:[variable_type]],"H2_pipe_available_capacity")*PJ2MW,"")</f>
        <v>0</v>
      </c>
      <c r="J359" s="48">
        <f>IFERROR(SUMIFS(Infrastructure[2028],Infrastructure[[cluster]:[cluster]],"="&amp;$B359,Infrastructure[[variable_type]:[variable_type]],"H2_pipe_available_capacity")*PJ2MW,"")</f>
        <v>0</v>
      </c>
      <c r="K359" s="48">
        <f>IFERROR(SUMIFS(Infrastructure[2029],Infrastructure[[cluster]:[cluster]],"="&amp;$B359,Infrastructure[[variable_type]:[variable_type]],"H2_pipe_available_capacity")*PJ2MW,"")</f>
        <v>0</v>
      </c>
      <c r="L359" s="48">
        <f>IFERROR(SUMIFS(Infrastructure[2030],Infrastructure[[cluster]:[cluster]],"="&amp;$B359,Infrastructure[[variable_type]:[variable_type]],"H2_pipe_available_capacity")*PJ2MW,"")</f>
        <v>0</v>
      </c>
      <c r="M359" s="48">
        <f>IFERROR(SUMIFS(Infrastructure[2031],Infrastructure[[cluster]:[cluster]],"="&amp;$B359,Infrastructure[[variable_type]:[variable_type]],"H2_pipe_available_capacity")*PJ2MW,"")</f>
        <v>0</v>
      </c>
      <c r="N359" s="48">
        <f>IFERROR(SUMIFS(Infrastructure[2032],Infrastructure[[cluster]:[cluster]],"="&amp;$B359,Infrastructure[[variable_type]:[variable_type]],"H2_pipe_available_capacity")*PJ2MW,"")</f>
        <v>0</v>
      </c>
      <c r="O359" s="48">
        <f>IFERROR(SUMIFS(Infrastructure[2033],Infrastructure[[cluster]:[cluster]],"="&amp;$B359,Infrastructure[[variable_type]:[variable_type]],"H2_pipe_available_capacity")*PJ2MW,"")</f>
        <v>0</v>
      </c>
      <c r="P359" s="48">
        <f>IFERROR(SUMIFS(Infrastructure[2034],Infrastructure[[cluster]:[cluster]],"="&amp;$B359,Infrastructure[[variable_type]:[variable_type]],"H2_pipe_available_capacity")*PJ2MW,"")</f>
        <v>0</v>
      </c>
      <c r="Q359" s="48">
        <f>IFERROR(SUMIFS(Infrastructure[2035],Infrastructure[[cluster]:[cluster]],"="&amp;$B359,Infrastructure[[variable_type]:[variable_type]],"H2_pipe_available_capacity")*PJ2MW,"")</f>
        <v>0</v>
      </c>
      <c r="R359" s="48">
        <f>IFERROR(SUMIFS(Infrastructure[2036],Infrastructure[[cluster]:[cluster]],"="&amp;$B359,Infrastructure[[variable_type]:[variable_type]],"H2_pipe_available_capacity")*PJ2MW,"")</f>
        <v>0</v>
      </c>
      <c r="S359" s="48">
        <f>IFERROR(SUMIFS(Infrastructure[2037],Infrastructure[[cluster]:[cluster]],"="&amp;$B359,Infrastructure[[variable_type]:[variable_type]],"H2_pipe_available_capacity")*PJ2MW,"")</f>
        <v>0</v>
      </c>
      <c r="T359" s="48">
        <f>IFERROR(SUMIFS(Infrastructure[2038],Infrastructure[[cluster]:[cluster]],"="&amp;$B359,Infrastructure[[variable_type]:[variable_type]],"H2_pipe_available_capacity")*PJ2MW,"")</f>
        <v>0</v>
      </c>
      <c r="U359" s="48">
        <f>IFERROR(SUMIFS(Infrastructure[2039],Infrastructure[[cluster]:[cluster]],"="&amp;$B359,Infrastructure[[variable_type]:[variable_type]],"H2_pipe_available_capacity")*PJ2MW,"")</f>
        <v>0</v>
      </c>
      <c r="V359" s="48">
        <f>IFERROR(SUMIFS(Infrastructure[2040],Infrastructure[[cluster]:[cluster]],"="&amp;$B359,Infrastructure[[variable_type]:[variable_type]],"H2_pipe_available_capacity")*PJ2MW,"")</f>
        <v>0</v>
      </c>
      <c r="W359" s="48">
        <f>IFERROR(SUMIFS(Infrastructure[2041],Infrastructure[[cluster]:[cluster]],"="&amp;$B359,Infrastructure[[variable_type]:[variable_type]],"H2_pipe_available_capacity")*PJ2MW,"")</f>
        <v>0</v>
      </c>
      <c r="X359" s="48">
        <f>IFERROR(SUMIFS(Infrastructure[2042],Infrastructure[[cluster]:[cluster]],"="&amp;$B359,Infrastructure[[variable_type]:[variable_type]],"H2_pipe_available_capacity")*PJ2MW,"")</f>
        <v>0</v>
      </c>
      <c r="Y359" s="48">
        <f>IFERROR(SUMIFS(Infrastructure[2043],Infrastructure[[cluster]:[cluster]],"="&amp;$B359,Infrastructure[[variable_type]:[variable_type]],"H2_pipe_available_capacity")*PJ2MW,"")</f>
        <v>0</v>
      </c>
      <c r="Z359" s="48">
        <f>IFERROR(SUMIFS(Infrastructure[2044],Infrastructure[[cluster]:[cluster]],"="&amp;$B359,Infrastructure[[variable_type]:[variable_type]],"H2_pipe_available_capacity")*PJ2MW,"")</f>
        <v>0</v>
      </c>
      <c r="AA359" s="48">
        <f>IFERROR(SUMIFS(Infrastructure[2045],Infrastructure[[cluster]:[cluster]],"="&amp;$B359,Infrastructure[[variable_type]:[variable_type]],"H2_pipe_available_capacity")*PJ2MW,"")</f>
        <v>0</v>
      </c>
      <c r="AB359" s="48">
        <f>IFERROR(SUMIFS(Infrastructure[2046],Infrastructure[[cluster]:[cluster]],"="&amp;$B359,Infrastructure[[variable_type]:[variable_type]],"H2_pipe_available_capacity")*PJ2MW,"")</f>
        <v>0</v>
      </c>
      <c r="AC359" s="48">
        <f>IFERROR(SUMIFS(Infrastructure[2047],Infrastructure[[cluster]:[cluster]],"="&amp;$B359,Infrastructure[[variable_type]:[variable_type]],"H2_pipe_available_capacity")*PJ2MW,"")</f>
        <v>0</v>
      </c>
      <c r="AD359" s="48">
        <f>IFERROR(SUMIFS(Infrastructure[2048],Infrastructure[[cluster]:[cluster]],"="&amp;$B359,Infrastructure[[variable_type]:[variable_type]],"H2_pipe_available_capacity")*PJ2MW,"")</f>
        <v>0</v>
      </c>
      <c r="AE359" s="48">
        <f>IFERROR(SUMIFS(Infrastructure[2049],Infrastructure[[cluster]:[cluster]],"="&amp;$B359,Infrastructure[[variable_type]:[variable_type]],"H2_pipe_available_capacity")*PJ2MW,"")</f>
        <v>0</v>
      </c>
      <c r="AF359" s="48">
        <f>IFERROR(SUMIFS(Infrastructure[2050],Infrastructure[[cluster]:[cluster]],"="&amp;$B359,Infrastructure[[variable_type]:[variable_type]],"H2_pipe_available_capacity")*PJ2MW,"")</f>
        <v>0</v>
      </c>
      <c r="AG359" s="48">
        <f>IFERROR(SUMIFS(Infrastructure[2051],Infrastructure[[cluster]:[cluster]],"="&amp;$B359,Infrastructure[[variable_type]:[variable_type]],"H2_pipe_available_capacity")*PJ2MW,"")</f>
        <v>0</v>
      </c>
    </row>
    <row r="360" spans="1:33" x14ac:dyDescent="0.45">
      <c r="B360" t="s">
        <v>72</v>
      </c>
      <c r="C360" s="48">
        <f>IFERROR(SUMIFS(Infrastructure[2021],Infrastructure[[cluster]:[cluster]],"="&amp;$B360,Infrastructure[[variable_type]:[variable_type]],"H2_pipe_available_capacity")*PJ2MW,"")</f>
        <v>0</v>
      </c>
      <c r="D360" s="48">
        <f>IFERROR(SUMIFS(Infrastructure[2022],Infrastructure[[cluster]:[cluster]],"="&amp;$B360,Infrastructure[[variable_type]:[variable_type]],"H2_pipe_available_capacity")*PJ2MW,"")</f>
        <v>0</v>
      </c>
      <c r="E360" s="48">
        <f>IFERROR(SUMIFS(Infrastructure[2023],Infrastructure[[cluster]:[cluster]],"="&amp;$B360,Infrastructure[[variable_type]:[variable_type]],"H2_pipe_available_capacity")*PJ2MW,"")</f>
        <v>0</v>
      </c>
      <c r="F360" s="48">
        <f>IFERROR(SUMIFS(Infrastructure[2024],Infrastructure[[cluster]:[cluster]],"="&amp;$B360,Infrastructure[[variable_type]:[variable_type]],"H2_pipe_available_capacity")*PJ2MW,"")</f>
        <v>0</v>
      </c>
      <c r="G360" s="48">
        <f>IFERROR(SUMIFS(Infrastructure[2025],Infrastructure[[cluster]:[cluster]],"="&amp;$B360,Infrastructure[[variable_type]:[variable_type]],"H2_pipe_available_capacity")*PJ2MW,"")</f>
        <v>0</v>
      </c>
      <c r="H360" s="48">
        <f>IFERROR(SUMIFS(Infrastructure[2026],Infrastructure[[cluster]:[cluster]],"="&amp;$B360,Infrastructure[[variable_type]:[variable_type]],"H2_pipe_available_capacity")*PJ2MW,"")</f>
        <v>0</v>
      </c>
      <c r="I360" s="48">
        <f>IFERROR(SUMIFS(Infrastructure[2027],Infrastructure[[cluster]:[cluster]],"="&amp;$B360,Infrastructure[[variable_type]:[variable_type]],"H2_pipe_available_capacity")*PJ2MW,"")</f>
        <v>0</v>
      </c>
      <c r="J360" s="48">
        <f>IFERROR(SUMIFS(Infrastructure[2028],Infrastructure[[cluster]:[cluster]],"="&amp;$B360,Infrastructure[[variable_type]:[variable_type]],"H2_pipe_available_capacity")*PJ2MW,"")</f>
        <v>0</v>
      </c>
      <c r="K360" s="48">
        <f>IFERROR(SUMIFS(Infrastructure[2029],Infrastructure[[cluster]:[cluster]],"="&amp;$B360,Infrastructure[[variable_type]:[variable_type]],"H2_pipe_available_capacity")*PJ2MW,"")</f>
        <v>0</v>
      </c>
      <c r="L360" s="48">
        <f>IFERROR(SUMIFS(Infrastructure[2030],Infrastructure[[cluster]:[cluster]],"="&amp;$B360,Infrastructure[[variable_type]:[variable_type]],"H2_pipe_available_capacity")*PJ2MW,"")</f>
        <v>0</v>
      </c>
      <c r="M360" s="48">
        <f>IFERROR(SUMIFS(Infrastructure[2031],Infrastructure[[cluster]:[cluster]],"="&amp;$B360,Infrastructure[[variable_type]:[variable_type]],"H2_pipe_available_capacity")*PJ2MW,"")</f>
        <v>0</v>
      </c>
      <c r="N360" s="48">
        <f>IFERROR(SUMIFS(Infrastructure[2032],Infrastructure[[cluster]:[cluster]],"="&amp;$B360,Infrastructure[[variable_type]:[variable_type]],"H2_pipe_available_capacity")*PJ2MW,"")</f>
        <v>0</v>
      </c>
      <c r="O360" s="48">
        <f>IFERROR(SUMIFS(Infrastructure[2033],Infrastructure[[cluster]:[cluster]],"="&amp;$B360,Infrastructure[[variable_type]:[variable_type]],"H2_pipe_available_capacity")*PJ2MW,"")</f>
        <v>0</v>
      </c>
      <c r="P360" s="48">
        <f>IFERROR(SUMIFS(Infrastructure[2034],Infrastructure[[cluster]:[cluster]],"="&amp;$B360,Infrastructure[[variable_type]:[variable_type]],"H2_pipe_available_capacity")*PJ2MW,"")</f>
        <v>0</v>
      </c>
      <c r="Q360" s="48">
        <f>IFERROR(SUMIFS(Infrastructure[2035],Infrastructure[[cluster]:[cluster]],"="&amp;$B360,Infrastructure[[variable_type]:[variable_type]],"H2_pipe_available_capacity")*PJ2MW,"")</f>
        <v>0</v>
      </c>
      <c r="R360" s="48">
        <f>IFERROR(SUMIFS(Infrastructure[2036],Infrastructure[[cluster]:[cluster]],"="&amp;$B360,Infrastructure[[variable_type]:[variable_type]],"H2_pipe_available_capacity")*PJ2MW,"")</f>
        <v>0</v>
      </c>
      <c r="S360" s="48">
        <f>IFERROR(SUMIFS(Infrastructure[2037],Infrastructure[[cluster]:[cluster]],"="&amp;$B360,Infrastructure[[variable_type]:[variable_type]],"H2_pipe_available_capacity")*PJ2MW,"")</f>
        <v>0</v>
      </c>
      <c r="T360" s="48">
        <f>IFERROR(SUMIFS(Infrastructure[2038],Infrastructure[[cluster]:[cluster]],"="&amp;$B360,Infrastructure[[variable_type]:[variable_type]],"H2_pipe_available_capacity")*PJ2MW,"")</f>
        <v>0</v>
      </c>
      <c r="U360" s="48">
        <f>IFERROR(SUMIFS(Infrastructure[2039],Infrastructure[[cluster]:[cluster]],"="&amp;$B360,Infrastructure[[variable_type]:[variable_type]],"H2_pipe_available_capacity")*PJ2MW,"")</f>
        <v>0</v>
      </c>
      <c r="V360" s="48">
        <f>IFERROR(SUMIFS(Infrastructure[2040],Infrastructure[[cluster]:[cluster]],"="&amp;$B360,Infrastructure[[variable_type]:[variable_type]],"H2_pipe_available_capacity")*PJ2MW,"")</f>
        <v>0</v>
      </c>
      <c r="W360" s="48">
        <f>IFERROR(SUMIFS(Infrastructure[2041],Infrastructure[[cluster]:[cluster]],"="&amp;$B360,Infrastructure[[variable_type]:[variable_type]],"H2_pipe_available_capacity")*PJ2MW,"")</f>
        <v>0</v>
      </c>
      <c r="X360" s="48">
        <f>IFERROR(SUMIFS(Infrastructure[2042],Infrastructure[[cluster]:[cluster]],"="&amp;$B360,Infrastructure[[variable_type]:[variable_type]],"H2_pipe_available_capacity")*PJ2MW,"")</f>
        <v>0</v>
      </c>
      <c r="Y360" s="48">
        <f>IFERROR(SUMIFS(Infrastructure[2043],Infrastructure[[cluster]:[cluster]],"="&amp;$B360,Infrastructure[[variable_type]:[variable_type]],"H2_pipe_available_capacity")*PJ2MW,"")</f>
        <v>0</v>
      </c>
      <c r="Z360" s="48">
        <f>IFERROR(SUMIFS(Infrastructure[2044],Infrastructure[[cluster]:[cluster]],"="&amp;$B360,Infrastructure[[variable_type]:[variable_type]],"H2_pipe_available_capacity")*PJ2MW,"")</f>
        <v>0</v>
      </c>
      <c r="AA360" s="48">
        <f>IFERROR(SUMIFS(Infrastructure[2045],Infrastructure[[cluster]:[cluster]],"="&amp;$B360,Infrastructure[[variable_type]:[variable_type]],"H2_pipe_available_capacity")*PJ2MW,"")</f>
        <v>0</v>
      </c>
      <c r="AB360" s="48">
        <f>IFERROR(SUMIFS(Infrastructure[2046],Infrastructure[[cluster]:[cluster]],"="&amp;$B360,Infrastructure[[variable_type]:[variable_type]],"H2_pipe_available_capacity")*PJ2MW,"")</f>
        <v>0</v>
      </c>
      <c r="AC360" s="48">
        <f>IFERROR(SUMIFS(Infrastructure[2047],Infrastructure[[cluster]:[cluster]],"="&amp;$B360,Infrastructure[[variable_type]:[variable_type]],"H2_pipe_available_capacity")*PJ2MW,"")</f>
        <v>0</v>
      </c>
      <c r="AD360" s="48">
        <f>IFERROR(SUMIFS(Infrastructure[2048],Infrastructure[[cluster]:[cluster]],"="&amp;$B360,Infrastructure[[variable_type]:[variable_type]],"H2_pipe_available_capacity")*PJ2MW,"")</f>
        <v>0</v>
      </c>
      <c r="AE360" s="48">
        <f>IFERROR(SUMIFS(Infrastructure[2049],Infrastructure[[cluster]:[cluster]],"="&amp;$B360,Infrastructure[[variable_type]:[variable_type]],"H2_pipe_available_capacity")*PJ2MW,"")</f>
        <v>0</v>
      </c>
      <c r="AF360" s="48">
        <f>IFERROR(SUMIFS(Infrastructure[2050],Infrastructure[[cluster]:[cluster]],"="&amp;$B360,Infrastructure[[variable_type]:[variable_type]],"H2_pipe_available_capacity")*PJ2MW,"")</f>
        <v>0</v>
      </c>
      <c r="AG360" s="48">
        <f>IFERROR(SUMIFS(Infrastructure[2051],Infrastructure[[cluster]:[cluster]],"="&amp;$B360,Infrastructure[[variable_type]:[variable_type]],"H2_pipe_available_capacity")*PJ2MW,"")</f>
        <v>0</v>
      </c>
    </row>
    <row r="361" spans="1:33" x14ac:dyDescent="0.45">
      <c r="B361" t="s">
        <v>73</v>
      </c>
      <c r="C361" s="48">
        <f>IFERROR(SUMIFS(Infrastructure[2021],Infrastructure[[cluster]:[cluster]],"="&amp;$B361,Infrastructure[[variable_type]:[variable_type]],"H2_pipe_available_capacity")*PJ2MW,"")</f>
        <v>0</v>
      </c>
      <c r="D361" s="48">
        <f>IFERROR(SUMIFS(Infrastructure[2022],Infrastructure[[cluster]:[cluster]],"="&amp;$B361,Infrastructure[[variable_type]:[variable_type]],"H2_pipe_available_capacity")*PJ2MW,"")</f>
        <v>0</v>
      </c>
      <c r="E361" s="48">
        <f>IFERROR(SUMIFS(Infrastructure[2023],Infrastructure[[cluster]:[cluster]],"="&amp;$B361,Infrastructure[[variable_type]:[variable_type]],"H2_pipe_available_capacity")*PJ2MW,"")</f>
        <v>0</v>
      </c>
      <c r="F361" s="48">
        <f>IFERROR(SUMIFS(Infrastructure[2024],Infrastructure[[cluster]:[cluster]],"="&amp;$B361,Infrastructure[[variable_type]:[variable_type]],"H2_pipe_available_capacity")*PJ2MW,"")</f>
        <v>0</v>
      </c>
      <c r="G361" s="48">
        <f>IFERROR(SUMIFS(Infrastructure[2025],Infrastructure[[cluster]:[cluster]],"="&amp;$B361,Infrastructure[[variable_type]:[variable_type]],"H2_pipe_available_capacity")*PJ2MW,"")</f>
        <v>0</v>
      </c>
      <c r="H361" s="48">
        <f>IFERROR(SUMIFS(Infrastructure[2026],Infrastructure[[cluster]:[cluster]],"="&amp;$B361,Infrastructure[[variable_type]:[variable_type]],"H2_pipe_available_capacity")*PJ2MW,"")</f>
        <v>0</v>
      </c>
      <c r="I361" s="48">
        <f>IFERROR(SUMIFS(Infrastructure[2027],Infrastructure[[cluster]:[cluster]],"="&amp;$B361,Infrastructure[[variable_type]:[variable_type]],"H2_pipe_available_capacity")*PJ2MW,"")</f>
        <v>0</v>
      </c>
      <c r="J361" s="48">
        <f>IFERROR(SUMIFS(Infrastructure[2028],Infrastructure[[cluster]:[cluster]],"="&amp;$B361,Infrastructure[[variable_type]:[variable_type]],"H2_pipe_available_capacity")*PJ2MW,"")</f>
        <v>0</v>
      </c>
      <c r="K361" s="48">
        <f>IFERROR(SUMIFS(Infrastructure[2029],Infrastructure[[cluster]:[cluster]],"="&amp;$B361,Infrastructure[[variable_type]:[variable_type]],"H2_pipe_available_capacity")*PJ2MW,"")</f>
        <v>0</v>
      </c>
      <c r="L361" s="48">
        <f>IFERROR(SUMIFS(Infrastructure[2030],Infrastructure[[cluster]:[cluster]],"="&amp;$B361,Infrastructure[[variable_type]:[variable_type]],"H2_pipe_available_capacity")*PJ2MW,"")</f>
        <v>0</v>
      </c>
      <c r="M361" s="48">
        <f>IFERROR(SUMIFS(Infrastructure[2031],Infrastructure[[cluster]:[cluster]],"="&amp;$B361,Infrastructure[[variable_type]:[variable_type]],"H2_pipe_available_capacity")*PJ2MW,"")</f>
        <v>0</v>
      </c>
      <c r="N361" s="48">
        <f>IFERROR(SUMIFS(Infrastructure[2032],Infrastructure[[cluster]:[cluster]],"="&amp;$B361,Infrastructure[[variable_type]:[variable_type]],"H2_pipe_available_capacity")*PJ2MW,"")</f>
        <v>0</v>
      </c>
      <c r="O361" s="48">
        <f>IFERROR(SUMIFS(Infrastructure[2033],Infrastructure[[cluster]:[cluster]],"="&amp;$B361,Infrastructure[[variable_type]:[variable_type]],"H2_pipe_available_capacity")*PJ2MW,"")</f>
        <v>0</v>
      </c>
      <c r="P361" s="48">
        <f>IFERROR(SUMIFS(Infrastructure[2034],Infrastructure[[cluster]:[cluster]],"="&amp;$B361,Infrastructure[[variable_type]:[variable_type]],"H2_pipe_available_capacity")*PJ2MW,"")</f>
        <v>0</v>
      </c>
      <c r="Q361" s="48">
        <f>IFERROR(SUMIFS(Infrastructure[2035],Infrastructure[[cluster]:[cluster]],"="&amp;$B361,Infrastructure[[variable_type]:[variable_type]],"H2_pipe_available_capacity")*PJ2MW,"")</f>
        <v>0</v>
      </c>
      <c r="R361" s="48">
        <f>IFERROR(SUMIFS(Infrastructure[2036],Infrastructure[[cluster]:[cluster]],"="&amp;$B361,Infrastructure[[variable_type]:[variable_type]],"H2_pipe_available_capacity")*PJ2MW,"")</f>
        <v>0</v>
      </c>
      <c r="S361" s="48">
        <f>IFERROR(SUMIFS(Infrastructure[2037],Infrastructure[[cluster]:[cluster]],"="&amp;$B361,Infrastructure[[variable_type]:[variable_type]],"H2_pipe_available_capacity")*PJ2MW,"")</f>
        <v>0</v>
      </c>
      <c r="T361" s="48">
        <f>IFERROR(SUMIFS(Infrastructure[2038],Infrastructure[[cluster]:[cluster]],"="&amp;$B361,Infrastructure[[variable_type]:[variable_type]],"H2_pipe_available_capacity")*PJ2MW,"")</f>
        <v>0</v>
      </c>
      <c r="U361" s="48">
        <f>IFERROR(SUMIFS(Infrastructure[2039],Infrastructure[[cluster]:[cluster]],"="&amp;$B361,Infrastructure[[variable_type]:[variable_type]],"H2_pipe_available_capacity")*PJ2MW,"")</f>
        <v>0</v>
      </c>
      <c r="V361" s="48">
        <f>IFERROR(SUMIFS(Infrastructure[2040],Infrastructure[[cluster]:[cluster]],"="&amp;$B361,Infrastructure[[variable_type]:[variable_type]],"H2_pipe_available_capacity")*PJ2MW,"")</f>
        <v>0</v>
      </c>
      <c r="W361" s="48">
        <f>IFERROR(SUMIFS(Infrastructure[2041],Infrastructure[[cluster]:[cluster]],"="&amp;$B361,Infrastructure[[variable_type]:[variable_type]],"H2_pipe_available_capacity")*PJ2MW,"")</f>
        <v>0</v>
      </c>
      <c r="X361" s="48">
        <f>IFERROR(SUMIFS(Infrastructure[2042],Infrastructure[[cluster]:[cluster]],"="&amp;$B361,Infrastructure[[variable_type]:[variable_type]],"H2_pipe_available_capacity")*PJ2MW,"")</f>
        <v>0</v>
      </c>
      <c r="Y361" s="48">
        <f>IFERROR(SUMIFS(Infrastructure[2043],Infrastructure[[cluster]:[cluster]],"="&amp;$B361,Infrastructure[[variable_type]:[variable_type]],"H2_pipe_available_capacity")*PJ2MW,"")</f>
        <v>0</v>
      </c>
      <c r="Z361" s="48">
        <f>IFERROR(SUMIFS(Infrastructure[2044],Infrastructure[[cluster]:[cluster]],"="&amp;$B361,Infrastructure[[variable_type]:[variable_type]],"H2_pipe_available_capacity")*PJ2MW,"")</f>
        <v>0</v>
      </c>
      <c r="AA361" s="48">
        <f>IFERROR(SUMIFS(Infrastructure[2045],Infrastructure[[cluster]:[cluster]],"="&amp;$B361,Infrastructure[[variable_type]:[variable_type]],"H2_pipe_available_capacity")*PJ2MW,"")</f>
        <v>0</v>
      </c>
      <c r="AB361" s="48">
        <f>IFERROR(SUMIFS(Infrastructure[2046],Infrastructure[[cluster]:[cluster]],"="&amp;$B361,Infrastructure[[variable_type]:[variable_type]],"H2_pipe_available_capacity")*PJ2MW,"")</f>
        <v>0</v>
      </c>
      <c r="AC361" s="48">
        <f>IFERROR(SUMIFS(Infrastructure[2047],Infrastructure[[cluster]:[cluster]],"="&amp;$B361,Infrastructure[[variable_type]:[variable_type]],"H2_pipe_available_capacity")*PJ2MW,"")</f>
        <v>0</v>
      </c>
      <c r="AD361" s="48">
        <f>IFERROR(SUMIFS(Infrastructure[2048],Infrastructure[[cluster]:[cluster]],"="&amp;$B361,Infrastructure[[variable_type]:[variable_type]],"H2_pipe_available_capacity")*PJ2MW,"")</f>
        <v>0</v>
      </c>
      <c r="AE361" s="48">
        <f>IFERROR(SUMIFS(Infrastructure[2049],Infrastructure[[cluster]:[cluster]],"="&amp;$B361,Infrastructure[[variable_type]:[variable_type]],"H2_pipe_available_capacity")*PJ2MW,"")</f>
        <v>0</v>
      </c>
      <c r="AF361" s="48">
        <f>IFERROR(SUMIFS(Infrastructure[2050],Infrastructure[[cluster]:[cluster]],"="&amp;$B361,Infrastructure[[variable_type]:[variable_type]],"H2_pipe_available_capacity")*PJ2MW,"")</f>
        <v>0</v>
      </c>
      <c r="AG361" s="48">
        <f>IFERROR(SUMIFS(Infrastructure[2051],Infrastructure[[cluster]:[cluster]],"="&amp;$B361,Infrastructure[[variable_type]:[variable_type]],"H2_pipe_available_capacity")*PJ2MW,"")</f>
        <v>0</v>
      </c>
    </row>
    <row r="362" spans="1:33" x14ac:dyDescent="0.45">
      <c r="B362" t="s">
        <v>74</v>
      </c>
      <c r="C362" s="48">
        <f>IFERROR(SUMIFS(Infrastructure[2021],Infrastructure[[cluster]:[cluster]],"="&amp;$B362,Infrastructure[[variable_type]:[variable_type]],"H2_pipe_available_capacity")*PJ2MW,"")</f>
        <v>0</v>
      </c>
      <c r="D362" s="48">
        <f>IFERROR(SUMIFS(Infrastructure[2022],Infrastructure[[cluster]:[cluster]],"="&amp;$B362,Infrastructure[[variable_type]:[variable_type]],"H2_pipe_available_capacity")*PJ2MW,"")</f>
        <v>0</v>
      </c>
      <c r="E362" s="48">
        <f>IFERROR(SUMIFS(Infrastructure[2023],Infrastructure[[cluster]:[cluster]],"="&amp;$B362,Infrastructure[[variable_type]:[variable_type]],"H2_pipe_available_capacity")*PJ2MW,"")</f>
        <v>0</v>
      </c>
      <c r="F362" s="48">
        <f>IFERROR(SUMIFS(Infrastructure[2024],Infrastructure[[cluster]:[cluster]],"="&amp;$B362,Infrastructure[[variable_type]:[variable_type]],"H2_pipe_available_capacity")*PJ2MW,"")</f>
        <v>0</v>
      </c>
      <c r="G362" s="48">
        <f>IFERROR(SUMIFS(Infrastructure[2025],Infrastructure[[cluster]:[cluster]],"="&amp;$B362,Infrastructure[[variable_type]:[variable_type]],"H2_pipe_available_capacity")*PJ2MW,"")</f>
        <v>0</v>
      </c>
      <c r="H362" s="48">
        <f>IFERROR(SUMIFS(Infrastructure[2026],Infrastructure[[cluster]:[cluster]],"="&amp;$B362,Infrastructure[[variable_type]:[variable_type]],"H2_pipe_available_capacity")*PJ2MW,"")</f>
        <v>0</v>
      </c>
      <c r="I362" s="48">
        <f>IFERROR(SUMIFS(Infrastructure[2027],Infrastructure[[cluster]:[cluster]],"="&amp;$B362,Infrastructure[[variable_type]:[variable_type]],"H2_pipe_available_capacity")*PJ2MW,"")</f>
        <v>0</v>
      </c>
      <c r="J362" s="48">
        <f>IFERROR(SUMIFS(Infrastructure[2028],Infrastructure[[cluster]:[cluster]],"="&amp;$B362,Infrastructure[[variable_type]:[variable_type]],"H2_pipe_available_capacity")*PJ2MW,"")</f>
        <v>0</v>
      </c>
      <c r="K362" s="48">
        <f>IFERROR(SUMIFS(Infrastructure[2029],Infrastructure[[cluster]:[cluster]],"="&amp;$B362,Infrastructure[[variable_type]:[variable_type]],"H2_pipe_available_capacity")*PJ2MW,"")</f>
        <v>0</v>
      </c>
      <c r="L362" s="48">
        <f>IFERROR(SUMIFS(Infrastructure[2030],Infrastructure[[cluster]:[cluster]],"="&amp;$B362,Infrastructure[[variable_type]:[variable_type]],"H2_pipe_available_capacity")*PJ2MW,"")</f>
        <v>0</v>
      </c>
      <c r="M362" s="48">
        <f>IFERROR(SUMIFS(Infrastructure[2031],Infrastructure[[cluster]:[cluster]],"="&amp;$B362,Infrastructure[[variable_type]:[variable_type]],"H2_pipe_available_capacity")*PJ2MW,"")</f>
        <v>0</v>
      </c>
      <c r="N362" s="48">
        <f>IFERROR(SUMIFS(Infrastructure[2032],Infrastructure[[cluster]:[cluster]],"="&amp;$B362,Infrastructure[[variable_type]:[variable_type]],"H2_pipe_available_capacity")*PJ2MW,"")</f>
        <v>0</v>
      </c>
      <c r="O362" s="48">
        <f>IFERROR(SUMIFS(Infrastructure[2033],Infrastructure[[cluster]:[cluster]],"="&amp;$B362,Infrastructure[[variable_type]:[variable_type]],"H2_pipe_available_capacity")*PJ2MW,"")</f>
        <v>0</v>
      </c>
      <c r="P362" s="48">
        <f>IFERROR(SUMIFS(Infrastructure[2034],Infrastructure[[cluster]:[cluster]],"="&amp;$B362,Infrastructure[[variable_type]:[variable_type]],"H2_pipe_available_capacity")*PJ2MW,"")</f>
        <v>0</v>
      </c>
      <c r="Q362" s="48">
        <f>IFERROR(SUMIFS(Infrastructure[2035],Infrastructure[[cluster]:[cluster]],"="&amp;$B362,Infrastructure[[variable_type]:[variable_type]],"H2_pipe_available_capacity")*PJ2MW,"")</f>
        <v>0</v>
      </c>
      <c r="R362" s="48">
        <f>IFERROR(SUMIFS(Infrastructure[2036],Infrastructure[[cluster]:[cluster]],"="&amp;$B362,Infrastructure[[variable_type]:[variable_type]],"H2_pipe_available_capacity")*PJ2MW,"")</f>
        <v>0</v>
      </c>
      <c r="S362" s="48">
        <f>IFERROR(SUMIFS(Infrastructure[2037],Infrastructure[[cluster]:[cluster]],"="&amp;$B362,Infrastructure[[variable_type]:[variable_type]],"H2_pipe_available_capacity")*PJ2MW,"")</f>
        <v>0</v>
      </c>
      <c r="T362" s="48">
        <f>IFERROR(SUMIFS(Infrastructure[2038],Infrastructure[[cluster]:[cluster]],"="&amp;$B362,Infrastructure[[variable_type]:[variable_type]],"H2_pipe_available_capacity")*PJ2MW,"")</f>
        <v>0</v>
      </c>
      <c r="U362" s="48">
        <f>IFERROR(SUMIFS(Infrastructure[2039],Infrastructure[[cluster]:[cluster]],"="&amp;$B362,Infrastructure[[variable_type]:[variable_type]],"H2_pipe_available_capacity")*PJ2MW,"")</f>
        <v>0</v>
      </c>
      <c r="V362" s="48">
        <f>IFERROR(SUMIFS(Infrastructure[2040],Infrastructure[[cluster]:[cluster]],"="&amp;$B362,Infrastructure[[variable_type]:[variable_type]],"H2_pipe_available_capacity")*PJ2MW,"")</f>
        <v>0</v>
      </c>
      <c r="W362" s="48">
        <f>IFERROR(SUMIFS(Infrastructure[2041],Infrastructure[[cluster]:[cluster]],"="&amp;$B362,Infrastructure[[variable_type]:[variable_type]],"H2_pipe_available_capacity")*PJ2MW,"")</f>
        <v>0</v>
      </c>
      <c r="X362" s="48">
        <f>IFERROR(SUMIFS(Infrastructure[2042],Infrastructure[[cluster]:[cluster]],"="&amp;$B362,Infrastructure[[variable_type]:[variable_type]],"H2_pipe_available_capacity")*PJ2MW,"")</f>
        <v>0</v>
      </c>
      <c r="Y362" s="48">
        <f>IFERROR(SUMIFS(Infrastructure[2043],Infrastructure[[cluster]:[cluster]],"="&amp;$B362,Infrastructure[[variable_type]:[variable_type]],"H2_pipe_available_capacity")*PJ2MW,"")</f>
        <v>0</v>
      </c>
      <c r="Z362" s="48">
        <f>IFERROR(SUMIFS(Infrastructure[2044],Infrastructure[[cluster]:[cluster]],"="&amp;$B362,Infrastructure[[variable_type]:[variable_type]],"H2_pipe_available_capacity")*PJ2MW,"")</f>
        <v>0</v>
      </c>
      <c r="AA362" s="48">
        <f>IFERROR(SUMIFS(Infrastructure[2045],Infrastructure[[cluster]:[cluster]],"="&amp;$B362,Infrastructure[[variable_type]:[variable_type]],"H2_pipe_available_capacity")*PJ2MW,"")</f>
        <v>0</v>
      </c>
      <c r="AB362" s="48">
        <f>IFERROR(SUMIFS(Infrastructure[2046],Infrastructure[[cluster]:[cluster]],"="&amp;$B362,Infrastructure[[variable_type]:[variable_type]],"H2_pipe_available_capacity")*PJ2MW,"")</f>
        <v>0</v>
      </c>
      <c r="AC362" s="48">
        <f>IFERROR(SUMIFS(Infrastructure[2047],Infrastructure[[cluster]:[cluster]],"="&amp;$B362,Infrastructure[[variable_type]:[variable_type]],"H2_pipe_available_capacity")*PJ2MW,"")</f>
        <v>0</v>
      </c>
      <c r="AD362" s="48">
        <f>IFERROR(SUMIFS(Infrastructure[2048],Infrastructure[[cluster]:[cluster]],"="&amp;$B362,Infrastructure[[variable_type]:[variable_type]],"H2_pipe_available_capacity")*PJ2MW,"")</f>
        <v>0</v>
      </c>
      <c r="AE362" s="48">
        <f>IFERROR(SUMIFS(Infrastructure[2049],Infrastructure[[cluster]:[cluster]],"="&amp;$B362,Infrastructure[[variable_type]:[variable_type]],"H2_pipe_available_capacity")*PJ2MW,"")</f>
        <v>0</v>
      </c>
      <c r="AF362" s="48">
        <f>IFERROR(SUMIFS(Infrastructure[2050],Infrastructure[[cluster]:[cluster]],"="&amp;$B362,Infrastructure[[variable_type]:[variable_type]],"H2_pipe_available_capacity")*PJ2MW,"")</f>
        <v>0</v>
      </c>
      <c r="AG362" s="48">
        <f>IFERROR(SUMIFS(Infrastructure[2051],Infrastructure[[cluster]:[cluster]],"="&amp;$B362,Infrastructure[[variable_type]:[variable_type]],"H2_pipe_available_capacity")*PJ2MW,"")</f>
        <v>0</v>
      </c>
    </row>
    <row r="363" spans="1:33" x14ac:dyDescent="0.45">
      <c r="B363" t="s">
        <v>75</v>
      </c>
      <c r="C363" s="48">
        <f>IFERROR(SUMIFS(Infrastructure[2021],Infrastructure[[cluster]:[cluster]],"="&amp;$B363,Infrastructure[[variable_type]:[variable_type]],"H2_pipe_available_capacity")*PJ2MW,"")</f>
        <v>0</v>
      </c>
      <c r="D363" s="48">
        <f>IFERROR(SUMIFS(Infrastructure[2022],Infrastructure[[cluster]:[cluster]],"="&amp;$B363,Infrastructure[[variable_type]:[variable_type]],"H2_pipe_available_capacity")*PJ2MW,"")</f>
        <v>0</v>
      </c>
      <c r="E363" s="48">
        <f>IFERROR(SUMIFS(Infrastructure[2023],Infrastructure[[cluster]:[cluster]],"="&amp;$B363,Infrastructure[[variable_type]:[variable_type]],"H2_pipe_available_capacity")*PJ2MW,"")</f>
        <v>0</v>
      </c>
      <c r="F363" s="48">
        <f>IFERROR(SUMIFS(Infrastructure[2024],Infrastructure[[cluster]:[cluster]],"="&amp;$B363,Infrastructure[[variable_type]:[variable_type]],"H2_pipe_available_capacity")*PJ2MW,"")</f>
        <v>0</v>
      </c>
      <c r="G363" s="48">
        <f>IFERROR(SUMIFS(Infrastructure[2025],Infrastructure[[cluster]:[cluster]],"="&amp;$B363,Infrastructure[[variable_type]:[variable_type]],"H2_pipe_available_capacity")*PJ2MW,"")</f>
        <v>0</v>
      </c>
      <c r="H363" s="48">
        <f>IFERROR(SUMIFS(Infrastructure[2026],Infrastructure[[cluster]:[cluster]],"="&amp;$B363,Infrastructure[[variable_type]:[variable_type]],"H2_pipe_available_capacity")*PJ2MW,"")</f>
        <v>0</v>
      </c>
      <c r="I363" s="48">
        <f>IFERROR(SUMIFS(Infrastructure[2027],Infrastructure[[cluster]:[cluster]],"="&amp;$B363,Infrastructure[[variable_type]:[variable_type]],"H2_pipe_available_capacity")*PJ2MW,"")</f>
        <v>0</v>
      </c>
      <c r="J363" s="48">
        <f>IFERROR(SUMIFS(Infrastructure[2028],Infrastructure[[cluster]:[cluster]],"="&amp;$B363,Infrastructure[[variable_type]:[variable_type]],"H2_pipe_available_capacity")*PJ2MW,"")</f>
        <v>0</v>
      </c>
      <c r="K363" s="48">
        <f>IFERROR(SUMIFS(Infrastructure[2029],Infrastructure[[cluster]:[cluster]],"="&amp;$B363,Infrastructure[[variable_type]:[variable_type]],"H2_pipe_available_capacity")*PJ2MW,"")</f>
        <v>0</v>
      </c>
      <c r="L363" s="48">
        <f>IFERROR(SUMIFS(Infrastructure[2030],Infrastructure[[cluster]:[cluster]],"="&amp;$B363,Infrastructure[[variable_type]:[variable_type]],"H2_pipe_available_capacity")*PJ2MW,"")</f>
        <v>0</v>
      </c>
      <c r="M363" s="48">
        <f>IFERROR(SUMIFS(Infrastructure[2031],Infrastructure[[cluster]:[cluster]],"="&amp;$B363,Infrastructure[[variable_type]:[variable_type]],"H2_pipe_available_capacity")*PJ2MW,"")</f>
        <v>0</v>
      </c>
      <c r="N363" s="48">
        <f>IFERROR(SUMIFS(Infrastructure[2032],Infrastructure[[cluster]:[cluster]],"="&amp;$B363,Infrastructure[[variable_type]:[variable_type]],"H2_pipe_available_capacity")*PJ2MW,"")</f>
        <v>0</v>
      </c>
      <c r="O363" s="48">
        <f>IFERROR(SUMIFS(Infrastructure[2033],Infrastructure[[cluster]:[cluster]],"="&amp;$B363,Infrastructure[[variable_type]:[variable_type]],"H2_pipe_available_capacity")*PJ2MW,"")</f>
        <v>0</v>
      </c>
      <c r="P363" s="48">
        <f>IFERROR(SUMIFS(Infrastructure[2034],Infrastructure[[cluster]:[cluster]],"="&amp;$B363,Infrastructure[[variable_type]:[variable_type]],"H2_pipe_available_capacity")*PJ2MW,"")</f>
        <v>0</v>
      </c>
      <c r="Q363" s="48">
        <f>IFERROR(SUMIFS(Infrastructure[2035],Infrastructure[[cluster]:[cluster]],"="&amp;$B363,Infrastructure[[variable_type]:[variable_type]],"H2_pipe_available_capacity")*PJ2MW,"")</f>
        <v>0</v>
      </c>
      <c r="R363" s="48">
        <f>IFERROR(SUMIFS(Infrastructure[2036],Infrastructure[[cluster]:[cluster]],"="&amp;$B363,Infrastructure[[variable_type]:[variable_type]],"H2_pipe_available_capacity")*PJ2MW,"")</f>
        <v>0</v>
      </c>
      <c r="S363" s="48">
        <f>IFERROR(SUMIFS(Infrastructure[2037],Infrastructure[[cluster]:[cluster]],"="&amp;$B363,Infrastructure[[variable_type]:[variable_type]],"H2_pipe_available_capacity")*PJ2MW,"")</f>
        <v>0</v>
      </c>
      <c r="T363" s="48">
        <f>IFERROR(SUMIFS(Infrastructure[2038],Infrastructure[[cluster]:[cluster]],"="&amp;$B363,Infrastructure[[variable_type]:[variable_type]],"H2_pipe_available_capacity")*PJ2MW,"")</f>
        <v>0</v>
      </c>
      <c r="U363" s="48">
        <f>IFERROR(SUMIFS(Infrastructure[2039],Infrastructure[[cluster]:[cluster]],"="&amp;$B363,Infrastructure[[variable_type]:[variable_type]],"H2_pipe_available_capacity")*PJ2MW,"")</f>
        <v>0</v>
      </c>
      <c r="V363" s="48">
        <f>IFERROR(SUMIFS(Infrastructure[2040],Infrastructure[[cluster]:[cluster]],"="&amp;$B363,Infrastructure[[variable_type]:[variable_type]],"H2_pipe_available_capacity")*PJ2MW,"")</f>
        <v>0</v>
      </c>
      <c r="W363" s="48">
        <f>IFERROR(SUMIFS(Infrastructure[2041],Infrastructure[[cluster]:[cluster]],"="&amp;$B363,Infrastructure[[variable_type]:[variable_type]],"H2_pipe_available_capacity")*PJ2MW,"")</f>
        <v>0</v>
      </c>
      <c r="X363" s="48">
        <f>IFERROR(SUMIFS(Infrastructure[2042],Infrastructure[[cluster]:[cluster]],"="&amp;$B363,Infrastructure[[variable_type]:[variable_type]],"H2_pipe_available_capacity")*PJ2MW,"")</f>
        <v>0</v>
      </c>
      <c r="Y363" s="48">
        <f>IFERROR(SUMIFS(Infrastructure[2043],Infrastructure[[cluster]:[cluster]],"="&amp;$B363,Infrastructure[[variable_type]:[variable_type]],"H2_pipe_available_capacity")*PJ2MW,"")</f>
        <v>0</v>
      </c>
      <c r="Z363" s="48">
        <f>IFERROR(SUMIFS(Infrastructure[2044],Infrastructure[[cluster]:[cluster]],"="&amp;$B363,Infrastructure[[variable_type]:[variable_type]],"H2_pipe_available_capacity")*PJ2MW,"")</f>
        <v>0</v>
      </c>
      <c r="AA363" s="48">
        <f>IFERROR(SUMIFS(Infrastructure[2045],Infrastructure[[cluster]:[cluster]],"="&amp;$B363,Infrastructure[[variable_type]:[variable_type]],"H2_pipe_available_capacity")*PJ2MW,"")</f>
        <v>0</v>
      </c>
      <c r="AB363" s="48">
        <f>IFERROR(SUMIFS(Infrastructure[2046],Infrastructure[[cluster]:[cluster]],"="&amp;$B363,Infrastructure[[variable_type]:[variable_type]],"H2_pipe_available_capacity")*PJ2MW,"")</f>
        <v>0</v>
      </c>
      <c r="AC363" s="48">
        <f>IFERROR(SUMIFS(Infrastructure[2047],Infrastructure[[cluster]:[cluster]],"="&amp;$B363,Infrastructure[[variable_type]:[variable_type]],"H2_pipe_available_capacity")*PJ2MW,"")</f>
        <v>0</v>
      </c>
      <c r="AD363" s="48">
        <f>IFERROR(SUMIFS(Infrastructure[2048],Infrastructure[[cluster]:[cluster]],"="&amp;$B363,Infrastructure[[variable_type]:[variable_type]],"H2_pipe_available_capacity")*PJ2MW,"")</f>
        <v>0</v>
      </c>
      <c r="AE363" s="48">
        <f>IFERROR(SUMIFS(Infrastructure[2049],Infrastructure[[cluster]:[cluster]],"="&amp;$B363,Infrastructure[[variable_type]:[variable_type]],"H2_pipe_available_capacity")*PJ2MW,"")</f>
        <v>0</v>
      </c>
      <c r="AF363" s="48">
        <f>IFERROR(SUMIFS(Infrastructure[2050],Infrastructure[[cluster]:[cluster]],"="&amp;$B363,Infrastructure[[variable_type]:[variable_type]],"H2_pipe_available_capacity")*PJ2MW,"")</f>
        <v>0</v>
      </c>
      <c r="AG363" s="48">
        <f>IFERROR(SUMIFS(Infrastructure[2051],Infrastructure[[cluster]:[cluster]],"="&amp;$B363,Infrastructure[[variable_type]:[variable_type]],"H2_pipe_available_capacity")*PJ2MW,"")</f>
        <v>0</v>
      </c>
    </row>
    <row r="364" spans="1:33" x14ac:dyDescent="0.45">
      <c r="B364" t="s">
        <v>76</v>
      </c>
      <c r="C364" s="48">
        <f>IFERROR(SUMIFS(Infrastructure[2021],Infrastructure[[cluster]:[cluster]],"="&amp;$B364,Infrastructure[[variable_type]:[variable_type]],"H2_pipe_available_capacity")*PJ2MW,"")</f>
        <v>0</v>
      </c>
      <c r="D364" s="48">
        <f>IFERROR(SUMIFS(Infrastructure[2022],Infrastructure[[cluster]:[cluster]],"="&amp;$B364,Infrastructure[[variable_type]:[variable_type]],"H2_pipe_available_capacity")*PJ2MW,"")</f>
        <v>0</v>
      </c>
      <c r="E364" s="48">
        <f>IFERROR(SUMIFS(Infrastructure[2023],Infrastructure[[cluster]:[cluster]],"="&amp;$B364,Infrastructure[[variable_type]:[variable_type]],"H2_pipe_available_capacity")*PJ2MW,"")</f>
        <v>0</v>
      </c>
      <c r="F364" s="48">
        <f>IFERROR(SUMIFS(Infrastructure[2024],Infrastructure[[cluster]:[cluster]],"="&amp;$B364,Infrastructure[[variable_type]:[variable_type]],"H2_pipe_available_capacity")*PJ2MW,"")</f>
        <v>0</v>
      </c>
      <c r="G364" s="48">
        <f>IFERROR(SUMIFS(Infrastructure[2025],Infrastructure[[cluster]:[cluster]],"="&amp;$B364,Infrastructure[[variable_type]:[variable_type]],"H2_pipe_available_capacity")*PJ2MW,"")</f>
        <v>0</v>
      </c>
      <c r="H364" s="48">
        <f>IFERROR(SUMIFS(Infrastructure[2026],Infrastructure[[cluster]:[cluster]],"="&amp;$B364,Infrastructure[[variable_type]:[variable_type]],"H2_pipe_available_capacity")*PJ2MW,"")</f>
        <v>0</v>
      </c>
      <c r="I364" s="48">
        <f>IFERROR(SUMIFS(Infrastructure[2027],Infrastructure[[cluster]:[cluster]],"="&amp;$B364,Infrastructure[[variable_type]:[variable_type]],"H2_pipe_available_capacity")*PJ2MW,"")</f>
        <v>0</v>
      </c>
      <c r="J364" s="48">
        <f>IFERROR(SUMIFS(Infrastructure[2028],Infrastructure[[cluster]:[cluster]],"="&amp;$B364,Infrastructure[[variable_type]:[variable_type]],"H2_pipe_available_capacity")*PJ2MW,"")</f>
        <v>0</v>
      </c>
      <c r="K364" s="48">
        <f>IFERROR(SUMIFS(Infrastructure[2029],Infrastructure[[cluster]:[cluster]],"="&amp;$B364,Infrastructure[[variable_type]:[variable_type]],"H2_pipe_available_capacity")*PJ2MW,"")</f>
        <v>0</v>
      </c>
      <c r="L364" s="48">
        <f>IFERROR(SUMIFS(Infrastructure[2030],Infrastructure[[cluster]:[cluster]],"="&amp;$B364,Infrastructure[[variable_type]:[variable_type]],"H2_pipe_available_capacity")*PJ2MW,"")</f>
        <v>0</v>
      </c>
      <c r="M364" s="48">
        <f>IFERROR(SUMIFS(Infrastructure[2031],Infrastructure[[cluster]:[cluster]],"="&amp;$B364,Infrastructure[[variable_type]:[variable_type]],"H2_pipe_available_capacity")*PJ2MW,"")</f>
        <v>0</v>
      </c>
      <c r="N364" s="48">
        <f>IFERROR(SUMIFS(Infrastructure[2032],Infrastructure[[cluster]:[cluster]],"="&amp;$B364,Infrastructure[[variable_type]:[variable_type]],"H2_pipe_available_capacity")*PJ2MW,"")</f>
        <v>0</v>
      </c>
      <c r="O364" s="48">
        <f>IFERROR(SUMIFS(Infrastructure[2033],Infrastructure[[cluster]:[cluster]],"="&amp;$B364,Infrastructure[[variable_type]:[variable_type]],"H2_pipe_available_capacity")*PJ2MW,"")</f>
        <v>0</v>
      </c>
      <c r="P364" s="48">
        <f>IFERROR(SUMIFS(Infrastructure[2034],Infrastructure[[cluster]:[cluster]],"="&amp;$B364,Infrastructure[[variable_type]:[variable_type]],"H2_pipe_available_capacity")*PJ2MW,"")</f>
        <v>0</v>
      </c>
      <c r="Q364" s="48">
        <f>IFERROR(SUMIFS(Infrastructure[2035],Infrastructure[[cluster]:[cluster]],"="&amp;$B364,Infrastructure[[variable_type]:[variable_type]],"H2_pipe_available_capacity")*PJ2MW,"")</f>
        <v>0</v>
      </c>
      <c r="R364" s="48">
        <f>IFERROR(SUMIFS(Infrastructure[2036],Infrastructure[[cluster]:[cluster]],"="&amp;$B364,Infrastructure[[variable_type]:[variable_type]],"H2_pipe_available_capacity")*PJ2MW,"")</f>
        <v>0</v>
      </c>
      <c r="S364" s="48">
        <f>IFERROR(SUMIFS(Infrastructure[2037],Infrastructure[[cluster]:[cluster]],"="&amp;$B364,Infrastructure[[variable_type]:[variable_type]],"H2_pipe_available_capacity")*PJ2MW,"")</f>
        <v>0</v>
      </c>
      <c r="T364" s="48">
        <f>IFERROR(SUMIFS(Infrastructure[2038],Infrastructure[[cluster]:[cluster]],"="&amp;$B364,Infrastructure[[variable_type]:[variable_type]],"H2_pipe_available_capacity")*PJ2MW,"")</f>
        <v>0</v>
      </c>
      <c r="U364" s="48">
        <f>IFERROR(SUMIFS(Infrastructure[2039],Infrastructure[[cluster]:[cluster]],"="&amp;$B364,Infrastructure[[variable_type]:[variable_type]],"H2_pipe_available_capacity")*PJ2MW,"")</f>
        <v>0</v>
      </c>
      <c r="V364" s="48">
        <f>IFERROR(SUMIFS(Infrastructure[2040],Infrastructure[[cluster]:[cluster]],"="&amp;$B364,Infrastructure[[variable_type]:[variable_type]],"H2_pipe_available_capacity")*PJ2MW,"")</f>
        <v>0</v>
      </c>
      <c r="W364" s="48">
        <f>IFERROR(SUMIFS(Infrastructure[2041],Infrastructure[[cluster]:[cluster]],"="&amp;$B364,Infrastructure[[variable_type]:[variable_type]],"H2_pipe_available_capacity")*PJ2MW,"")</f>
        <v>0</v>
      </c>
      <c r="X364" s="48">
        <f>IFERROR(SUMIFS(Infrastructure[2042],Infrastructure[[cluster]:[cluster]],"="&amp;$B364,Infrastructure[[variable_type]:[variable_type]],"H2_pipe_available_capacity")*PJ2MW,"")</f>
        <v>0</v>
      </c>
      <c r="Y364" s="48">
        <f>IFERROR(SUMIFS(Infrastructure[2043],Infrastructure[[cluster]:[cluster]],"="&amp;$B364,Infrastructure[[variable_type]:[variable_type]],"H2_pipe_available_capacity")*PJ2MW,"")</f>
        <v>0</v>
      </c>
      <c r="Z364" s="48">
        <f>IFERROR(SUMIFS(Infrastructure[2044],Infrastructure[[cluster]:[cluster]],"="&amp;$B364,Infrastructure[[variable_type]:[variable_type]],"H2_pipe_available_capacity")*PJ2MW,"")</f>
        <v>0</v>
      </c>
      <c r="AA364" s="48">
        <f>IFERROR(SUMIFS(Infrastructure[2045],Infrastructure[[cluster]:[cluster]],"="&amp;$B364,Infrastructure[[variable_type]:[variable_type]],"H2_pipe_available_capacity")*PJ2MW,"")</f>
        <v>0</v>
      </c>
      <c r="AB364" s="48">
        <f>IFERROR(SUMIFS(Infrastructure[2046],Infrastructure[[cluster]:[cluster]],"="&amp;$B364,Infrastructure[[variable_type]:[variable_type]],"H2_pipe_available_capacity")*PJ2MW,"")</f>
        <v>0</v>
      </c>
      <c r="AC364" s="48">
        <f>IFERROR(SUMIFS(Infrastructure[2047],Infrastructure[[cluster]:[cluster]],"="&amp;$B364,Infrastructure[[variable_type]:[variable_type]],"H2_pipe_available_capacity")*PJ2MW,"")</f>
        <v>0</v>
      </c>
      <c r="AD364" s="48">
        <f>IFERROR(SUMIFS(Infrastructure[2048],Infrastructure[[cluster]:[cluster]],"="&amp;$B364,Infrastructure[[variable_type]:[variable_type]],"H2_pipe_available_capacity")*PJ2MW,"")</f>
        <v>0</v>
      </c>
      <c r="AE364" s="48">
        <f>IFERROR(SUMIFS(Infrastructure[2049],Infrastructure[[cluster]:[cluster]],"="&amp;$B364,Infrastructure[[variable_type]:[variable_type]],"H2_pipe_available_capacity")*PJ2MW,"")</f>
        <v>0</v>
      </c>
      <c r="AF364" s="48">
        <f>IFERROR(SUMIFS(Infrastructure[2050],Infrastructure[[cluster]:[cluster]],"="&amp;$B364,Infrastructure[[variable_type]:[variable_type]],"H2_pipe_available_capacity")*PJ2MW,"")</f>
        <v>0</v>
      </c>
      <c r="AG364" s="48">
        <f>IFERROR(SUMIFS(Infrastructure[2051],Infrastructure[[cluster]:[cluster]],"="&amp;$B364,Infrastructure[[variable_type]:[variable_type]],"H2_pipe_available_capacity")*PJ2MW,"")</f>
        <v>0</v>
      </c>
    </row>
    <row r="365" spans="1:33" x14ac:dyDescent="0.45">
      <c r="B365" t="s">
        <v>77</v>
      </c>
      <c r="C365" s="48">
        <f>IFERROR(SUMIFS(Infrastructure[2021],Infrastructure[[cluster]:[cluster]],"="&amp;$B365,Infrastructure[[variable_type]:[variable_type]],"H2_pipe_available_capacity")*PJ2MW,"")</f>
        <v>0</v>
      </c>
      <c r="D365" s="48">
        <f>IFERROR(SUMIFS(Infrastructure[2022],Infrastructure[[cluster]:[cluster]],"="&amp;$B365,Infrastructure[[variable_type]:[variable_type]],"H2_pipe_available_capacity")*PJ2MW,"")</f>
        <v>0</v>
      </c>
      <c r="E365" s="48">
        <f>IFERROR(SUMIFS(Infrastructure[2023],Infrastructure[[cluster]:[cluster]],"="&amp;$B365,Infrastructure[[variable_type]:[variable_type]],"H2_pipe_available_capacity")*PJ2MW,"")</f>
        <v>0</v>
      </c>
      <c r="F365" s="48">
        <f>IFERROR(SUMIFS(Infrastructure[2024],Infrastructure[[cluster]:[cluster]],"="&amp;$B365,Infrastructure[[variable_type]:[variable_type]],"H2_pipe_available_capacity")*PJ2MW,"")</f>
        <v>0</v>
      </c>
      <c r="G365" s="48">
        <f>IFERROR(SUMIFS(Infrastructure[2025],Infrastructure[[cluster]:[cluster]],"="&amp;$B365,Infrastructure[[variable_type]:[variable_type]],"H2_pipe_available_capacity")*PJ2MW,"")</f>
        <v>0</v>
      </c>
      <c r="H365" s="48">
        <f>IFERROR(SUMIFS(Infrastructure[2026],Infrastructure[[cluster]:[cluster]],"="&amp;$B365,Infrastructure[[variable_type]:[variable_type]],"H2_pipe_available_capacity")*PJ2MW,"")</f>
        <v>0</v>
      </c>
      <c r="I365" s="48">
        <f>IFERROR(SUMIFS(Infrastructure[2027],Infrastructure[[cluster]:[cluster]],"="&amp;$B365,Infrastructure[[variable_type]:[variable_type]],"H2_pipe_available_capacity")*PJ2MW,"")</f>
        <v>0</v>
      </c>
      <c r="J365" s="48">
        <f>IFERROR(SUMIFS(Infrastructure[2028],Infrastructure[[cluster]:[cluster]],"="&amp;$B365,Infrastructure[[variable_type]:[variable_type]],"H2_pipe_available_capacity")*PJ2MW,"")</f>
        <v>0</v>
      </c>
      <c r="K365" s="48">
        <f>IFERROR(SUMIFS(Infrastructure[2029],Infrastructure[[cluster]:[cluster]],"="&amp;$B365,Infrastructure[[variable_type]:[variable_type]],"H2_pipe_available_capacity")*PJ2MW,"")</f>
        <v>0</v>
      </c>
      <c r="L365" s="48">
        <f>IFERROR(SUMIFS(Infrastructure[2030],Infrastructure[[cluster]:[cluster]],"="&amp;$B365,Infrastructure[[variable_type]:[variable_type]],"H2_pipe_available_capacity")*PJ2MW,"")</f>
        <v>0</v>
      </c>
      <c r="M365" s="48">
        <f>IFERROR(SUMIFS(Infrastructure[2031],Infrastructure[[cluster]:[cluster]],"="&amp;$B365,Infrastructure[[variable_type]:[variable_type]],"H2_pipe_available_capacity")*PJ2MW,"")</f>
        <v>0</v>
      </c>
      <c r="N365" s="48">
        <f>IFERROR(SUMIFS(Infrastructure[2032],Infrastructure[[cluster]:[cluster]],"="&amp;$B365,Infrastructure[[variable_type]:[variable_type]],"H2_pipe_available_capacity")*PJ2MW,"")</f>
        <v>0</v>
      </c>
      <c r="O365" s="48">
        <f>IFERROR(SUMIFS(Infrastructure[2033],Infrastructure[[cluster]:[cluster]],"="&amp;$B365,Infrastructure[[variable_type]:[variable_type]],"H2_pipe_available_capacity")*PJ2MW,"")</f>
        <v>0</v>
      </c>
      <c r="P365" s="48">
        <f>IFERROR(SUMIFS(Infrastructure[2034],Infrastructure[[cluster]:[cluster]],"="&amp;$B365,Infrastructure[[variable_type]:[variable_type]],"H2_pipe_available_capacity")*PJ2MW,"")</f>
        <v>0</v>
      </c>
      <c r="Q365" s="48">
        <f>IFERROR(SUMIFS(Infrastructure[2035],Infrastructure[[cluster]:[cluster]],"="&amp;$B365,Infrastructure[[variable_type]:[variable_type]],"H2_pipe_available_capacity")*PJ2MW,"")</f>
        <v>0</v>
      </c>
      <c r="R365" s="48">
        <f>IFERROR(SUMIFS(Infrastructure[2036],Infrastructure[[cluster]:[cluster]],"="&amp;$B365,Infrastructure[[variable_type]:[variable_type]],"H2_pipe_available_capacity")*PJ2MW,"")</f>
        <v>0</v>
      </c>
      <c r="S365" s="48">
        <f>IFERROR(SUMIFS(Infrastructure[2037],Infrastructure[[cluster]:[cluster]],"="&amp;$B365,Infrastructure[[variable_type]:[variable_type]],"H2_pipe_available_capacity")*PJ2MW,"")</f>
        <v>0</v>
      </c>
      <c r="T365" s="48">
        <f>IFERROR(SUMIFS(Infrastructure[2038],Infrastructure[[cluster]:[cluster]],"="&amp;$B365,Infrastructure[[variable_type]:[variable_type]],"H2_pipe_available_capacity")*PJ2MW,"")</f>
        <v>0</v>
      </c>
      <c r="U365" s="48">
        <f>IFERROR(SUMIFS(Infrastructure[2039],Infrastructure[[cluster]:[cluster]],"="&amp;$B365,Infrastructure[[variable_type]:[variable_type]],"H2_pipe_available_capacity")*PJ2MW,"")</f>
        <v>0</v>
      </c>
      <c r="V365" s="48">
        <f>IFERROR(SUMIFS(Infrastructure[2040],Infrastructure[[cluster]:[cluster]],"="&amp;$B365,Infrastructure[[variable_type]:[variable_type]],"H2_pipe_available_capacity")*PJ2MW,"")</f>
        <v>0</v>
      </c>
      <c r="W365" s="48">
        <f>IFERROR(SUMIFS(Infrastructure[2041],Infrastructure[[cluster]:[cluster]],"="&amp;$B365,Infrastructure[[variable_type]:[variable_type]],"H2_pipe_available_capacity")*PJ2MW,"")</f>
        <v>0</v>
      </c>
      <c r="X365" s="48">
        <f>IFERROR(SUMIFS(Infrastructure[2042],Infrastructure[[cluster]:[cluster]],"="&amp;$B365,Infrastructure[[variable_type]:[variable_type]],"H2_pipe_available_capacity")*PJ2MW,"")</f>
        <v>0</v>
      </c>
      <c r="Y365" s="48">
        <f>IFERROR(SUMIFS(Infrastructure[2043],Infrastructure[[cluster]:[cluster]],"="&amp;$B365,Infrastructure[[variable_type]:[variable_type]],"H2_pipe_available_capacity")*PJ2MW,"")</f>
        <v>0</v>
      </c>
      <c r="Z365" s="48">
        <f>IFERROR(SUMIFS(Infrastructure[2044],Infrastructure[[cluster]:[cluster]],"="&amp;$B365,Infrastructure[[variable_type]:[variable_type]],"H2_pipe_available_capacity")*PJ2MW,"")</f>
        <v>0</v>
      </c>
      <c r="AA365" s="48">
        <f>IFERROR(SUMIFS(Infrastructure[2045],Infrastructure[[cluster]:[cluster]],"="&amp;$B365,Infrastructure[[variable_type]:[variable_type]],"H2_pipe_available_capacity")*PJ2MW,"")</f>
        <v>0</v>
      </c>
      <c r="AB365" s="48">
        <f>IFERROR(SUMIFS(Infrastructure[2046],Infrastructure[[cluster]:[cluster]],"="&amp;$B365,Infrastructure[[variable_type]:[variable_type]],"H2_pipe_available_capacity")*PJ2MW,"")</f>
        <v>0</v>
      </c>
      <c r="AC365" s="48">
        <f>IFERROR(SUMIFS(Infrastructure[2047],Infrastructure[[cluster]:[cluster]],"="&amp;$B365,Infrastructure[[variable_type]:[variable_type]],"H2_pipe_available_capacity")*PJ2MW,"")</f>
        <v>0</v>
      </c>
      <c r="AD365" s="48">
        <f>IFERROR(SUMIFS(Infrastructure[2048],Infrastructure[[cluster]:[cluster]],"="&amp;$B365,Infrastructure[[variable_type]:[variable_type]],"H2_pipe_available_capacity")*PJ2MW,"")</f>
        <v>0</v>
      </c>
      <c r="AE365" s="48">
        <f>IFERROR(SUMIFS(Infrastructure[2049],Infrastructure[[cluster]:[cluster]],"="&amp;$B365,Infrastructure[[variable_type]:[variable_type]],"H2_pipe_available_capacity")*PJ2MW,"")</f>
        <v>0</v>
      </c>
      <c r="AF365" s="48">
        <f>IFERROR(SUMIFS(Infrastructure[2050],Infrastructure[[cluster]:[cluster]],"="&amp;$B365,Infrastructure[[variable_type]:[variable_type]],"H2_pipe_available_capacity")*PJ2MW,"")</f>
        <v>0</v>
      </c>
      <c r="AG365" s="48">
        <f>IFERROR(SUMIFS(Infrastructure[2051],Infrastructure[[cluster]:[cluster]],"="&amp;$B365,Infrastructure[[variable_type]:[variable_type]],"H2_pipe_available_capacity")*PJ2MW,"")</f>
        <v>0</v>
      </c>
    </row>
    <row r="366" spans="1:33" x14ac:dyDescent="0.45">
      <c r="B366" t="s">
        <v>78</v>
      </c>
      <c r="C366" s="48">
        <f>IFERROR(SUMIFS(Infrastructure[2021],Infrastructure[[cluster]:[cluster]],"="&amp;$B366,Infrastructure[[variable_type]:[variable_type]],"H2_pipe_available_capacity")*PJ2MW,"")</f>
        <v>0</v>
      </c>
      <c r="D366" s="48">
        <f>IFERROR(SUMIFS(Infrastructure[2022],Infrastructure[[cluster]:[cluster]],"="&amp;$B366,Infrastructure[[variable_type]:[variable_type]],"H2_pipe_available_capacity")*PJ2MW,"")</f>
        <v>0</v>
      </c>
      <c r="E366" s="48">
        <f>IFERROR(SUMIFS(Infrastructure[2023],Infrastructure[[cluster]:[cluster]],"="&amp;$B366,Infrastructure[[variable_type]:[variable_type]],"H2_pipe_available_capacity")*PJ2MW,"")</f>
        <v>0</v>
      </c>
      <c r="F366" s="48">
        <f>IFERROR(SUMIFS(Infrastructure[2024],Infrastructure[[cluster]:[cluster]],"="&amp;$B366,Infrastructure[[variable_type]:[variable_type]],"H2_pipe_available_capacity")*PJ2MW,"")</f>
        <v>0</v>
      </c>
      <c r="G366" s="48">
        <f>IFERROR(SUMIFS(Infrastructure[2025],Infrastructure[[cluster]:[cluster]],"="&amp;$B366,Infrastructure[[variable_type]:[variable_type]],"H2_pipe_available_capacity")*PJ2MW,"")</f>
        <v>0</v>
      </c>
      <c r="H366" s="48">
        <f>IFERROR(SUMIFS(Infrastructure[2026],Infrastructure[[cluster]:[cluster]],"="&amp;$B366,Infrastructure[[variable_type]:[variable_type]],"H2_pipe_available_capacity")*PJ2MW,"")</f>
        <v>0</v>
      </c>
      <c r="I366" s="48">
        <f>IFERROR(SUMIFS(Infrastructure[2027],Infrastructure[[cluster]:[cluster]],"="&amp;$B366,Infrastructure[[variable_type]:[variable_type]],"H2_pipe_available_capacity")*PJ2MW,"")</f>
        <v>0</v>
      </c>
      <c r="J366" s="48">
        <f>IFERROR(SUMIFS(Infrastructure[2028],Infrastructure[[cluster]:[cluster]],"="&amp;$B366,Infrastructure[[variable_type]:[variable_type]],"H2_pipe_available_capacity")*PJ2MW,"")</f>
        <v>0</v>
      </c>
      <c r="K366" s="48">
        <f>IFERROR(SUMIFS(Infrastructure[2029],Infrastructure[[cluster]:[cluster]],"="&amp;$B366,Infrastructure[[variable_type]:[variable_type]],"H2_pipe_available_capacity")*PJ2MW,"")</f>
        <v>0</v>
      </c>
      <c r="L366" s="48">
        <f>IFERROR(SUMIFS(Infrastructure[2030],Infrastructure[[cluster]:[cluster]],"="&amp;$B366,Infrastructure[[variable_type]:[variable_type]],"H2_pipe_available_capacity")*PJ2MW,"")</f>
        <v>0</v>
      </c>
      <c r="M366" s="48">
        <f>IFERROR(SUMIFS(Infrastructure[2031],Infrastructure[[cluster]:[cluster]],"="&amp;$B366,Infrastructure[[variable_type]:[variable_type]],"H2_pipe_available_capacity")*PJ2MW,"")</f>
        <v>0</v>
      </c>
      <c r="N366" s="48">
        <f>IFERROR(SUMIFS(Infrastructure[2032],Infrastructure[[cluster]:[cluster]],"="&amp;$B366,Infrastructure[[variable_type]:[variable_type]],"H2_pipe_available_capacity")*PJ2MW,"")</f>
        <v>0</v>
      </c>
      <c r="O366" s="48">
        <f>IFERROR(SUMIFS(Infrastructure[2033],Infrastructure[[cluster]:[cluster]],"="&amp;$B366,Infrastructure[[variable_type]:[variable_type]],"H2_pipe_available_capacity")*PJ2MW,"")</f>
        <v>0</v>
      </c>
      <c r="P366" s="48">
        <f>IFERROR(SUMIFS(Infrastructure[2034],Infrastructure[[cluster]:[cluster]],"="&amp;$B366,Infrastructure[[variable_type]:[variable_type]],"H2_pipe_available_capacity")*PJ2MW,"")</f>
        <v>0</v>
      </c>
      <c r="Q366" s="48">
        <f>IFERROR(SUMIFS(Infrastructure[2035],Infrastructure[[cluster]:[cluster]],"="&amp;$B366,Infrastructure[[variable_type]:[variable_type]],"H2_pipe_available_capacity")*PJ2MW,"")</f>
        <v>0</v>
      </c>
      <c r="R366" s="48">
        <f>IFERROR(SUMIFS(Infrastructure[2036],Infrastructure[[cluster]:[cluster]],"="&amp;$B366,Infrastructure[[variable_type]:[variable_type]],"H2_pipe_available_capacity")*PJ2MW,"")</f>
        <v>0</v>
      </c>
      <c r="S366" s="48">
        <f>IFERROR(SUMIFS(Infrastructure[2037],Infrastructure[[cluster]:[cluster]],"="&amp;$B366,Infrastructure[[variable_type]:[variable_type]],"H2_pipe_available_capacity")*PJ2MW,"")</f>
        <v>0</v>
      </c>
      <c r="T366" s="48">
        <f>IFERROR(SUMIFS(Infrastructure[2038],Infrastructure[[cluster]:[cluster]],"="&amp;$B366,Infrastructure[[variable_type]:[variable_type]],"H2_pipe_available_capacity")*PJ2MW,"")</f>
        <v>0</v>
      </c>
      <c r="U366" s="48">
        <f>IFERROR(SUMIFS(Infrastructure[2039],Infrastructure[[cluster]:[cluster]],"="&amp;$B366,Infrastructure[[variable_type]:[variable_type]],"H2_pipe_available_capacity")*PJ2MW,"")</f>
        <v>0</v>
      </c>
      <c r="V366" s="48">
        <f>IFERROR(SUMIFS(Infrastructure[2040],Infrastructure[[cluster]:[cluster]],"="&amp;$B366,Infrastructure[[variable_type]:[variable_type]],"H2_pipe_available_capacity")*PJ2MW,"")</f>
        <v>0</v>
      </c>
      <c r="W366" s="48">
        <f>IFERROR(SUMIFS(Infrastructure[2041],Infrastructure[[cluster]:[cluster]],"="&amp;$B366,Infrastructure[[variable_type]:[variable_type]],"H2_pipe_available_capacity")*PJ2MW,"")</f>
        <v>0</v>
      </c>
      <c r="X366" s="48">
        <f>IFERROR(SUMIFS(Infrastructure[2042],Infrastructure[[cluster]:[cluster]],"="&amp;$B366,Infrastructure[[variable_type]:[variable_type]],"H2_pipe_available_capacity")*PJ2MW,"")</f>
        <v>0</v>
      </c>
      <c r="Y366" s="48">
        <f>IFERROR(SUMIFS(Infrastructure[2043],Infrastructure[[cluster]:[cluster]],"="&amp;$B366,Infrastructure[[variable_type]:[variable_type]],"H2_pipe_available_capacity")*PJ2MW,"")</f>
        <v>0</v>
      </c>
      <c r="Z366" s="48">
        <f>IFERROR(SUMIFS(Infrastructure[2044],Infrastructure[[cluster]:[cluster]],"="&amp;$B366,Infrastructure[[variable_type]:[variable_type]],"H2_pipe_available_capacity")*PJ2MW,"")</f>
        <v>0</v>
      </c>
      <c r="AA366" s="48">
        <f>IFERROR(SUMIFS(Infrastructure[2045],Infrastructure[[cluster]:[cluster]],"="&amp;$B366,Infrastructure[[variable_type]:[variable_type]],"H2_pipe_available_capacity")*PJ2MW,"")</f>
        <v>0</v>
      </c>
      <c r="AB366" s="48">
        <f>IFERROR(SUMIFS(Infrastructure[2046],Infrastructure[[cluster]:[cluster]],"="&amp;$B366,Infrastructure[[variable_type]:[variable_type]],"H2_pipe_available_capacity")*PJ2MW,"")</f>
        <v>0</v>
      </c>
      <c r="AC366" s="48">
        <f>IFERROR(SUMIFS(Infrastructure[2047],Infrastructure[[cluster]:[cluster]],"="&amp;$B366,Infrastructure[[variable_type]:[variable_type]],"H2_pipe_available_capacity")*PJ2MW,"")</f>
        <v>0</v>
      </c>
      <c r="AD366" s="48">
        <f>IFERROR(SUMIFS(Infrastructure[2048],Infrastructure[[cluster]:[cluster]],"="&amp;$B366,Infrastructure[[variable_type]:[variable_type]],"H2_pipe_available_capacity")*PJ2MW,"")</f>
        <v>0</v>
      </c>
      <c r="AE366" s="48">
        <f>IFERROR(SUMIFS(Infrastructure[2049],Infrastructure[[cluster]:[cluster]],"="&amp;$B366,Infrastructure[[variable_type]:[variable_type]],"H2_pipe_available_capacity")*PJ2MW,"")</f>
        <v>0</v>
      </c>
      <c r="AF366" s="48">
        <f>IFERROR(SUMIFS(Infrastructure[2050],Infrastructure[[cluster]:[cluster]],"="&amp;$B366,Infrastructure[[variable_type]:[variable_type]],"H2_pipe_available_capacity")*PJ2MW,"")</f>
        <v>0</v>
      </c>
      <c r="AG366" s="48">
        <f>IFERROR(SUMIFS(Infrastructure[2051],Infrastructure[[cluster]:[cluster]],"="&amp;$B366,Infrastructure[[variable_type]:[variable_type]],"H2_pipe_available_capacity")*PJ2MW,"")</f>
        <v>0</v>
      </c>
    </row>
    <row r="367" spans="1:33" ht="14.65" thickBot="1" x14ac:dyDescent="0.5">
      <c r="B367" s="29" t="s">
        <v>124</v>
      </c>
      <c r="C367" s="47">
        <f ca="1">IF(C105&lt;&gt;"",SUM(C357:C366),"")</f>
        <v>0</v>
      </c>
      <c r="D367" s="47">
        <f t="shared" ref="D367:AG367" ca="1" si="67">IF(D105&lt;&gt;"",SUM(D357:D366),"")</f>
        <v>0</v>
      </c>
      <c r="E367" s="47">
        <f t="shared" ca="1" si="67"/>
        <v>0</v>
      </c>
      <c r="F367" s="47">
        <f t="shared" ca="1" si="67"/>
        <v>0</v>
      </c>
      <c r="G367" s="47">
        <f t="shared" ca="1" si="67"/>
        <v>0</v>
      </c>
      <c r="H367" s="47">
        <f t="shared" ca="1" si="67"/>
        <v>0</v>
      </c>
      <c r="I367" s="47">
        <f t="shared" ca="1" si="67"/>
        <v>0</v>
      </c>
      <c r="J367" s="47">
        <f t="shared" ca="1" si="67"/>
        <v>0</v>
      </c>
      <c r="K367" s="47">
        <f t="shared" ca="1" si="67"/>
        <v>0</v>
      </c>
      <c r="L367" s="47">
        <f t="shared" ca="1" si="67"/>
        <v>0</v>
      </c>
      <c r="M367" s="47">
        <f t="shared" ca="1" si="67"/>
        <v>0</v>
      </c>
      <c r="N367" s="47">
        <f t="shared" ca="1" si="67"/>
        <v>0</v>
      </c>
      <c r="O367" s="47">
        <f t="shared" ca="1" si="67"/>
        <v>0</v>
      </c>
      <c r="P367" s="47">
        <f t="shared" ca="1" si="67"/>
        <v>0</v>
      </c>
      <c r="Q367" s="47">
        <f t="shared" ca="1" si="67"/>
        <v>0</v>
      </c>
      <c r="R367" s="47">
        <f t="shared" ca="1" si="67"/>
        <v>0</v>
      </c>
      <c r="S367" s="47">
        <f t="shared" ca="1" si="67"/>
        <v>0</v>
      </c>
      <c r="T367" s="47">
        <f t="shared" ca="1" si="67"/>
        <v>0</v>
      </c>
      <c r="U367" s="47">
        <f t="shared" ca="1" si="67"/>
        <v>0</v>
      </c>
      <c r="V367" s="47">
        <f t="shared" ca="1" si="67"/>
        <v>0</v>
      </c>
      <c r="W367" s="47">
        <f t="shared" ca="1" si="67"/>
        <v>0</v>
      </c>
      <c r="X367" s="47">
        <f t="shared" ca="1" si="67"/>
        <v>0</v>
      </c>
      <c r="Y367" s="47">
        <f t="shared" ca="1" si="67"/>
        <v>0</v>
      </c>
      <c r="Z367" s="47">
        <f t="shared" ca="1" si="67"/>
        <v>0</v>
      </c>
      <c r="AA367" s="47">
        <f t="shared" ca="1" si="67"/>
        <v>0</v>
      </c>
      <c r="AB367" s="47">
        <f t="shared" ca="1" si="67"/>
        <v>0</v>
      </c>
      <c r="AC367" s="47">
        <f t="shared" ca="1" si="67"/>
        <v>0</v>
      </c>
      <c r="AD367" s="47">
        <f t="shared" ca="1" si="67"/>
        <v>0</v>
      </c>
      <c r="AE367" s="47">
        <f t="shared" ca="1" si="67"/>
        <v>0</v>
      </c>
      <c r="AF367" s="47">
        <f t="shared" ca="1" si="67"/>
        <v>0</v>
      </c>
      <c r="AG367" s="47">
        <f t="shared" ca="1" si="67"/>
        <v>0</v>
      </c>
    </row>
    <row r="368" spans="1:33" ht="14.65" thickTop="1" x14ac:dyDescent="0.45">
      <c r="B368" s="6"/>
    </row>
    <row r="369" spans="1:33" x14ac:dyDescent="0.45">
      <c r="B369" s="6"/>
    </row>
    <row r="370" spans="1:33" ht="18" x14ac:dyDescent="0.55000000000000004">
      <c r="A370" s="5" t="s">
        <v>97</v>
      </c>
      <c r="B370" s="25" t="s">
        <v>100</v>
      </c>
    </row>
    <row r="371" spans="1:33" x14ac:dyDescent="0.45">
      <c r="A371" t="s">
        <v>98</v>
      </c>
      <c r="B371" s="14"/>
    </row>
    <row r="372" spans="1:33" x14ac:dyDescent="0.45">
      <c r="B372" s="6"/>
      <c r="C372" s="6">
        <v>2021</v>
      </c>
      <c r="D372" s="6">
        <v>2022</v>
      </c>
      <c r="E372" s="6">
        <v>2023</v>
      </c>
      <c r="F372" s="6">
        <v>2024</v>
      </c>
      <c r="G372" s="6">
        <v>2025</v>
      </c>
      <c r="H372" s="6">
        <v>2026</v>
      </c>
      <c r="I372" s="6">
        <v>2027</v>
      </c>
      <c r="J372" s="6">
        <v>2028</v>
      </c>
      <c r="K372" s="6">
        <v>2029</v>
      </c>
      <c r="L372" s="6">
        <v>2030</v>
      </c>
      <c r="M372" s="6">
        <v>2031</v>
      </c>
      <c r="N372" s="6">
        <v>2032</v>
      </c>
      <c r="O372" s="6">
        <v>2033</v>
      </c>
      <c r="P372" s="6">
        <v>2034</v>
      </c>
      <c r="Q372" s="6">
        <v>2035</v>
      </c>
      <c r="R372" s="6">
        <v>2036</v>
      </c>
      <c r="S372" s="6">
        <v>2037</v>
      </c>
      <c r="T372" s="6">
        <v>2038</v>
      </c>
      <c r="U372" s="6">
        <v>2039</v>
      </c>
      <c r="V372" s="6">
        <v>2040</v>
      </c>
      <c r="W372" s="6">
        <v>2041</v>
      </c>
      <c r="X372" s="6">
        <v>2042</v>
      </c>
      <c r="Y372" s="6">
        <v>2043</v>
      </c>
      <c r="Z372" s="6">
        <v>2044</v>
      </c>
      <c r="AA372" s="6">
        <v>2045</v>
      </c>
      <c r="AB372" s="6">
        <v>2046</v>
      </c>
      <c r="AC372" s="6">
        <v>2047</v>
      </c>
      <c r="AD372" s="6">
        <v>2048</v>
      </c>
      <c r="AE372" s="6">
        <v>2049</v>
      </c>
      <c r="AF372" s="6">
        <v>2050</v>
      </c>
      <c r="AG372" s="6">
        <v>2051</v>
      </c>
    </row>
    <row r="373" spans="1:33" x14ac:dyDescent="0.45">
      <c r="B373" t="s">
        <v>70</v>
      </c>
      <c r="C373" s="43">
        <f>IFERROR(SUMIFS(Infrastructure[2021],Infrastructure[[cluster]:[cluster]],"="&amp;$B373,Infrastructure[[variable_type]:[variable_type]],"CO2_pipe_new_capacity")/1000,"")</f>
        <v>0</v>
      </c>
      <c r="D373" s="43">
        <f>IFERROR(SUMIFS(Infrastructure[2022],Infrastructure[[cluster]:[cluster]],"="&amp;$B373,Infrastructure[[variable_type]:[variable_type]],"CO2_pipe_new_capacity")/1000,"")</f>
        <v>0</v>
      </c>
      <c r="E373" s="43">
        <f>IFERROR(SUMIFS(Infrastructure[2023],Infrastructure[[cluster]:[cluster]],"="&amp;$B373,Infrastructure[[variable_type]:[variable_type]],"CO2_pipe_new_capacity")/1000,"")</f>
        <v>0</v>
      </c>
      <c r="F373" s="43">
        <f>IFERROR(SUMIFS(Infrastructure[2024],Infrastructure[[cluster]:[cluster]],"="&amp;$B373,Infrastructure[[variable_type]:[variable_type]],"CO2_pipe_new_capacity")/1000,"")</f>
        <v>0</v>
      </c>
      <c r="G373" s="43">
        <f>IFERROR(SUMIFS(Infrastructure[2025],Infrastructure[[cluster]:[cluster]],"="&amp;$B373,Infrastructure[[variable_type]:[variable_type]],"CO2_pipe_new_capacity")/1000,"")</f>
        <v>0</v>
      </c>
      <c r="H373" s="43">
        <f>IFERROR(SUMIFS(Infrastructure[2026],Infrastructure[[cluster]:[cluster]],"="&amp;$B373,Infrastructure[[variable_type]:[variable_type]],"CO2_pipe_new_capacity")/1000,"")</f>
        <v>0</v>
      </c>
      <c r="I373" s="43">
        <f>IFERROR(SUMIFS(Infrastructure[2027],Infrastructure[[cluster]:[cluster]],"="&amp;$B373,Infrastructure[[variable_type]:[variable_type]],"CO2_pipe_new_capacity")/1000,"")</f>
        <v>0</v>
      </c>
      <c r="J373" s="43">
        <f>IFERROR(SUMIFS(Infrastructure[2028],Infrastructure[[cluster]:[cluster]],"="&amp;$B373,Infrastructure[[variable_type]:[variable_type]],"CO2_pipe_new_capacity")/1000,"")</f>
        <v>0</v>
      </c>
      <c r="K373" s="43">
        <f>IFERROR(SUMIFS(Infrastructure[2029],Infrastructure[[cluster]:[cluster]],"="&amp;$B373,Infrastructure[[variable_type]:[variable_type]],"CO2_pipe_new_capacity")/1000,"")</f>
        <v>0</v>
      </c>
      <c r="L373" s="43">
        <f>IFERROR(SUMIFS(Infrastructure[2030],Infrastructure[[cluster]:[cluster]],"="&amp;$B373,Infrastructure[[variable_type]:[variable_type]],"CO2_pipe_new_capacity")/1000,"")</f>
        <v>0</v>
      </c>
      <c r="M373" s="43">
        <f>IFERROR(SUMIFS(Infrastructure[2031],Infrastructure[[cluster]:[cluster]],"="&amp;$B373,Infrastructure[[variable_type]:[variable_type]],"CO2_pipe_new_capacity")/1000,"")</f>
        <v>0</v>
      </c>
      <c r="N373" s="43">
        <f>IFERROR(SUMIFS(Infrastructure[2032],Infrastructure[[cluster]:[cluster]],"="&amp;$B373,Infrastructure[[variable_type]:[variable_type]],"CO2_pipe_new_capacity")/1000,"")</f>
        <v>0</v>
      </c>
      <c r="O373" s="43">
        <f>IFERROR(SUMIFS(Infrastructure[2033],Infrastructure[[cluster]:[cluster]],"="&amp;$B373,Infrastructure[[variable_type]:[variable_type]],"CO2_pipe_new_capacity")/1000,"")</f>
        <v>0</v>
      </c>
      <c r="P373" s="43">
        <f>IFERROR(SUMIFS(Infrastructure[2034],Infrastructure[[cluster]:[cluster]],"="&amp;$B373,Infrastructure[[variable_type]:[variable_type]],"CO2_pipe_new_capacity")/1000,"")</f>
        <v>0</v>
      </c>
      <c r="Q373" s="43">
        <f>IFERROR(SUMIFS(Infrastructure[2035],Infrastructure[[cluster]:[cluster]],"="&amp;$B373,Infrastructure[[variable_type]:[variable_type]],"CO2_pipe_new_capacity")/1000,"")</f>
        <v>0</v>
      </c>
      <c r="R373" s="43">
        <f>IFERROR(SUMIFS(Infrastructure[2036],Infrastructure[[cluster]:[cluster]],"="&amp;$B373,Infrastructure[[variable_type]:[variable_type]],"CO2_pipe_new_capacity")/1000,"")</f>
        <v>0</v>
      </c>
      <c r="S373" s="43">
        <f>IFERROR(SUMIFS(Infrastructure[2037],Infrastructure[[cluster]:[cluster]],"="&amp;$B373,Infrastructure[[variable_type]:[variable_type]],"CO2_pipe_new_capacity")/1000,"")</f>
        <v>0</v>
      </c>
      <c r="T373" s="43">
        <f>IFERROR(SUMIFS(Infrastructure[2038],Infrastructure[[cluster]:[cluster]],"="&amp;$B373,Infrastructure[[variable_type]:[variable_type]],"CO2_pipe_new_capacity")/1000,"")</f>
        <v>0</v>
      </c>
      <c r="U373" s="43">
        <f>IFERROR(SUMIFS(Infrastructure[2039],Infrastructure[[cluster]:[cluster]],"="&amp;$B373,Infrastructure[[variable_type]:[variable_type]],"CO2_pipe_new_capacity")/1000,"")</f>
        <v>0</v>
      </c>
      <c r="V373" s="43">
        <f>IFERROR(SUMIFS(Infrastructure[2040],Infrastructure[[cluster]:[cluster]],"="&amp;$B373,Infrastructure[[variable_type]:[variable_type]],"CO2_pipe_new_capacity")/1000,"")</f>
        <v>0</v>
      </c>
      <c r="W373" s="43">
        <f>IFERROR(SUMIFS(Infrastructure[2041],Infrastructure[[cluster]:[cluster]],"="&amp;$B373,Infrastructure[[variable_type]:[variable_type]],"CO2_pipe_new_capacity")/1000,"")</f>
        <v>0</v>
      </c>
      <c r="X373" s="43">
        <f>IFERROR(SUMIFS(Infrastructure[2042],Infrastructure[[cluster]:[cluster]],"="&amp;$B373,Infrastructure[[variable_type]:[variable_type]],"CO2_pipe_new_capacity")/1000,"")</f>
        <v>0</v>
      </c>
      <c r="Y373" s="43">
        <f>IFERROR(SUMIFS(Infrastructure[2043],Infrastructure[[cluster]:[cluster]],"="&amp;$B373,Infrastructure[[variable_type]:[variable_type]],"CO2_pipe_new_capacity")/1000,"")</f>
        <v>0</v>
      </c>
      <c r="Z373" s="43">
        <f>IFERROR(SUMIFS(Infrastructure[2044],Infrastructure[[cluster]:[cluster]],"="&amp;$B373,Infrastructure[[variable_type]:[variable_type]],"CO2_pipe_new_capacity")/1000,"")</f>
        <v>0</v>
      </c>
      <c r="AA373" s="43">
        <f>IFERROR(SUMIFS(Infrastructure[2045],Infrastructure[[cluster]:[cluster]],"="&amp;$B373,Infrastructure[[variable_type]:[variable_type]],"CO2_pipe_new_capacity")/1000,"")</f>
        <v>0</v>
      </c>
      <c r="AB373" s="43">
        <f>IFERROR(SUMIFS(Infrastructure[2046],Infrastructure[[cluster]:[cluster]],"="&amp;$B373,Infrastructure[[variable_type]:[variable_type]],"CO2_pipe_new_capacity")/1000,"")</f>
        <v>0</v>
      </c>
      <c r="AC373" s="43">
        <f>IFERROR(SUMIFS(Infrastructure[2047],Infrastructure[[cluster]:[cluster]],"="&amp;$B373,Infrastructure[[variable_type]:[variable_type]],"CO2_pipe_new_capacity")/1000,"")</f>
        <v>0</v>
      </c>
      <c r="AD373" s="43">
        <f>IFERROR(SUMIFS(Infrastructure[2048],Infrastructure[[cluster]:[cluster]],"="&amp;$B373,Infrastructure[[variable_type]:[variable_type]],"CO2_pipe_new_capacity")/1000,"")</f>
        <v>0</v>
      </c>
      <c r="AE373" s="43">
        <f>IFERROR(SUMIFS(Infrastructure[2049],Infrastructure[[cluster]:[cluster]],"="&amp;$B373,Infrastructure[[variable_type]:[variable_type]],"CO2_pipe_new_capacity")/1000,"")</f>
        <v>0</v>
      </c>
      <c r="AF373" s="43">
        <f>IFERROR(SUMIFS(Infrastructure[2050],Infrastructure[[cluster]:[cluster]],"="&amp;$B373,Infrastructure[[variable_type]:[variable_type]],"CO2_pipe_new_capacity")/1000,"")</f>
        <v>0</v>
      </c>
      <c r="AG373" s="43">
        <f>IFERROR(SUMIFS(Infrastructure[2051],Infrastructure[[cluster]:[cluster]],"="&amp;$B373,Infrastructure[[variable_type]:[variable_type]],"CO2_pipe_new_capacity")/1000,"")</f>
        <v>0</v>
      </c>
    </row>
    <row r="374" spans="1:33" x14ac:dyDescent="0.45">
      <c r="B374" t="s">
        <v>52</v>
      </c>
      <c r="C374" s="43">
        <f>IFERROR(SUMIFS(Infrastructure[2021],Infrastructure[[cluster]:[cluster]],"="&amp;$B374,Infrastructure[[variable_type]:[variable_type]],"CO2_pipe_new_capacity")/1000,"")</f>
        <v>0</v>
      </c>
      <c r="D374" s="43">
        <f>IFERROR(SUMIFS(Infrastructure[2022],Infrastructure[[cluster]:[cluster]],"="&amp;$B374,Infrastructure[[variable_type]:[variable_type]],"CO2_pipe_new_capacity")/1000,"")</f>
        <v>0</v>
      </c>
      <c r="E374" s="43">
        <f>IFERROR(SUMIFS(Infrastructure[2023],Infrastructure[[cluster]:[cluster]],"="&amp;$B374,Infrastructure[[variable_type]:[variable_type]],"CO2_pipe_new_capacity")/1000,"")</f>
        <v>0</v>
      </c>
      <c r="F374" s="43">
        <f>IFERROR(SUMIFS(Infrastructure[2024],Infrastructure[[cluster]:[cluster]],"="&amp;$B374,Infrastructure[[variable_type]:[variable_type]],"CO2_pipe_new_capacity")/1000,"")</f>
        <v>0</v>
      </c>
      <c r="G374" s="43">
        <f>IFERROR(SUMIFS(Infrastructure[2025],Infrastructure[[cluster]:[cluster]],"="&amp;$B374,Infrastructure[[variable_type]:[variable_type]],"CO2_pipe_new_capacity")/1000,"")</f>
        <v>0</v>
      </c>
      <c r="H374" s="43">
        <f>IFERROR(SUMIFS(Infrastructure[2026],Infrastructure[[cluster]:[cluster]],"="&amp;$B374,Infrastructure[[variable_type]:[variable_type]],"CO2_pipe_new_capacity")/1000,"")</f>
        <v>0</v>
      </c>
      <c r="I374" s="43">
        <f>IFERROR(SUMIFS(Infrastructure[2027],Infrastructure[[cluster]:[cluster]],"="&amp;$B374,Infrastructure[[variable_type]:[variable_type]],"CO2_pipe_new_capacity")/1000,"")</f>
        <v>0</v>
      </c>
      <c r="J374" s="43">
        <f>IFERROR(SUMIFS(Infrastructure[2028],Infrastructure[[cluster]:[cluster]],"="&amp;$B374,Infrastructure[[variable_type]:[variable_type]],"CO2_pipe_new_capacity")/1000,"")</f>
        <v>0</v>
      </c>
      <c r="K374" s="43">
        <f>IFERROR(SUMIFS(Infrastructure[2029],Infrastructure[[cluster]:[cluster]],"="&amp;$B374,Infrastructure[[variable_type]:[variable_type]],"CO2_pipe_new_capacity")/1000,"")</f>
        <v>0</v>
      </c>
      <c r="L374" s="43">
        <f>IFERROR(SUMIFS(Infrastructure[2030],Infrastructure[[cluster]:[cluster]],"="&amp;$B374,Infrastructure[[variable_type]:[variable_type]],"CO2_pipe_new_capacity")/1000,"")</f>
        <v>0</v>
      </c>
      <c r="M374" s="43">
        <f>IFERROR(SUMIFS(Infrastructure[2031],Infrastructure[[cluster]:[cluster]],"="&amp;$B374,Infrastructure[[variable_type]:[variable_type]],"CO2_pipe_new_capacity")/1000,"")</f>
        <v>0</v>
      </c>
      <c r="N374" s="43">
        <f>IFERROR(SUMIFS(Infrastructure[2032],Infrastructure[[cluster]:[cluster]],"="&amp;$B374,Infrastructure[[variable_type]:[variable_type]],"CO2_pipe_new_capacity")/1000,"")</f>
        <v>0</v>
      </c>
      <c r="O374" s="43">
        <f>IFERROR(SUMIFS(Infrastructure[2033],Infrastructure[[cluster]:[cluster]],"="&amp;$B374,Infrastructure[[variable_type]:[variable_type]],"CO2_pipe_new_capacity")/1000,"")</f>
        <v>0</v>
      </c>
      <c r="P374" s="43">
        <f>IFERROR(SUMIFS(Infrastructure[2034],Infrastructure[[cluster]:[cluster]],"="&amp;$B374,Infrastructure[[variable_type]:[variable_type]],"CO2_pipe_new_capacity")/1000,"")</f>
        <v>0</v>
      </c>
      <c r="Q374" s="43">
        <f>IFERROR(SUMIFS(Infrastructure[2035],Infrastructure[[cluster]:[cluster]],"="&amp;$B374,Infrastructure[[variable_type]:[variable_type]],"CO2_pipe_new_capacity")/1000,"")</f>
        <v>0</v>
      </c>
      <c r="R374" s="43">
        <f>IFERROR(SUMIFS(Infrastructure[2036],Infrastructure[[cluster]:[cluster]],"="&amp;$B374,Infrastructure[[variable_type]:[variable_type]],"CO2_pipe_new_capacity")/1000,"")</f>
        <v>0</v>
      </c>
      <c r="S374" s="43">
        <f>IFERROR(SUMIFS(Infrastructure[2037],Infrastructure[[cluster]:[cluster]],"="&amp;$B374,Infrastructure[[variable_type]:[variable_type]],"CO2_pipe_new_capacity")/1000,"")</f>
        <v>0</v>
      </c>
      <c r="T374" s="43">
        <f>IFERROR(SUMIFS(Infrastructure[2038],Infrastructure[[cluster]:[cluster]],"="&amp;$B374,Infrastructure[[variable_type]:[variable_type]],"CO2_pipe_new_capacity")/1000,"")</f>
        <v>0</v>
      </c>
      <c r="U374" s="43">
        <f>IFERROR(SUMIFS(Infrastructure[2039],Infrastructure[[cluster]:[cluster]],"="&amp;$B374,Infrastructure[[variable_type]:[variable_type]],"CO2_pipe_new_capacity")/1000,"")</f>
        <v>0</v>
      </c>
      <c r="V374" s="43">
        <f>IFERROR(SUMIFS(Infrastructure[2040],Infrastructure[[cluster]:[cluster]],"="&amp;$B374,Infrastructure[[variable_type]:[variable_type]],"CO2_pipe_new_capacity")/1000,"")</f>
        <v>0</v>
      </c>
      <c r="W374" s="43">
        <f>IFERROR(SUMIFS(Infrastructure[2041],Infrastructure[[cluster]:[cluster]],"="&amp;$B374,Infrastructure[[variable_type]:[variable_type]],"CO2_pipe_new_capacity")/1000,"")</f>
        <v>0</v>
      </c>
      <c r="X374" s="43">
        <f>IFERROR(SUMIFS(Infrastructure[2042],Infrastructure[[cluster]:[cluster]],"="&amp;$B374,Infrastructure[[variable_type]:[variable_type]],"CO2_pipe_new_capacity")/1000,"")</f>
        <v>0</v>
      </c>
      <c r="Y374" s="43">
        <f>IFERROR(SUMIFS(Infrastructure[2043],Infrastructure[[cluster]:[cluster]],"="&amp;$B374,Infrastructure[[variable_type]:[variable_type]],"CO2_pipe_new_capacity")/1000,"")</f>
        <v>0</v>
      </c>
      <c r="Z374" s="43">
        <f>IFERROR(SUMIFS(Infrastructure[2044],Infrastructure[[cluster]:[cluster]],"="&amp;$B374,Infrastructure[[variable_type]:[variable_type]],"CO2_pipe_new_capacity")/1000,"")</f>
        <v>0</v>
      </c>
      <c r="AA374" s="43">
        <f>IFERROR(SUMIFS(Infrastructure[2045],Infrastructure[[cluster]:[cluster]],"="&amp;$B374,Infrastructure[[variable_type]:[variable_type]],"CO2_pipe_new_capacity")/1000,"")</f>
        <v>0</v>
      </c>
      <c r="AB374" s="43">
        <f>IFERROR(SUMIFS(Infrastructure[2046],Infrastructure[[cluster]:[cluster]],"="&amp;$B374,Infrastructure[[variable_type]:[variable_type]],"CO2_pipe_new_capacity")/1000,"")</f>
        <v>0</v>
      </c>
      <c r="AC374" s="43">
        <f>IFERROR(SUMIFS(Infrastructure[2047],Infrastructure[[cluster]:[cluster]],"="&amp;$B374,Infrastructure[[variable_type]:[variable_type]],"CO2_pipe_new_capacity")/1000,"")</f>
        <v>0</v>
      </c>
      <c r="AD374" s="43">
        <f>IFERROR(SUMIFS(Infrastructure[2048],Infrastructure[[cluster]:[cluster]],"="&amp;$B374,Infrastructure[[variable_type]:[variable_type]],"CO2_pipe_new_capacity")/1000,"")</f>
        <v>0</v>
      </c>
      <c r="AE374" s="43">
        <f>IFERROR(SUMIFS(Infrastructure[2049],Infrastructure[[cluster]:[cluster]],"="&amp;$B374,Infrastructure[[variable_type]:[variable_type]],"CO2_pipe_new_capacity")/1000,"")</f>
        <v>0</v>
      </c>
      <c r="AF374" s="43">
        <f>IFERROR(SUMIFS(Infrastructure[2050],Infrastructure[[cluster]:[cluster]],"="&amp;$B374,Infrastructure[[variable_type]:[variable_type]],"CO2_pipe_new_capacity")/1000,"")</f>
        <v>0</v>
      </c>
      <c r="AG374" s="43">
        <f>IFERROR(SUMIFS(Infrastructure[2051],Infrastructure[[cluster]:[cluster]],"="&amp;$B374,Infrastructure[[variable_type]:[variable_type]],"CO2_pipe_new_capacity")/1000,"")</f>
        <v>0</v>
      </c>
    </row>
    <row r="375" spans="1:33" x14ac:dyDescent="0.45">
      <c r="B375" t="s">
        <v>71</v>
      </c>
      <c r="C375" s="43">
        <f>IFERROR(SUMIFS(Infrastructure[2021],Infrastructure[[cluster]:[cluster]],"="&amp;$B375,Infrastructure[[variable_type]:[variable_type]],"CO2_pipe_new_capacity")/1000,"")</f>
        <v>0</v>
      </c>
      <c r="D375" s="43">
        <f>IFERROR(SUMIFS(Infrastructure[2022],Infrastructure[[cluster]:[cluster]],"="&amp;$B375,Infrastructure[[variable_type]:[variable_type]],"CO2_pipe_new_capacity")/1000,"")</f>
        <v>0</v>
      </c>
      <c r="E375" s="43">
        <f>IFERROR(SUMIFS(Infrastructure[2023],Infrastructure[[cluster]:[cluster]],"="&amp;$B375,Infrastructure[[variable_type]:[variable_type]],"CO2_pipe_new_capacity")/1000,"")</f>
        <v>0</v>
      </c>
      <c r="F375" s="43">
        <f>IFERROR(SUMIFS(Infrastructure[2024],Infrastructure[[cluster]:[cluster]],"="&amp;$B375,Infrastructure[[variable_type]:[variable_type]],"CO2_pipe_new_capacity")/1000,"")</f>
        <v>0</v>
      </c>
      <c r="G375" s="43">
        <f>IFERROR(SUMIFS(Infrastructure[2025],Infrastructure[[cluster]:[cluster]],"="&amp;$B375,Infrastructure[[variable_type]:[variable_type]],"CO2_pipe_new_capacity")/1000,"")</f>
        <v>0</v>
      </c>
      <c r="H375" s="43">
        <f>IFERROR(SUMIFS(Infrastructure[2026],Infrastructure[[cluster]:[cluster]],"="&amp;$B375,Infrastructure[[variable_type]:[variable_type]],"CO2_pipe_new_capacity")/1000,"")</f>
        <v>0</v>
      </c>
      <c r="I375" s="43">
        <f>IFERROR(SUMIFS(Infrastructure[2027],Infrastructure[[cluster]:[cluster]],"="&amp;$B375,Infrastructure[[variable_type]:[variable_type]],"CO2_pipe_new_capacity")/1000,"")</f>
        <v>0</v>
      </c>
      <c r="J375" s="43">
        <f>IFERROR(SUMIFS(Infrastructure[2028],Infrastructure[[cluster]:[cluster]],"="&amp;$B375,Infrastructure[[variable_type]:[variable_type]],"CO2_pipe_new_capacity")/1000,"")</f>
        <v>0</v>
      </c>
      <c r="K375" s="43">
        <f>IFERROR(SUMIFS(Infrastructure[2029],Infrastructure[[cluster]:[cluster]],"="&amp;$B375,Infrastructure[[variable_type]:[variable_type]],"CO2_pipe_new_capacity")/1000,"")</f>
        <v>0</v>
      </c>
      <c r="L375" s="43">
        <f>IFERROR(SUMIFS(Infrastructure[2030],Infrastructure[[cluster]:[cluster]],"="&amp;$B375,Infrastructure[[variable_type]:[variable_type]],"CO2_pipe_new_capacity")/1000,"")</f>
        <v>0</v>
      </c>
      <c r="M375" s="43">
        <f>IFERROR(SUMIFS(Infrastructure[2031],Infrastructure[[cluster]:[cluster]],"="&amp;$B375,Infrastructure[[variable_type]:[variable_type]],"CO2_pipe_new_capacity")/1000,"")</f>
        <v>0</v>
      </c>
      <c r="N375" s="43">
        <f>IFERROR(SUMIFS(Infrastructure[2032],Infrastructure[[cluster]:[cluster]],"="&amp;$B375,Infrastructure[[variable_type]:[variable_type]],"CO2_pipe_new_capacity")/1000,"")</f>
        <v>0</v>
      </c>
      <c r="O375" s="43">
        <f>IFERROR(SUMIFS(Infrastructure[2033],Infrastructure[[cluster]:[cluster]],"="&amp;$B375,Infrastructure[[variable_type]:[variable_type]],"CO2_pipe_new_capacity")/1000,"")</f>
        <v>0</v>
      </c>
      <c r="P375" s="43">
        <f>IFERROR(SUMIFS(Infrastructure[2034],Infrastructure[[cluster]:[cluster]],"="&amp;$B375,Infrastructure[[variable_type]:[variable_type]],"CO2_pipe_new_capacity")/1000,"")</f>
        <v>0</v>
      </c>
      <c r="Q375" s="43">
        <f>IFERROR(SUMIFS(Infrastructure[2035],Infrastructure[[cluster]:[cluster]],"="&amp;$B375,Infrastructure[[variable_type]:[variable_type]],"CO2_pipe_new_capacity")/1000,"")</f>
        <v>0</v>
      </c>
      <c r="R375" s="43">
        <f>IFERROR(SUMIFS(Infrastructure[2036],Infrastructure[[cluster]:[cluster]],"="&amp;$B375,Infrastructure[[variable_type]:[variable_type]],"CO2_pipe_new_capacity")/1000,"")</f>
        <v>0</v>
      </c>
      <c r="S375" s="43">
        <f>IFERROR(SUMIFS(Infrastructure[2037],Infrastructure[[cluster]:[cluster]],"="&amp;$B375,Infrastructure[[variable_type]:[variable_type]],"CO2_pipe_new_capacity")/1000,"")</f>
        <v>0</v>
      </c>
      <c r="T375" s="43">
        <f>IFERROR(SUMIFS(Infrastructure[2038],Infrastructure[[cluster]:[cluster]],"="&amp;$B375,Infrastructure[[variable_type]:[variable_type]],"CO2_pipe_new_capacity")/1000,"")</f>
        <v>0</v>
      </c>
      <c r="U375" s="43">
        <f>IFERROR(SUMIFS(Infrastructure[2039],Infrastructure[[cluster]:[cluster]],"="&amp;$B375,Infrastructure[[variable_type]:[variable_type]],"CO2_pipe_new_capacity")/1000,"")</f>
        <v>0</v>
      </c>
      <c r="V375" s="43">
        <f>IFERROR(SUMIFS(Infrastructure[2040],Infrastructure[[cluster]:[cluster]],"="&amp;$B375,Infrastructure[[variable_type]:[variable_type]],"CO2_pipe_new_capacity")/1000,"")</f>
        <v>0</v>
      </c>
      <c r="W375" s="43">
        <f>IFERROR(SUMIFS(Infrastructure[2041],Infrastructure[[cluster]:[cluster]],"="&amp;$B375,Infrastructure[[variable_type]:[variable_type]],"CO2_pipe_new_capacity")/1000,"")</f>
        <v>0</v>
      </c>
      <c r="X375" s="43">
        <f>IFERROR(SUMIFS(Infrastructure[2042],Infrastructure[[cluster]:[cluster]],"="&amp;$B375,Infrastructure[[variable_type]:[variable_type]],"CO2_pipe_new_capacity")/1000,"")</f>
        <v>0</v>
      </c>
      <c r="Y375" s="43">
        <f>IFERROR(SUMIFS(Infrastructure[2043],Infrastructure[[cluster]:[cluster]],"="&amp;$B375,Infrastructure[[variable_type]:[variable_type]],"CO2_pipe_new_capacity")/1000,"")</f>
        <v>0</v>
      </c>
      <c r="Z375" s="43">
        <f>IFERROR(SUMIFS(Infrastructure[2044],Infrastructure[[cluster]:[cluster]],"="&amp;$B375,Infrastructure[[variable_type]:[variable_type]],"CO2_pipe_new_capacity")/1000,"")</f>
        <v>0</v>
      </c>
      <c r="AA375" s="43">
        <f>IFERROR(SUMIFS(Infrastructure[2045],Infrastructure[[cluster]:[cluster]],"="&amp;$B375,Infrastructure[[variable_type]:[variable_type]],"CO2_pipe_new_capacity")/1000,"")</f>
        <v>0</v>
      </c>
      <c r="AB375" s="43">
        <f>IFERROR(SUMIFS(Infrastructure[2046],Infrastructure[[cluster]:[cluster]],"="&amp;$B375,Infrastructure[[variable_type]:[variable_type]],"CO2_pipe_new_capacity")/1000,"")</f>
        <v>0</v>
      </c>
      <c r="AC375" s="43">
        <f>IFERROR(SUMIFS(Infrastructure[2047],Infrastructure[[cluster]:[cluster]],"="&amp;$B375,Infrastructure[[variable_type]:[variable_type]],"CO2_pipe_new_capacity")/1000,"")</f>
        <v>0</v>
      </c>
      <c r="AD375" s="43">
        <f>IFERROR(SUMIFS(Infrastructure[2048],Infrastructure[[cluster]:[cluster]],"="&amp;$B375,Infrastructure[[variable_type]:[variable_type]],"CO2_pipe_new_capacity")/1000,"")</f>
        <v>0</v>
      </c>
      <c r="AE375" s="43">
        <f>IFERROR(SUMIFS(Infrastructure[2049],Infrastructure[[cluster]:[cluster]],"="&amp;$B375,Infrastructure[[variable_type]:[variable_type]],"CO2_pipe_new_capacity")/1000,"")</f>
        <v>0</v>
      </c>
      <c r="AF375" s="43">
        <f>IFERROR(SUMIFS(Infrastructure[2050],Infrastructure[[cluster]:[cluster]],"="&amp;$B375,Infrastructure[[variable_type]:[variable_type]],"CO2_pipe_new_capacity")/1000,"")</f>
        <v>0</v>
      </c>
      <c r="AG375" s="43">
        <f>IFERROR(SUMIFS(Infrastructure[2051],Infrastructure[[cluster]:[cluster]],"="&amp;$B375,Infrastructure[[variable_type]:[variable_type]],"CO2_pipe_new_capacity")/1000,"")</f>
        <v>0</v>
      </c>
    </row>
    <row r="376" spans="1:33" x14ac:dyDescent="0.45">
      <c r="B376" t="s">
        <v>72</v>
      </c>
      <c r="C376" s="43">
        <f>IFERROR(SUMIFS(Infrastructure[2021],Infrastructure[[cluster]:[cluster]],"="&amp;$B376,Infrastructure[[variable_type]:[variable_type]],"CO2_pipe_new_capacity")/1000,"")</f>
        <v>0</v>
      </c>
      <c r="D376" s="43">
        <f>IFERROR(SUMIFS(Infrastructure[2022],Infrastructure[[cluster]:[cluster]],"="&amp;$B376,Infrastructure[[variable_type]:[variable_type]],"CO2_pipe_new_capacity")/1000,"")</f>
        <v>0</v>
      </c>
      <c r="E376" s="43">
        <f>IFERROR(SUMIFS(Infrastructure[2023],Infrastructure[[cluster]:[cluster]],"="&amp;$B376,Infrastructure[[variable_type]:[variable_type]],"CO2_pipe_new_capacity")/1000,"")</f>
        <v>0</v>
      </c>
      <c r="F376" s="43">
        <f>IFERROR(SUMIFS(Infrastructure[2024],Infrastructure[[cluster]:[cluster]],"="&amp;$B376,Infrastructure[[variable_type]:[variable_type]],"CO2_pipe_new_capacity")/1000,"")</f>
        <v>0</v>
      </c>
      <c r="G376" s="43">
        <f>IFERROR(SUMIFS(Infrastructure[2025],Infrastructure[[cluster]:[cluster]],"="&amp;$B376,Infrastructure[[variable_type]:[variable_type]],"CO2_pipe_new_capacity")/1000,"")</f>
        <v>0</v>
      </c>
      <c r="H376" s="43">
        <f>IFERROR(SUMIFS(Infrastructure[2026],Infrastructure[[cluster]:[cluster]],"="&amp;$B376,Infrastructure[[variable_type]:[variable_type]],"CO2_pipe_new_capacity")/1000,"")</f>
        <v>0</v>
      </c>
      <c r="I376" s="43">
        <f>IFERROR(SUMIFS(Infrastructure[2027],Infrastructure[[cluster]:[cluster]],"="&amp;$B376,Infrastructure[[variable_type]:[variable_type]],"CO2_pipe_new_capacity")/1000,"")</f>
        <v>0</v>
      </c>
      <c r="J376" s="43">
        <f>IFERROR(SUMIFS(Infrastructure[2028],Infrastructure[[cluster]:[cluster]],"="&amp;$B376,Infrastructure[[variable_type]:[variable_type]],"CO2_pipe_new_capacity")/1000,"")</f>
        <v>0</v>
      </c>
      <c r="K376" s="43">
        <f>IFERROR(SUMIFS(Infrastructure[2029],Infrastructure[[cluster]:[cluster]],"="&amp;$B376,Infrastructure[[variable_type]:[variable_type]],"CO2_pipe_new_capacity")/1000,"")</f>
        <v>0</v>
      </c>
      <c r="L376" s="43">
        <f>IFERROR(SUMIFS(Infrastructure[2030],Infrastructure[[cluster]:[cluster]],"="&amp;$B376,Infrastructure[[variable_type]:[variable_type]],"CO2_pipe_new_capacity")/1000,"")</f>
        <v>0</v>
      </c>
      <c r="M376" s="43">
        <f>IFERROR(SUMIFS(Infrastructure[2031],Infrastructure[[cluster]:[cluster]],"="&amp;$B376,Infrastructure[[variable_type]:[variable_type]],"CO2_pipe_new_capacity")/1000,"")</f>
        <v>0</v>
      </c>
      <c r="N376" s="43">
        <f>IFERROR(SUMIFS(Infrastructure[2032],Infrastructure[[cluster]:[cluster]],"="&amp;$B376,Infrastructure[[variable_type]:[variable_type]],"CO2_pipe_new_capacity")/1000,"")</f>
        <v>0</v>
      </c>
      <c r="O376" s="43">
        <f>IFERROR(SUMIFS(Infrastructure[2033],Infrastructure[[cluster]:[cluster]],"="&amp;$B376,Infrastructure[[variable_type]:[variable_type]],"CO2_pipe_new_capacity")/1000,"")</f>
        <v>0</v>
      </c>
      <c r="P376" s="43">
        <f>IFERROR(SUMIFS(Infrastructure[2034],Infrastructure[[cluster]:[cluster]],"="&amp;$B376,Infrastructure[[variable_type]:[variable_type]],"CO2_pipe_new_capacity")/1000,"")</f>
        <v>0</v>
      </c>
      <c r="Q376" s="43">
        <f>IFERROR(SUMIFS(Infrastructure[2035],Infrastructure[[cluster]:[cluster]],"="&amp;$B376,Infrastructure[[variable_type]:[variable_type]],"CO2_pipe_new_capacity")/1000,"")</f>
        <v>0</v>
      </c>
      <c r="R376" s="43">
        <f>IFERROR(SUMIFS(Infrastructure[2036],Infrastructure[[cluster]:[cluster]],"="&amp;$B376,Infrastructure[[variable_type]:[variable_type]],"CO2_pipe_new_capacity")/1000,"")</f>
        <v>0</v>
      </c>
      <c r="S376" s="43">
        <f>IFERROR(SUMIFS(Infrastructure[2037],Infrastructure[[cluster]:[cluster]],"="&amp;$B376,Infrastructure[[variable_type]:[variable_type]],"CO2_pipe_new_capacity")/1000,"")</f>
        <v>0</v>
      </c>
      <c r="T376" s="43">
        <f>IFERROR(SUMIFS(Infrastructure[2038],Infrastructure[[cluster]:[cluster]],"="&amp;$B376,Infrastructure[[variable_type]:[variable_type]],"CO2_pipe_new_capacity")/1000,"")</f>
        <v>0</v>
      </c>
      <c r="U376" s="43">
        <f>IFERROR(SUMIFS(Infrastructure[2039],Infrastructure[[cluster]:[cluster]],"="&amp;$B376,Infrastructure[[variable_type]:[variable_type]],"CO2_pipe_new_capacity")/1000,"")</f>
        <v>0</v>
      </c>
      <c r="V376" s="43">
        <f>IFERROR(SUMIFS(Infrastructure[2040],Infrastructure[[cluster]:[cluster]],"="&amp;$B376,Infrastructure[[variable_type]:[variable_type]],"CO2_pipe_new_capacity")/1000,"")</f>
        <v>0</v>
      </c>
      <c r="W376" s="43">
        <f>IFERROR(SUMIFS(Infrastructure[2041],Infrastructure[[cluster]:[cluster]],"="&amp;$B376,Infrastructure[[variable_type]:[variable_type]],"CO2_pipe_new_capacity")/1000,"")</f>
        <v>0</v>
      </c>
      <c r="X376" s="43">
        <f>IFERROR(SUMIFS(Infrastructure[2042],Infrastructure[[cluster]:[cluster]],"="&amp;$B376,Infrastructure[[variable_type]:[variable_type]],"CO2_pipe_new_capacity")/1000,"")</f>
        <v>0</v>
      </c>
      <c r="Y376" s="43">
        <f>IFERROR(SUMIFS(Infrastructure[2043],Infrastructure[[cluster]:[cluster]],"="&amp;$B376,Infrastructure[[variable_type]:[variable_type]],"CO2_pipe_new_capacity")/1000,"")</f>
        <v>0</v>
      </c>
      <c r="Z376" s="43">
        <f>IFERROR(SUMIFS(Infrastructure[2044],Infrastructure[[cluster]:[cluster]],"="&amp;$B376,Infrastructure[[variable_type]:[variable_type]],"CO2_pipe_new_capacity")/1000,"")</f>
        <v>0</v>
      </c>
      <c r="AA376" s="43">
        <f>IFERROR(SUMIFS(Infrastructure[2045],Infrastructure[[cluster]:[cluster]],"="&amp;$B376,Infrastructure[[variable_type]:[variable_type]],"CO2_pipe_new_capacity")/1000,"")</f>
        <v>0</v>
      </c>
      <c r="AB376" s="43">
        <f>IFERROR(SUMIFS(Infrastructure[2046],Infrastructure[[cluster]:[cluster]],"="&amp;$B376,Infrastructure[[variable_type]:[variable_type]],"CO2_pipe_new_capacity")/1000,"")</f>
        <v>0</v>
      </c>
      <c r="AC376" s="43">
        <f>IFERROR(SUMIFS(Infrastructure[2047],Infrastructure[[cluster]:[cluster]],"="&amp;$B376,Infrastructure[[variable_type]:[variable_type]],"CO2_pipe_new_capacity")/1000,"")</f>
        <v>0</v>
      </c>
      <c r="AD376" s="43">
        <f>IFERROR(SUMIFS(Infrastructure[2048],Infrastructure[[cluster]:[cluster]],"="&amp;$B376,Infrastructure[[variable_type]:[variable_type]],"CO2_pipe_new_capacity")/1000,"")</f>
        <v>0</v>
      </c>
      <c r="AE376" s="43">
        <f>IFERROR(SUMIFS(Infrastructure[2049],Infrastructure[[cluster]:[cluster]],"="&amp;$B376,Infrastructure[[variable_type]:[variable_type]],"CO2_pipe_new_capacity")/1000,"")</f>
        <v>0</v>
      </c>
      <c r="AF376" s="43">
        <f>IFERROR(SUMIFS(Infrastructure[2050],Infrastructure[[cluster]:[cluster]],"="&amp;$B376,Infrastructure[[variable_type]:[variable_type]],"CO2_pipe_new_capacity")/1000,"")</f>
        <v>0</v>
      </c>
      <c r="AG376" s="43">
        <f>IFERROR(SUMIFS(Infrastructure[2051],Infrastructure[[cluster]:[cluster]],"="&amp;$B376,Infrastructure[[variable_type]:[variable_type]],"CO2_pipe_new_capacity")/1000,"")</f>
        <v>0</v>
      </c>
    </row>
    <row r="377" spans="1:33" x14ac:dyDescent="0.45">
      <c r="B377" t="s">
        <v>73</v>
      </c>
      <c r="C377" s="43">
        <f>IFERROR(SUMIFS(Infrastructure[2021],Infrastructure[[cluster]:[cluster]],"="&amp;$B377,Infrastructure[[variable_type]:[variable_type]],"CO2_pipe_new_capacity")/1000,"")</f>
        <v>0</v>
      </c>
      <c r="D377" s="43">
        <f>IFERROR(SUMIFS(Infrastructure[2022],Infrastructure[[cluster]:[cluster]],"="&amp;$B377,Infrastructure[[variable_type]:[variable_type]],"CO2_pipe_new_capacity")/1000,"")</f>
        <v>0</v>
      </c>
      <c r="E377" s="43">
        <f>IFERROR(SUMIFS(Infrastructure[2023],Infrastructure[[cluster]:[cluster]],"="&amp;$B377,Infrastructure[[variable_type]:[variable_type]],"CO2_pipe_new_capacity")/1000,"")</f>
        <v>0</v>
      </c>
      <c r="F377" s="43">
        <f>IFERROR(SUMIFS(Infrastructure[2024],Infrastructure[[cluster]:[cluster]],"="&amp;$B377,Infrastructure[[variable_type]:[variable_type]],"CO2_pipe_new_capacity")/1000,"")</f>
        <v>0</v>
      </c>
      <c r="G377" s="43">
        <f>IFERROR(SUMIFS(Infrastructure[2025],Infrastructure[[cluster]:[cluster]],"="&amp;$B377,Infrastructure[[variable_type]:[variable_type]],"CO2_pipe_new_capacity")/1000,"")</f>
        <v>0</v>
      </c>
      <c r="H377" s="43">
        <f>IFERROR(SUMIFS(Infrastructure[2026],Infrastructure[[cluster]:[cluster]],"="&amp;$B377,Infrastructure[[variable_type]:[variable_type]],"CO2_pipe_new_capacity")/1000,"")</f>
        <v>0</v>
      </c>
      <c r="I377" s="43">
        <f>IFERROR(SUMIFS(Infrastructure[2027],Infrastructure[[cluster]:[cluster]],"="&amp;$B377,Infrastructure[[variable_type]:[variable_type]],"CO2_pipe_new_capacity")/1000,"")</f>
        <v>0</v>
      </c>
      <c r="J377" s="43">
        <f>IFERROR(SUMIFS(Infrastructure[2028],Infrastructure[[cluster]:[cluster]],"="&amp;$B377,Infrastructure[[variable_type]:[variable_type]],"CO2_pipe_new_capacity")/1000,"")</f>
        <v>0</v>
      </c>
      <c r="K377" s="43">
        <f>IFERROR(SUMIFS(Infrastructure[2029],Infrastructure[[cluster]:[cluster]],"="&amp;$B377,Infrastructure[[variable_type]:[variable_type]],"CO2_pipe_new_capacity")/1000,"")</f>
        <v>0</v>
      </c>
      <c r="L377" s="43">
        <f>IFERROR(SUMIFS(Infrastructure[2030],Infrastructure[[cluster]:[cluster]],"="&amp;$B377,Infrastructure[[variable_type]:[variable_type]],"CO2_pipe_new_capacity")/1000,"")</f>
        <v>0</v>
      </c>
      <c r="M377" s="43">
        <f>IFERROR(SUMIFS(Infrastructure[2031],Infrastructure[[cluster]:[cluster]],"="&amp;$B377,Infrastructure[[variable_type]:[variable_type]],"CO2_pipe_new_capacity")/1000,"")</f>
        <v>0</v>
      </c>
      <c r="N377" s="43">
        <f>IFERROR(SUMIFS(Infrastructure[2032],Infrastructure[[cluster]:[cluster]],"="&amp;$B377,Infrastructure[[variable_type]:[variable_type]],"CO2_pipe_new_capacity")/1000,"")</f>
        <v>0</v>
      </c>
      <c r="O377" s="43">
        <f>IFERROR(SUMIFS(Infrastructure[2033],Infrastructure[[cluster]:[cluster]],"="&amp;$B377,Infrastructure[[variable_type]:[variable_type]],"CO2_pipe_new_capacity")/1000,"")</f>
        <v>0</v>
      </c>
      <c r="P377" s="43">
        <f>IFERROR(SUMIFS(Infrastructure[2034],Infrastructure[[cluster]:[cluster]],"="&amp;$B377,Infrastructure[[variable_type]:[variable_type]],"CO2_pipe_new_capacity")/1000,"")</f>
        <v>0</v>
      </c>
      <c r="Q377" s="43">
        <f>IFERROR(SUMIFS(Infrastructure[2035],Infrastructure[[cluster]:[cluster]],"="&amp;$B377,Infrastructure[[variable_type]:[variable_type]],"CO2_pipe_new_capacity")/1000,"")</f>
        <v>0</v>
      </c>
      <c r="R377" s="43">
        <f>IFERROR(SUMIFS(Infrastructure[2036],Infrastructure[[cluster]:[cluster]],"="&amp;$B377,Infrastructure[[variable_type]:[variable_type]],"CO2_pipe_new_capacity")/1000,"")</f>
        <v>0</v>
      </c>
      <c r="S377" s="43">
        <f>IFERROR(SUMIFS(Infrastructure[2037],Infrastructure[[cluster]:[cluster]],"="&amp;$B377,Infrastructure[[variable_type]:[variable_type]],"CO2_pipe_new_capacity")/1000,"")</f>
        <v>0</v>
      </c>
      <c r="T377" s="43">
        <f>IFERROR(SUMIFS(Infrastructure[2038],Infrastructure[[cluster]:[cluster]],"="&amp;$B377,Infrastructure[[variable_type]:[variable_type]],"CO2_pipe_new_capacity")/1000,"")</f>
        <v>0</v>
      </c>
      <c r="U377" s="43">
        <f>IFERROR(SUMIFS(Infrastructure[2039],Infrastructure[[cluster]:[cluster]],"="&amp;$B377,Infrastructure[[variable_type]:[variable_type]],"CO2_pipe_new_capacity")/1000,"")</f>
        <v>0</v>
      </c>
      <c r="V377" s="43">
        <f>IFERROR(SUMIFS(Infrastructure[2040],Infrastructure[[cluster]:[cluster]],"="&amp;$B377,Infrastructure[[variable_type]:[variable_type]],"CO2_pipe_new_capacity")/1000,"")</f>
        <v>0</v>
      </c>
      <c r="W377" s="43">
        <f>IFERROR(SUMIFS(Infrastructure[2041],Infrastructure[[cluster]:[cluster]],"="&amp;$B377,Infrastructure[[variable_type]:[variable_type]],"CO2_pipe_new_capacity")/1000,"")</f>
        <v>0</v>
      </c>
      <c r="X377" s="43">
        <f>IFERROR(SUMIFS(Infrastructure[2042],Infrastructure[[cluster]:[cluster]],"="&amp;$B377,Infrastructure[[variable_type]:[variable_type]],"CO2_pipe_new_capacity")/1000,"")</f>
        <v>0</v>
      </c>
      <c r="Y377" s="43">
        <f>IFERROR(SUMIFS(Infrastructure[2043],Infrastructure[[cluster]:[cluster]],"="&amp;$B377,Infrastructure[[variable_type]:[variable_type]],"CO2_pipe_new_capacity")/1000,"")</f>
        <v>0</v>
      </c>
      <c r="Z377" s="43">
        <f>IFERROR(SUMIFS(Infrastructure[2044],Infrastructure[[cluster]:[cluster]],"="&amp;$B377,Infrastructure[[variable_type]:[variable_type]],"CO2_pipe_new_capacity")/1000,"")</f>
        <v>0</v>
      </c>
      <c r="AA377" s="43">
        <f>IFERROR(SUMIFS(Infrastructure[2045],Infrastructure[[cluster]:[cluster]],"="&amp;$B377,Infrastructure[[variable_type]:[variable_type]],"CO2_pipe_new_capacity")/1000,"")</f>
        <v>0</v>
      </c>
      <c r="AB377" s="43">
        <f>IFERROR(SUMIFS(Infrastructure[2046],Infrastructure[[cluster]:[cluster]],"="&amp;$B377,Infrastructure[[variable_type]:[variable_type]],"CO2_pipe_new_capacity")/1000,"")</f>
        <v>0</v>
      </c>
      <c r="AC377" s="43">
        <f>IFERROR(SUMIFS(Infrastructure[2047],Infrastructure[[cluster]:[cluster]],"="&amp;$B377,Infrastructure[[variable_type]:[variable_type]],"CO2_pipe_new_capacity")/1000,"")</f>
        <v>0</v>
      </c>
      <c r="AD377" s="43">
        <f>IFERROR(SUMIFS(Infrastructure[2048],Infrastructure[[cluster]:[cluster]],"="&amp;$B377,Infrastructure[[variable_type]:[variable_type]],"CO2_pipe_new_capacity")/1000,"")</f>
        <v>0</v>
      </c>
      <c r="AE377" s="43">
        <f>IFERROR(SUMIFS(Infrastructure[2049],Infrastructure[[cluster]:[cluster]],"="&amp;$B377,Infrastructure[[variable_type]:[variable_type]],"CO2_pipe_new_capacity")/1000,"")</f>
        <v>0</v>
      </c>
      <c r="AF377" s="43">
        <f>IFERROR(SUMIFS(Infrastructure[2050],Infrastructure[[cluster]:[cluster]],"="&amp;$B377,Infrastructure[[variable_type]:[variable_type]],"CO2_pipe_new_capacity")/1000,"")</f>
        <v>0</v>
      </c>
      <c r="AG377" s="43">
        <f>IFERROR(SUMIFS(Infrastructure[2051],Infrastructure[[cluster]:[cluster]],"="&amp;$B377,Infrastructure[[variable_type]:[variable_type]],"CO2_pipe_new_capacity")/1000,"")</f>
        <v>0</v>
      </c>
    </row>
    <row r="378" spans="1:33" x14ac:dyDescent="0.45">
      <c r="B378" t="s">
        <v>74</v>
      </c>
      <c r="C378" s="43">
        <f>IFERROR(SUMIFS(Infrastructure[2021],Infrastructure[[cluster]:[cluster]],"="&amp;$B378,Infrastructure[[variable_type]:[variable_type]],"CO2_pipe_new_capacity")/1000,"")</f>
        <v>0</v>
      </c>
      <c r="D378" s="43">
        <f>IFERROR(SUMIFS(Infrastructure[2022],Infrastructure[[cluster]:[cluster]],"="&amp;$B378,Infrastructure[[variable_type]:[variable_type]],"CO2_pipe_new_capacity")/1000,"")</f>
        <v>0</v>
      </c>
      <c r="E378" s="43">
        <f>IFERROR(SUMIFS(Infrastructure[2023],Infrastructure[[cluster]:[cluster]],"="&amp;$B378,Infrastructure[[variable_type]:[variable_type]],"CO2_pipe_new_capacity")/1000,"")</f>
        <v>0</v>
      </c>
      <c r="F378" s="43">
        <f>IFERROR(SUMIFS(Infrastructure[2024],Infrastructure[[cluster]:[cluster]],"="&amp;$B378,Infrastructure[[variable_type]:[variable_type]],"CO2_pipe_new_capacity")/1000,"")</f>
        <v>0</v>
      </c>
      <c r="G378" s="43">
        <f>IFERROR(SUMIFS(Infrastructure[2025],Infrastructure[[cluster]:[cluster]],"="&amp;$B378,Infrastructure[[variable_type]:[variable_type]],"CO2_pipe_new_capacity")/1000,"")</f>
        <v>0</v>
      </c>
      <c r="H378" s="43">
        <f>IFERROR(SUMIFS(Infrastructure[2026],Infrastructure[[cluster]:[cluster]],"="&amp;$B378,Infrastructure[[variable_type]:[variable_type]],"CO2_pipe_new_capacity")/1000,"")</f>
        <v>0</v>
      </c>
      <c r="I378" s="43">
        <f>IFERROR(SUMIFS(Infrastructure[2027],Infrastructure[[cluster]:[cluster]],"="&amp;$B378,Infrastructure[[variable_type]:[variable_type]],"CO2_pipe_new_capacity")/1000,"")</f>
        <v>0</v>
      </c>
      <c r="J378" s="43">
        <f>IFERROR(SUMIFS(Infrastructure[2028],Infrastructure[[cluster]:[cluster]],"="&amp;$B378,Infrastructure[[variable_type]:[variable_type]],"CO2_pipe_new_capacity")/1000,"")</f>
        <v>0</v>
      </c>
      <c r="K378" s="43">
        <f>IFERROR(SUMIFS(Infrastructure[2029],Infrastructure[[cluster]:[cluster]],"="&amp;$B378,Infrastructure[[variable_type]:[variable_type]],"CO2_pipe_new_capacity")/1000,"")</f>
        <v>0</v>
      </c>
      <c r="L378" s="43">
        <f>IFERROR(SUMIFS(Infrastructure[2030],Infrastructure[[cluster]:[cluster]],"="&amp;$B378,Infrastructure[[variable_type]:[variable_type]],"CO2_pipe_new_capacity")/1000,"")</f>
        <v>0</v>
      </c>
      <c r="M378" s="43">
        <f>IFERROR(SUMIFS(Infrastructure[2031],Infrastructure[[cluster]:[cluster]],"="&amp;$B378,Infrastructure[[variable_type]:[variable_type]],"CO2_pipe_new_capacity")/1000,"")</f>
        <v>0</v>
      </c>
      <c r="N378" s="43">
        <f>IFERROR(SUMIFS(Infrastructure[2032],Infrastructure[[cluster]:[cluster]],"="&amp;$B378,Infrastructure[[variable_type]:[variable_type]],"CO2_pipe_new_capacity")/1000,"")</f>
        <v>0</v>
      </c>
      <c r="O378" s="43">
        <f>IFERROR(SUMIFS(Infrastructure[2033],Infrastructure[[cluster]:[cluster]],"="&amp;$B378,Infrastructure[[variable_type]:[variable_type]],"CO2_pipe_new_capacity")/1000,"")</f>
        <v>0</v>
      </c>
      <c r="P378" s="43">
        <f>IFERROR(SUMIFS(Infrastructure[2034],Infrastructure[[cluster]:[cluster]],"="&amp;$B378,Infrastructure[[variable_type]:[variable_type]],"CO2_pipe_new_capacity")/1000,"")</f>
        <v>0</v>
      </c>
      <c r="Q378" s="43">
        <f>IFERROR(SUMIFS(Infrastructure[2035],Infrastructure[[cluster]:[cluster]],"="&amp;$B378,Infrastructure[[variable_type]:[variable_type]],"CO2_pipe_new_capacity")/1000,"")</f>
        <v>0</v>
      </c>
      <c r="R378" s="43">
        <f>IFERROR(SUMIFS(Infrastructure[2036],Infrastructure[[cluster]:[cluster]],"="&amp;$B378,Infrastructure[[variable_type]:[variable_type]],"CO2_pipe_new_capacity")/1000,"")</f>
        <v>0</v>
      </c>
      <c r="S378" s="43">
        <f>IFERROR(SUMIFS(Infrastructure[2037],Infrastructure[[cluster]:[cluster]],"="&amp;$B378,Infrastructure[[variable_type]:[variable_type]],"CO2_pipe_new_capacity")/1000,"")</f>
        <v>0</v>
      </c>
      <c r="T378" s="43">
        <f>IFERROR(SUMIFS(Infrastructure[2038],Infrastructure[[cluster]:[cluster]],"="&amp;$B378,Infrastructure[[variable_type]:[variable_type]],"CO2_pipe_new_capacity")/1000,"")</f>
        <v>0</v>
      </c>
      <c r="U378" s="43">
        <f>IFERROR(SUMIFS(Infrastructure[2039],Infrastructure[[cluster]:[cluster]],"="&amp;$B378,Infrastructure[[variable_type]:[variable_type]],"CO2_pipe_new_capacity")/1000,"")</f>
        <v>0</v>
      </c>
      <c r="V378" s="43">
        <f>IFERROR(SUMIFS(Infrastructure[2040],Infrastructure[[cluster]:[cluster]],"="&amp;$B378,Infrastructure[[variable_type]:[variable_type]],"CO2_pipe_new_capacity")/1000,"")</f>
        <v>0</v>
      </c>
      <c r="W378" s="43">
        <f>IFERROR(SUMIFS(Infrastructure[2041],Infrastructure[[cluster]:[cluster]],"="&amp;$B378,Infrastructure[[variable_type]:[variable_type]],"CO2_pipe_new_capacity")/1000,"")</f>
        <v>0</v>
      </c>
      <c r="X378" s="43">
        <f>IFERROR(SUMIFS(Infrastructure[2042],Infrastructure[[cluster]:[cluster]],"="&amp;$B378,Infrastructure[[variable_type]:[variable_type]],"CO2_pipe_new_capacity")/1000,"")</f>
        <v>0</v>
      </c>
      <c r="Y378" s="43">
        <f>IFERROR(SUMIFS(Infrastructure[2043],Infrastructure[[cluster]:[cluster]],"="&amp;$B378,Infrastructure[[variable_type]:[variable_type]],"CO2_pipe_new_capacity")/1000,"")</f>
        <v>0</v>
      </c>
      <c r="Z378" s="43">
        <f>IFERROR(SUMIFS(Infrastructure[2044],Infrastructure[[cluster]:[cluster]],"="&amp;$B378,Infrastructure[[variable_type]:[variable_type]],"CO2_pipe_new_capacity")/1000,"")</f>
        <v>0</v>
      </c>
      <c r="AA378" s="43">
        <f>IFERROR(SUMIFS(Infrastructure[2045],Infrastructure[[cluster]:[cluster]],"="&amp;$B378,Infrastructure[[variable_type]:[variable_type]],"CO2_pipe_new_capacity")/1000,"")</f>
        <v>0</v>
      </c>
      <c r="AB378" s="43">
        <f>IFERROR(SUMIFS(Infrastructure[2046],Infrastructure[[cluster]:[cluster]],"="&amp;$B378,Infrastructure[[variable_type]:[variable_type]],"CO2_pipe_new_capacity")/1000,"")</f>
        <v>0</v>
      </c>
      <c r="AC378" s="43">
        <f>IFERROR(SUMIFS(Infrastructure[2047],Infrastructure[[cluster]:[cluster]],"="&amp;$B378,Infrastructure[[variable_type]:[variable_type]],"CO2_pipe_new_capacity")/1000,"")</f>
        <v>0</v>
      </c>
      <c r="AD378" s="43">
        <f>IFERROR(SUMIFS(Infrastructure[2048],Infrastructure[[cluster]:[cluster]],"="&amp;$B378,Infrastructure[[variable_type]:[variable_type]],"CO2_pipe_new_capacity")/1000,"")</f>
        <v>0</v>
      </c>
      <c r="AE378" s="43">
        <f>IFERROR(SUMIFS(Infrastructure[2049],Infrastructure[[cluster]:[cluster]],"="&amp;$B378,Infrastructure[[variable_type]:[variable_type]],"CO2_pipe_new_capacity")/1000,"")</f>
        <v>0</v>
      </c>
      <c r="AF378" s="43">
        <f>IFERROR(SUMIFS(Infrastructure[2050],Infrastructure[[cluster]:[cluster]],"="&amp;$B378,Infrastructure[[variable_type]:[variable_type]],"CO2_pipe_new_capacity")/1000,"")</f>
        <v>0</v>
      </c>
      <c r="AG378" s="43">
        <f>IFERROR(SUMIFS(Infrastructure[2051],Infrastructure[[cluster]:[cluster]],"="&amp;$B378,Infrastructure[[variable_type]:[variable_type]],"CO2_pipe_new_capacity")/1000,"")</f>
        <v>0</v>
      </c>
    </row>
    <row r="379" spans="1:33" x14ac:dyDescent="0.45">
      <c r="B379" t="s">
        <v>75</v>
      </c>
      <c r="C379" s="43">
        <f>IFERROR(SUMIFS(Infrastructure[2021],Infrastructure[[cluster]:[cluster]],"="&amp;$B379,Infrastructure[[variable_type]:[variable_type]],"CO2_pipe_new_capacity")/1000,"")</f>
        <v>0</v>
      </c>
      <c r="D379" s="43">
        <f>IFERROR(SUMIFS(Infrastructure[2022],Infrastructure[[cluster]:[cluster]],"="&amp;$B379,Infrastructure[[variable_type]:[variable_type]],"CO2_pipe_new_capacity")/1000,"")</f>
        <v>0</v>
      </c>
      <c r="E379" s="43">
        <f>IFERROR(SUMIFS(Infrastructure[2023],Infrastructure[[cluster]:[cluster]],"="&amp;$B379,Infrastructure[[variable_type]:[variable_type]],"CO2_pipe_new_capacity")/1000,"")</f>
        <v>0</v>
      </c>
      <c r="F379" s="43">
        <f>IFERROR(SUMIFS(Infrastructure[2024],Infrastructure[[cluster]:[cluster]],"="&amp;$B379,Infrastructure[[variable_type]:[variable_type]],"CO2_pipe_new_capacity")/1000,"")</f>
        <v>0</v>
      </c>
      <c r="G379" s="43">
        <f>IFERROR(SUMIFS(Infrastructure[2025],Infrastructure[[cluster]:[cluster]],"="&amp;$B379,Infrastructure[[variable_type]:[variable_type]],"CO2_pipe_new_capacity")/1000,"")</f>
        <v>0</v>
      </c>
      <c r="H379" s="43">
        <f>IFERROR(SUMIFS(Infrastructure[2026],Infrastructure[[cluster]:[cluster]],"="&amp;$B379,Infrastructure[[variable_type]:[variable_type]],"CO2_pipe_new_capacity")/1000,"")</f>
        <v>0</v>
      </c>
      <c r="I379" s="43">
        <f>IFERROR(SUMIFS(Infrastructure[2027],Infrastructure[[cluster]:[cluster]],"="&amp;$B379,Infrastructure[[variable_type]:[variable_type]],"CO2_pipe_new_capacity")/1000,"")</f>
        <v>0</v>
      </c>
      <c r="J379" s="43">
        <f>IFERROR(SUMIFS(Infrastructure[2028],Infrastructure[[cluster]:[cluster]],"="&amp;$B379,Infrastructure[[variable_type]:[variable_type]],"CO2_pipe_new_capacity")/1000,"")</f>
        <v>0</v>
      </c>
      <c r="K379" s="43">
        <f>IFERROR(SUMIFS(Infrastructure[2029],Infrastructure[[cluster]:[cluster]],"="&amp;$B379,Infrastructure[[variable_type]:[variable_type]],"CO2_pipe_new_capacity")/1000,"")</f>
        <v>0</v>
      </c>
      <c r="L379" s="43">
        <f>IFERROR(SUMIFS(Infrastructure[2030],Infrastructure[[cluster]:[cluster]],"="&amp;$B379,Infrastructure[[variable_type]:[variable_type]],"CO2_pipe_new_capacity")/1000,"")</f>
        <v>0</v>
      </c>
      <c r="M379" s="43">
        <f>IFERROR(SUMIFS(Infrastructure[2031],Infrastructure[[cluster]:[cluster]],"="&amp;$B379,Infrastructure[[variable_type]:[variable_type]],"CO2_pipe_new_capacity")/1000,"")</f>
        <v>0</v>
      </c>
      <c r="N379" s="43">
        <f>IFERROR(SUMIFS(Infrastructure[2032],Infrastructure[[cluster]:[cluster]],"="&amp;$B379,Infrastructure[[variable_type]:[variable_type]],"CO2_pipe_new_capacity")/1000,"")</f>
        <v>0</v>
      </c>
      <c r="O379" s="43">
        <f>IFERROR(SUMIFS(Infrastructure[2033],Infrastructure[[cluster]:[cluster]],"="&amp;$B379,Infrastructure[[variable_type]:[variable_type]],"CO2_pipe_new_capacity")/1000,"")</f>
        <v>0</v>
      </c>
      <c r="P379" s="43">
        <f>IFERROR(SUMIFS(Infrastructure[2034],Infrastructure[[cluster]:[cluster]],"="&amp;$B379,Infrastructure[[variable_type]:[variable_type]],"CO2_pipe_new_capacity")/1000,"")</f>
        <v>0</v>
      </c>
      <c r="Q379" s="43">
        <f>IFERROR(SUMIFS(Infrastructure[2035],Infrastructure[[cluster]:[cluster]],"="&amp;$B379,Infrastructure[[variable_type]:[variable_type]],"CO2_pipe_new_capacity")/1000,"")</f>
        <v>0</v>
      </c>
      <c r="R379" s="43">
        <f>IFERROR(SUMIFS(Infrastructure[2036],Infrastructure[[cluster]:[cluster]],"="&amp;$B379,Infrastructure[[variable_type]:[variable_type]],"CO2_pipe_new_capacity")/1000,"")</f>
        <v>0</v>
      </c>
      <c r="S379" s="43">
        <f>IFERROR(SUMIFS(Infrastructure[2037],Infrastructure[[cluster]:[cluster]],"="&amp;$B379,Infrastructure[[variable_type]:[variable_type]],"CO2_pipe_new_capacity")/1000,"")</f>
        <v>0</v>
      </c>
      <c r="T379" s="43">
        <f>IFERROR(SUMIFS(Infrastructure[2038],Infrastructure[[cluster]:[cluster]],"="&amp;$B379,Infrastructure[[variable_type]:[variable_type]],"CO2_pipe_new_capacity")/1000,"")</f>
        <v>0</v>
      </c>
      <c r="U379" s="43">
        <f>IFERROR(SUMIFS(Infrastructure[2039],Infrastructure[[cluster]:[cluster]],"="&amp;$B379,Infrastructure[[variable_type]:[variable_type]],"CO2_pipe_new_capacity")/1000,"")</f>
        <v>0</v>
      </c>
      <c r="V379" s="43">
        <f>IFERROR(SUMIFS(Infrastructure[2040],Infrastructure[[cluster]:[cluster]],"="&amp;$B379,Infrastructure[[variable_type]:[variable_type]],"CO2_pipe_new_capacity")/1000,"")</f>
        <v>0</v>
      </c>
      <c r="W379" s="43">
        <f>IFERROR(SUMIFS(Infrastructure[2041],Infrastructure[[cluster]:[cluster]],"="&amp;$B379,Infrastructure[[variable_type]:[variable_type]],"CO2_pipe_new_capacity")/1000,"")</f>
        <v>0</v>
      </c>
      <c r="X379" s="43">
        <f>IFERROR(SUMIFS(Infrastructure[2042],Infrastructure[[cluster]:[cluster]],"="&amp;$B379,Infrastructure[[variable_type]:[variable_type]],"CO2_pipe_new_capacity")/1000,"")</f>
        <v>0</v>
      </c>
      <c r="Y379" s="43">
        <f>IFERROR(SUMIFS(Infrastructure[2043],Infrastructure[[cluster]:[cluster]],"="&amp;$B379,Infrastructure[[variable_type]:[variable_type]],"CO2_pipe_new_capacity")/1000,"")</f>
        <v>0</v>
      </c>
      <c r="Z379" s="43">
        <f>IFERROR(SUMIFS(Infrastructure[2044],Infrastructure[[cluster]:[cluster]],"="&amp;$B379,Infrastructure[[variable_type]:[variable_type]],"CO2_pipe_new_capacity")/1000,"")</f>
        <v>0</v>
      </c>
      <c r="AA379" s="43">
        <f>IFERROR(SUMIFS(Infrastructure[2045],Infrastructure[[cluster]:[cluster]],"="&amp;$B379,Infrastructure[[variable_type]:[variable_type]],"CO2_pipe_new_capacity")/1000,"")</f>
        <v>0</v>
      </c>
      <c r="AB379" s="43">
        <f>IFERROR(SUMIFS(Infrastructure[2046],Infrastructure[[cluster]:[cluster]],"="&amp;$B379,Infrastructure[[variable_type]:[variable_type]],"CO2_pipe_new_capacity")/1000,"")</f>
        <v>0</v>
      </c>
      <c r="AC379" s="43">
        <f>IFERROR(SUMIFS(Infrastructure[2047],Infrastructure[[cluster]:[cluster]],"="&amp;$B379,Infrastructure[[variable_type]:[variable_type]],"CO2_pipe_new_capacity")/1000,"")</f>
        <v>0</v>
      </c>
      <c r="AD379" s="43">
        <f>IFERROR(SUMIFS(Infrastructure[2048],Infrastructure[[cluster]:[cluster]],"="&amp;$B379,Infrastructure[[variable_type]:[variable_type]],"CO2_pipe_new_capacity")/1000,"")</f>
        <v>0</v>
      </c>
      <c r="AE379" s="43">
        <f>IFERROR(SUMIFS(Infrastructure[2049],Infrastructure[[cluster]:[cluster]],"="&amp;$B379,Infrastructure[[variable_type]:[variable_type]],"CO2_pipe_new_capacity")/1000,"")</f>
        <v>0</v>
      </c>
      <c r="AF379" s="43">
        <f>IFERROR(SUMIFS(Infrastructure[2050],Infrastructure[[cluster]:[cluster]],"="&amp;$B379,Infrastructure[[variable_type]:[variable_type]],"CO2_pipe_new_capacity")/1000,"")</f>
        <v>0</v>
      </c>
      <c r="AG379" s="43">
        <f>IFERROR(SUMIFS(Infrastructure[2051],Infrastructure[[cluster]:[cluster]],"="&amp;$B379,Infrastructure[[variable_type]:[variable_type]],"CO2_pipe_new_capacity")/1000,"")</f>
        <v>0</v>
      </c>
    </row>
    <row r="380" spans="1:33" x14ac:dyDescent="0.45">
      <c r="B380" t="s">
        <v>76</v>
      </c>
      <c r="C380" s="43">
        <f>IFERROR(SUMIFS(Infrastructure[2021],Infrastructure[[cluster]:[cluster]],"="&amp;$B380,Infrastructure[[variable_type]:[variable_type]],"CO2_pipe_new_capacity")/1000,"")</f>
        <v>0</v>
      </c>
      <c r="D380" s="43">
        <f>IFERROR(SUMIFS(Infrastructure[2022],Infrastructure[[cluster]:[cluster]],"="&amp;$B380,Infrastructure[[variable_type]:[variable_type]],"CO2_pipe_new_capacity")/1000,"")</f>
        <v>0</v>
      </c>
      <c r="E380" s="43">
        <f>IFERROR(SUMIFS(Infrastructure[2023],Infrastructure[[cluster]:[cluster]],"="&amp;$B380,Infrastructure[[variable_type]:[variable_type]],"CO2_pipe_new_capacity")/1000,"")</f>
        <v>0</v>
      </c>
      <c r="F380" s="43">
        <f>IFERROR(SUMIFS(Infrastructure[2024],Infrastructure[[cluster]:[cluster]],"="&amp;$B380,Infrastructure[[variable_type]:[variable_type]],"CO2_pipe_new_capacity")/1000,"")</f>
        <v>0</v>
      </c>
      <c r="G380" s="43">
        <f>IFERROR(SUMIFS(Infrastructure[2025],Infrastructure[[cluster]:[cluster]],"="&amp;$B380,Infrastructure[[variable_type]:[variable_type]],"CO2_pipe_new_capacity")/1000,"")</f>
        <v>0</v>
      </c>
      <c r="H380" s="43">
        <f>IFERROR(SUMIFS(Infrastructure[2026],Infrastructure[[cluster]:[cluster]],"="&amp;$B380,Infrastructure[[variable_type]:[variable_type]],"CO2_pipe_new_capacity")/1000,"")</f>
        <v>0</v>
      </c>
      <c r="I380" s="43">
        <f>IFERROR(SUMIFS(Infrastructure[2027],Infrastructure[[cluster]:[cluster]],"="&amp;$B380,Infrastructure[[variable_type]:[variable_type]],"CO2_pipe_new_capacity")/1000,"")</f>
        <v>0</v>
      </c>
      <c r="J380" s="43">
        <f>IFERROR(SUMIFS(Infrastructure[2028],Infrastructure[[cluster]:[cluster]],"="&amp;$B380,Infrastructure[[variable_type]:[variable_type]],"CO2_pipe_new_capacity")/1000,"")</f>
        <v>0</v>
      </c>
      <c r="K380" s="43">
        <f>IFERROR(SUMIFS(Infrastructure[2029],Infrastructure[[cluster]:[cluster]],"="&amp;$B380,Infrastructure[[variable_type]:[variable_type]],"CO2_pipe_new_capacity")/1000,"")</f>
        <v>0</v>
      </c>
      <c r="L380" s="43">
        <f>IFERROR(SUMIFS(Infrastructure[2030],Infrastructure[[cluster]:[cluster]],"="&amp;$B380,Infrastructure[[variable_type]:[variable_type]],"CO2_pipe_new_capacity")/1000,"")</f>
        <v>0</v>
      </c>
      <c r="M380" s="43">
        <f>IFERROR(SUMIFS(Infrastructure[2031],Infrastructure[[cluster]:[cluster]],"="&amp;$B380,Infrastructure[[variable_type]:[variable_type]],"CO2_pipe_new_capacity")/1000,"")</f>
        <v>0</v>
      </c>
      <c r="N380" s="43">
        <f>IFERROR(SUMIFS(Infrastructure[2032],Infrastructure[[cluster]:[cluster]],"="&amp;$B380,Infrastructure[[variable_type]:[variable_type]],"CO2_pipe_new_capacity")/1000,"")</f>
        <v>0</v>
      </c>
      <c r="O380" s="43">
        <f>IFERROR(SUMIFS(Infrastructure[2033],Infrastructure[[cluster]:[cluster]],"="&amp;$B380,Infrastructure[[variable_type]:[variable_type]],"CO2_pipe_new_capacity")/1000,"")</f>
        <v>0</v>
      </c>
      <c r="P380" s="43">
        <f>IFERROR(SUMIFS(Infrastructure[2034],Infrastructure[[cluster]:[cluster]],"="&amp;$B380,Infrastructure[[variable_type]:[variable_type]],"CO2_pipe_new_capacity")/1000,"")</f>
        <v>0</v>
      </c>
      <c r="Q380" s="43">
        <f>IFERROR(SUMIFS(Infrastructure[2035],Infrastructure[[cluster]:[cluster]],"="&amp;$B380,Infrastructure[[variable_type]:[variable_type]],"CO2_pipe_new_capacity")/1000,"")</f>
        <v>0</v>
      </c>
      <c r="R380" s="43">
        <f>IFERROR(SUMIFS(Infrastructure[2036],Infrastructure[[cluster]:[cluster]],"="&amp;$B380,Infrastructure[[variable_type]:[variable_type]],"CO2_pipe_new_capacity")/1000,"")</f>
        <v>0</v>
      </c>
      <c r="S380" s="43">
        <f>IFERROR(SUMIFS(Infrastructure[2037],Infrastructure[[cluster]:[cluster]],"="&amp;$B380,Infrastructure[[variable_type]:[variable_type]],"CO2_pipe_new_capacity")/1000,"")</f>
        <v>0</v>
      </c>
      <c r="T380" s="43">
        <f>IFERROR(SUMIFS(Infrastructure[2038],Infrastructure[[cluster]:[cluster]],"="&amp;$B380,Infrastructure[[variable_type]:[variable_type]],"CO2_pipe_new_capacity")/1000,"")</f>
        <v>0</v>
      </c>
      <c r="U380" s="43">
        <f>IFERROR(SUMIFS(Infrastructure[2039],Infrastructure[[cluster]:[cluster]],"="&amp;$B380,Infrastructure[[variable_type]:[variable_type]],"CO2_pipe_new_capacity")/1000,"")</f>
        <v>0</v>
      </c>
      <c r="V380" s="43">
        <f>IFERROR(SUMIFS(Infrastructure[2040],Infrastructure[[cluster]:[cluster]],"="&amp;$B380,Infrastructure[[variable_type]:[variable_type]],"CO2_pipe_new_capacity")/1000,"")</f>
        <v>0</v>
      </c>
      <c r="W380" s="43">
        <f>IFERROR(SUMIFS(Infrastructure[2041],Infrastructure[[cluster]:[cluster]],"="&amp;$B380,Infrastructure[[variable_type]:[variable_type]],"CO2_pipe_new_capacity")/1000,"")</f>
        <v>0</v>
      </c>
      <c r="X380" s="43">
        <f>IFERROR(SUMIFS(Infrastructure[2042],Infrastructure[[cluster]:[cluster]],"="&amp;$B380,Infrastructure[[variable_type]:[variable_type]],"CO2_pipe_new_capacity")/1000,"")</f>
        <v>0</v>
      </c>
      <c r="Y380" s="43">
        <f>IFERROR(SUMIFS(Infrastructure[2043],Infrastructure[[cluster]:[cluster]],"="&amp;$B380,Infrastructure[[variable_type]:[variable_type]],"CO2_pipe_new_capacity")/1000,"")</f>
        <v>0</v>
      </c>
      <c r="Z380" s="43">
        <f>IFERROR(SUMIFS(Infrastructure[2044],Infrastructure[[cluster]:[cluster]],"="&amp;$B380,Infrastructure[[variable_type]:[variable_type]],"CO2_pipe_new_capacity")/1000,"")</f>
        <v>0</v>
      </c>
      <c r="AA380" s="43">
        <f>IFERROR(SUMIFS(Infrastructure[2045],Infrastructure[[cluster]:[cluster]],"="&amp;$B380,Infrastructure[[variable_type]:[variable_type]],"CO2_pipe_new_capacity")/1000,"")</f>
        <v>0</v>
      </c>
      <c r="AB380" s="43">
        <f>IFERROR(SUMIFS(Infrastructure[2046],Infrastructure[[cluster]:[cluster]],"="&amp;$B380,Infrastructure[[variable_type]:[variable_type]],"CO2_pipe_new_capacity")/1000,"")</f>
        <v>0</v>
      </c>
      <c r="AC380" s="43">
        <f>IFERROR(SUMIFS(Infrastructure[2047],Infrastructure[[cluster]:[cluster]],"="&amp;$B380,Infrastructure[[variable_type]:[variable_type]],"CO2_pipe_new_capacity")/1000,"")</f>
        <v>0</v>
      </c>
      <c r="AD380" s="43">
        <f>IFERROR(SUMIFS(Infrastructure[2048],Infrastructure[[cluster]:[cluster]],"="&amp;$B380,Infrastructure[[variable_type]:[variable_type]],"CO2_pipe_new_capacity")/1000,"")</f>
        <v>0</v>
      </c>
      <c r="AE380" s="43">
        <f>IFERROR(SUMIFS(Infrastructure[2049],Infrastructure[[cluster]:[cluster]],"="&amp;$B380,Infrastructure[[variable_type]:[variable_type]],"CO2_pipe_new_capacity")/1000,"")</f>
        <v>0</v>
      </c>
      <c r="AF380" s="43">
        <f>IFERROR(SUMIFS(Infrastructure[2050],Infrastructure[[cluster]:[cluster]],"="&amp;$B380,Infrastructure[[variable_type]:[variable_type]],"CO2_pipe_new_capacity")/1000,"")</f>
        <v>0</v>
      </c>
      <c r="AG380" s="43">
        <f>IFERROR(SUMIFS(Infrastructure[2051],Infrastructure[[cluster]:[cluster]],"="&amp;$B380,Infrastructure[[variable_type]:[variable_type]],"CO2_pipe_new_capacity")/1000,"")</f>
        <v>0</v>
      </c>
    </row>
    <row r="381" spans="1:33" x14ac:dyDescent="0.45">
      <c r="B381" t="s">
        <v>77</v>
      </c>
      <c r="C381" s="43">
        <f>IFERROR(SUMIFS(Infrastructure[2021],Infrastructure[[cluster]:[cluster]],"="&amp;$B381,Infrastructure[[variable_type]:[variable_type]],"CO2_pipe_new_capacity")/1000,"")</f>
        <v>0</v>
      </c>
      <c r="D381" s="43">
        <f>IFERROR(SUMIFS(Infrastructure[2022],Infrastructure[[cluster]:[cluster]],"="&amp;$B381,Infrastructure[[variable_type]:[variable_type]],"CO2_pipe_new_capacity")/1000,"")</f>
        <v>0</v>
      </c>
      <c r="E381" s="43">
        <f>IFERROR(SUMIFS(Infrastructure[2023],Infrastructure[[cluster]:[cluster]],"="&amp;$B381,Infrastructure[[variable_type]:[variable_type]],"CO2_pipe_new_capacity")/1000,"")</f>
        <v>0</v>
      </c>
      <c r="F381" s="43">
        <f>IFERROR(SUMIFS(Infrastructure[2024],Infrastructure[[cluster]:[cluster]],"="&amp;$B381,Infrastructure[[variable_type]:[variable_type]],"CO2_pipe_new_capacity")/1000,"")</f>
        <v>0</v>
      </c>
      <c r="G381" s="43">
        <f>IFERROR(SUMIFS(Infrastructure[2025],Infrastructure[[cluster]:[cluster]],"="&amp;$B381,Infrastructure[[variable_type]:[variable_type]],"CO2_pipe_new_capacity")/1000,"")</f>
        <v>0</v>
      </c>
      <c r="H381" s="43">
        <f>IFERROR(SUMIFS(Infrastructure[2026],Infrastructure[[cluster]:[cluster]],"="&amp;$B381,Infrastructure[[variable_type]:[variable_type]],"CO2_pipe_new_capacity")/1000,"")</f>
        <v>0</v>
      </c>
      <c r="I381" s="43">
        <f>IFERROR(SUMIFS(Infrastructure[2027],Infrastructure[[cluster]:[cluster]],"="&amp;$B381,Infrastructure[[variable_type]:[variable_type]],"CO2_pipe_new_capacity")/1000,"")</f>
        <v>0</v>
      </c>
      <c r="J381" s="43">
        <f>IFERROR(SUMIFS(Infrastructure[2028],Infrastructure[[cluster]:[cluster]],"="&amp;$B381,Infrastructure[[variable_type]:[variable_type]],"CO2_pipe_new_capacity")/1000,"")</f>
        <v>0</v>
      </c>
      <c r="K381" s="43">
        <f>IFERROR(SUMIFS(Infrastructure[2029],Infrastructure[[cluster]:[cluster]],"="&amp;$B381,Infrastructure[[variable_type]:[variable_type]],"CO2_pipe_new_capacity")/1000,"")</f>
        <v>0</v>
      </c>
      <c r="L381" s="43">
        <f>IFERROR(SUMIFS(Infrastructure[2030],Infrastructure[[cluster]:[cluster]],"="&amp;$B381,Infrastructure[[variable_type]:[variable_type]],"CO2_pipe_new_capacity")/1000,"")</f>
        <v>0</v>
      </c>
      <c r="M381" s="43">
        <f>IFERROR(SUMIFS(Infrastructure[2031],Infrastructure[[cluster]:[cluster]],"="&amp;$B381,Infrastructure[[variable_type]:[variable_type]],"CO2_pipe_new_capacity")/1000,"")</f>
        <v>0</v>
      </c>
      <c r="N381" s="43">
        <f>IFERROR(SUMIFS(Infrastructure[2032],Infrastructure[[cluster]:[cluster]],"="&amp;$B381,Infrastructure[[variable_type]:[variable_type]],"CO2_pipe_new_capacity")/1000,"")</f>
        <v>0</v>
      </c>
      <c r="O381" s="43">
        <f>IFERROR(SUMIFS(Infrastructure[2033],Infrastructure[[cluster]:[cluster]],"="&amp;$B381,Infrastructure[[variable_type]:[variable_type]],"CO2_pipe_new_capacity")/1000,"")</f>
        <v>0</v>
      </c>
      <c r="P381" s="43">
        <f>IFERROR(SUMIFS(Infrastructure[2034],Infrastructure[[cluster]:[cluster]],"="&amp;$B381,Infrastructure[[variable_type]:[variable_type]],"CO2_pipe_new_capacity")/1000,"")</f>
        <v>0</v>
      </c>
      <c r="Q381" s="43">
        <f>IFERROR(SUMIFS(Infrastructure[2035],Infrastructure[[cluster]:[cluster]],"="&amp;$B381,Infrastructure[[variable_type]:[variable_type]],"CO2_pipe_new_capacity")/1000,"")</f>
        <v>0</v>
      </c>
      <c r="R381" s="43">
        <f>IFERROR(SUMIFS(Infrastructure[2036],Infrastructure[[cluster]:[cluster]],"="&amp;$B381,Infrastructure[[variable_type]:[variable_type]],"CO2_pipe_new_capacity")/1000,"")</f>
        <v>0</v>
      </c>
      <c r="S381" s="43">
        <f>IFERROR(SUMIFS(Infrastructure[2037],Infrastructure[[cluster]:[cluster]],"="&amp;$B381,Infrastructure[[variable_type]:[variable_type]],"CO2_pipe_new_capacity")/1000,"")</f>
        <v>0</v>
      </c>
      <c r="T381" s="43">
        <f>IFERROR(SUMIFS(Infrastructure[2038],Infrastructure[[cluster]:[cluster]],"="&amp;$B381,Infrastructure[[variable_type]:[variable_type]],"CO2_pipe_new_capacity")/1000,"")</f>
        <v>0</v>
      </c>
      <c r="U381" s="43">
        <f>IFERROR(SUMIFS(Infrastructure[2039],Infrastructure[[cluster]:[cluster]],"="&amp;$B381,Infrastructure[[variable_type]:[variable_type]],"CO2_pipe_new_capacity")/1000,"")</f>
        <v>0</v>
      </c>
      <c r="V381" s="43">
        <f>IFERROR(SUMIFS(Infrastructure[2040],Infrastructure[[cluster]:[cluster]],"="&amp;$B381,Infrastructure[[variable_type]:[variable_type]],"CO2_pipe_new_capacity")/1000,"")</f>
        <v>0</v>
      </c>
      <c r="W381" s="43">
        <f>IFERROR(SUMIFS(Infrastructure[2041],Infrastructure[[cluster]:[cluster]],"="&amp;$B381,Infrastructure[[variable_type]:[variable_type]],"CO2_pipe_new_capacity")/1000,"")</f>
        <v>0</v>
      </c>
      <c r="X381" s="43">
        <f>IFERROR(SUMIFS(Infrastructure[2042],Infrastructure[[cluster]:[cluster]],"="&amp;$B381,Infrastructure[[variable_type]:[variable_type]],"CO2_pipe_new_capacity")/1000,"")</f>
        <v>0</v>
      </c>
      <c r="Y381" s="43">
        <f>IFERROR(SUMIFS(Infrastructure[2043],Infrastructure[[cluster]:[cluster]],"="&amp;$B381,Infrastructure[[variable_type]:[variable_type]],"CO2_pipe_new_capacity")/1000,"")</f>
        <v>0</v>
      </c>
      <c r="Z381" s="43">
        <f>IFERROR(SUMIFS(Infrastructure[2044],Infrastructure[[cluster]:[cluster]],"="&amp;$B381,Infrastructure[[variable_type]:[variable_type]],"CO2_pipe_new_capacity")/1000,"")</f>
        <v>0</v>
      </c>
      <c r="AA381" s="43">
        <f>IFERROR(SUMIFS(Infrastructure[2045],Infrastructure[[cluster]:[cluster]],"="&amp;$B381,Infrastructure[[variable_type]:[variable_type]],"CO2_pipe_new_capacity")/1000,"")</f>
        <v>0</v>
      </c>
      <c r="AB381" s="43">
        <f>IFERROR(SUMIFS(Infrastructure[2046],Infrastructure[[cluster]:[cluster]],"="&amp;$B381,Infrastructure[[variable_type]:[variable_type]],"CO2_pipe_new_capacity")/1000,"")</f>
        <v>0</v>
      </c>
      <c r="AC381" s="43">
        <f>IFERROR(SUMIFS(Infrastructure[2047],Infrastructure[[cluster]:[cluster]],"="&amp;$B381,Infrastructure[[variable_type]:[variable_type]],"CO2_pipe_new_capacity")/1000,"")</f>
        <v>0</v>
      </c>
      <c r="AD381" s="43">
        <f>IFERROR(SUMIFS(Infrastructure[2048],Infrastructure[[cluster]:[cluster]],"="&amp;$B381,Infrastructure[[variable_type]:[variable_type]],"CO2_pipe_new_capacity")/1000,"")</f>
        <v>0</v>
      </c>
      <c r="AE381" s="43">
        <f>IFERROR(SUMIFS(Infrastructure[2049],Infrastructure[[cluster]:[cluster]],"="&amp;$B381,Infrastructure[[variable_type]:[variable_type]],"CO2_pipe_new_capacity")/1000,"")</f>
        <v>0</v>
      </c>
      <c r="AF381" s="43">
        <f>IFERROR(SUMIFS(Infrastructure[2050],Infrastructure[[cluster]:[cluster]],"="&amp;$B381,Infrastructure[[variable_type]:[variable_type]],"CO2_pipe_new_capacity")/1000,"")</f>
        <v>0</v>
      </c>
      <c r="AG381" s="43">
        <f>IFERROR(SUMIFS(Infrastructure[2051],Infrastructure[[cluster]:[cluster]],"="&amp;$B381,Infrastructure[[variable_type]:[variable_type]],"CO2_pipe_new_capacity")/1000,"")</f>
        <v>0</v>
      </c>
    </row>
    <row r="382" spans="1:33" x14ac:dyDescent="0.45">
      <c r="B382" t="s">
        <v>78</v>
      </c>
      <c r="C382" s="43">
        <f>IFERROR(SUMIFS(Infrastructure[2021],Infrastructure[[cluster]:[cluster]],"="&amp;$B382,Infrastructure[[variable_type]:[variable_type]],"CO2_pipe_new_capacity")/1000,"")</f>
        <v>0</v>
      </c>
      <c r="D382" s="43">
        <f>IFERROR(SUMIFS(Infrastructure[2022],Infrastructure[[cluster]:[cluster]],"="&amp;$B382,Infrastructure[[variable_type]:[variable_type]],"CO2_pipe_new_capacity")/1000,"")</f>
        <v>0</v>
      </c>
      <c r="E382" s="43">
        <f>IFERROR(SUMIFS(Infrastructure[2023],Infrastructure[[cluster]:[cluster]],"="&amp;$B382,Infrastructure[[variable_type]:[variable_type]],"CO2_pipe_new_capacity")/1000,"")</f>
        <v>0</v>
      </c>
      <c r="F382" s="43">
        <f>IFERROR(SUMIFS(Infrastructure[2024],Infrastructure[[cluster]:[cluster]],"="&amp;$B382,Infrastructure[[variable_type]:[variable_type]],"CO2_pipe_new_capacity")/1000,"")</f>
        <v>0</v>
      </c>
      <c r="G382" s="43">
        <f>IFERROR(SUMIFS(Infrastructure[2025],Infrastructure[[cluster]:[cluster]],"="&amp;$B382,Infrastructure[[variable_type]:[variable_type]],"CO2_pipe_new_capacity")/1000,"")</f>
        <v>0</v>
      </c>
      <c r="H382" s="43">
        <f>IFERROR(SUMIFS(Infrastructure[2026],Infrastructure[[cluster]:[cluster]],"="&amp;$B382,Infrastructure[[variable_type]:[variable_type]],"CO2_pipe_new_capacity")/1000,"")</f>
        <v>0</v>
      </c>
      <c r="I382" s="43">
        <f>IFERROR(SUMIFS(Infrastructure[2027],Infrastructure[[cluster]:[cluster]],"="&amp;$B382,Infrastructure[[variable_type]:[variable_type]],"CO2_pipe_new_capacity")/1000,"")</f>
        <v>0</v>
      </c>
      <c r="J382" s="43">
        <f>IFERROR(SUMIFS(Infrastructure[2028],Infrastructure[[cluster]:[cluster]],"="&amp;$B382,Infrastructure[[variable_type]:[variable_type]],"CO2_pipe_new_capacity")/1000,"")</f>
        <v>0</v>
      </c>
      <c r="K382" s="43">
        <f>IFERROR(SUMIFS(Infrastructure[2029],Infrastructure[[cluster]:[cluster]],"="&amp;$B382,Infrastructure[[variable_type]:[variable_type]],"CO2_pipe_new_capacity")/1000,"")</f>
        <v>0</v>
      </c>
      <c r="L382" s="43">
        <f>IFERROR(SUMIFS(Infrastructure[2030],Infrastructure[[cluster]:[cluster]],"="&amp;$B382,Infrastructure[[variable_type]:[variable_type]],"CO2_pipe_new_capacity")/1000,"")</f>
        <v>0</v>
      </c>
      <c r="M382" s="43">
        <f>IFERROR(SUMIFS(Infrastructure[2031],Infrastructure[[cluster]:[cluster]],"="&amp;$B382,Infrastructure[[variable_type]:[variable_type]],"CO2_pipe_new_capacity")/1000,"")</f>
        <v>0</v>
      </c>
      <c r="N382" s="43">
        <f>IFERROR(SUMIFS(Infrastructure[2032],Infrastructure[[cluster]:[cluster]],"="&amp;$B382,Infrastructure[[variable_type]:[variable_type]],"CO2_pipe_new_capacity")/1000,"")</f>
        <v>0</v>
      </c>
      <c r="O382" s="43">
        <f>IFERROR(SUMIFS(Infrastructure[2033],Infrastructure[[cluster]:[cluster]],"="&amp;$B382,Infrastructure[[variable_type]:[variable_type]],"CO2_pipe_new_capacity")/1000,"")</f>
        <v>0</v>
      </c>
      <c r="P382" s="43">
        <f>IFERROR(SUMIFS(Infrastructure[2034],Infrastructure[[cluster]:[cluster]],"="&amp;$B382,Infrastructure[[variable_type]:[variable_type]],"CO2_pipe_new_capacity")/1000,"")</f>
        <v>0</v>
      </c>
      <c r="Q382" s="43">
        <f>IFERROR(SUMIFS(Infrastructure[2035],Infrastructure[[cluster]:[cluster]],"="&amp;$B382,Infrastructure[[variable_type]:[variable_type]],"CO2_pipe_new_capacity")/1000,"")</f>
        <v>0</v>
      </c>
      <c r="R382" s="43">
        <f>IFERROR(SUMIFS(Infrastructure[2036],Infrastructure[[cluster]:[cluster]],"="&amp;$B382,Infrastructure[[variable_type]:[variable_type]],"CO2_pipe_new_capacity")/1000,"")</f>
        <v>0</v>
      </c>
      <c r="S382" s="43">
        <f>IFERROR(SUMIFS(Infrastructure[2037],Infrastructure[[cluster]:[cluster]],"="&amp;$B382,Infrastructure[[variable_type]:[variable_type]],"CO2_pipe_new_capacity")/1000,"")</f>
        <v>0</v>
      </c>
      <c r="T382" s="43">
        <f>IFERROR(SUMIFS(Infrastructure[2038],Infrastructure[[cluster]:[cluster]],"="&amp;$B382,Infrastructure[[variable_type]:[variable_type]],"CO2_pipe_new_capacity")/1000,"")</f>
        <v>0</v>
      </c>
      <c r="U382" s="43">
        <f>IFERROR(SUMIFS(Infrastructure[2039],Infrastructure[[cluster]:[cluster]],"="&amp;$B382,Infrastructure[[variable_type]:[variable_type]],"CO2_pipe_new_capacity")/1000,"")</f>
        <v>0</v>
      </c>
      <c r="V382" s="43">
        <f>IFERROR(SUMIFS(Infrastructure[2040],Infrastructure[[cluster]:[cluster]],"="&amp;$B382,Infrastructure[[variable_type]:[variable_type]],"CO2_pipe_new_capacity")/1000,"")</f>
        <v>0</v>
      </c>
      <c r="W382" s="43">
        <f>IFERROR(SUMIFS(Infrastructure[2041],Infrastructure[[cluster]:[cluster]],"="&amp;$B382,Infrastructure[[variable_type]:[variable_type]],"CO2_pipe_new_capacity")/1000,"")</f>
        <v>0</v>
      </c>
      <c r="X382" s="43">
        <f>IFERROR(SUMIFS(Infrastructure[2042],Infrastructure[[cluster]:[cluster]],"="&amp;$B382,Infrastructure[[variable_type]:[variable_type]],"CO2_pipe_new_capacity")/1000,"")</f>
        <v>0</v>
      </c>
      <c r="Y382" s="43">
        <f>IFERROR(SUMIFS(Infrastructure[2043],Infrastructure[[cluster]:[cluster]],"="&amp;$B382,Infrastructure[[variable_type]:[variable_type]],"CO2_pipe_new_capacity")/1000,"")</f>
        <v>0</v>
      </c>
      <c r="Z382" s="43">
        <f>IFERROR(SUMIFS(Infrastructure[2044],Infrastructure[[cluster]:[cluster]],"="&amp;$B382,Infrastructure[[variable_type]:[variable_type]],"CO2_pipe_new_capacity")/1000,"")</f>
        <v>0</v>
      </c>
      <c r="AA382" s="43">
        <f>IFERROR(SUMIFS(Infrastructure[2045],Infrastructure[[cluster]:[cluster]],"="&amp;$B382,Infrastructure[[variable_type]:[variable_type]],"CO2_pipe_new_capacity")/1000,"")</f>
        <v>0</v>
      </c>
      <c r="AB382" s="43">
        <f>IFERROR(SUMIFS(Infrastructure[2046],Infrastructure[[cluster]:[cluster]],"="&amp;$B382,Infrastructure[[variable_type]:[variable_type]],"CO2_pipe_new_capacity")/1000,"")</f>
        <v>0</v>
      </c>
      <c r="AC382" s="43">
        <f>IFERROR(SUMIFS(Infrastructure[2047],Infrastructure[[cluster]:[cluster]],"="&amp;$B382,Infrastructure[[variable_type]:[variable_type]],"CO2_pipe_new_capacity")/1000,"")</f>
        <v>0</v>
      </c>
      <c r="AD382" s="43">
        <f>IFERROR(SUMIFS(Infrastructure[2048],Infrastructure[[cluster]:[cluster]],"="&amp;$B382,Infrastructure[[variable_type]:[variable_type]],"CO2_pipe_new_capacity")/1000,"")</f>
        <v>0</v>
      </c>
      <c r="AE382" s="43">
        <f>IFERROR(SUMIFS(Infrastructure[2049],Infrastructure[[cluster]:[cluster]],"="&amp;$B382,Infrastructure[[variable_type]:[variable_type]],"CO2_pipe_new_capacity")/1000,"")</f>
        <v>0</v>
      </c>
      <c r="AF382" s="43">
        <f>IFERROR(SUMIFS(Infrastructure[2050],Infrastructure[[cluster]:[cluster]],"="&amp;$B382,Infrastructure[[variable_type]:[variable_type]],"CO2_pipe_new_capacity")/1000,"")</f>
        <v>0</v>
      </c>
      <c r="AG382" s="43">
        <f>IFERROR(SUMIFS(Infrastructure[2051],Infrastructure[[cluster]:[cluster]],"="&amp;$B382,Infrastructure[[variable_type]:[variable_type]],"CO2_pipe_new_capacity")/1000,"")</f>
        <v>0</v>
      </c>
    </row>
    <row r="383" spans="1:33" ht="14.65" thickBot="1" x14ac:dyDescent="0.5">
      <c r="B383" s="29" t="s">
        <v>124</v>
      </c>
      <c r="C383" s="44">
        <f ca="1">IF(C105&lt;&gt;"",SUM(C373:C382),"")</f>
        <v>0</v>
      </c>
      <c r="D383" s="44">
        <f t="shared" ref="D383:AG383" ca="1" si="68">IF(D105&lt;&gt;"",SUM(D373:D382),"")</f>
        <v>0</v>
      </c>
      <c r="E383" s="44">
        <f t="shared" ca="1" si="68"/>
        <v>0</v>
      </c>
      <c r="F383" s="44">
        <f t="shared" ca="1" si="68"/>
        <v>0</v>
      </c>
      <c r="G383" s="44">
        <f t="shared" ca="1" si="68"/>
        <v>0</v>
      </c>
      <c r="H383" s="44">
        <f t="shared" ca="1" si="68"/>
        <v>0</v>
      </c>
      <c r="I383" s="44">
        <f t="shared" ca="1" si="68"/>
        <v>0</v>
      </c>
      <c r="J383" s="44">
        <f t="shared" ca="1" si="68"/>
        <v>0</v>
      </c>
      <c r="K383" s="44">
        <f t="shared" ca="1" si="68"/>
        <v>0</v>
      </c>
      <c r="L383" s="44">
        <f t="shared" ca="1" si="68"/>
        <v>0</v>
      </c>
      <c r="M383" s="44">
        <f t="shared" ca="1" si="68"/>
        <v>0</v>
      </c>
      <c r="N383" s="44">
        <f t="shared" ca="1" si="68"/>
        <v>0</v>
      </c>
      <c r="O383" s="44">
        <f t="shared" ca="1" si="68"/>
        <v>0</v>
      </c>
      <c r="P383" s="44">
        <f t="shared" ca="1" si="68"/>
        <v>0</v>
      </c>
      <c r="Q383" s="44">
        <f t="shared" ca="1" si="68"/>
        <v>0</v>
      </c>
      <c r="R383" s="44">
        <f t="shared" ca="1" si="68"/>
        <v>0</v>
      </c>
      <c r="S383" s="44">
        <f t="shared" ca="1" si="68"/>
        <v>0</v>
      </c>
      <c r="T383" s="44">
        <f t="shared" ca="1" si="68"/>
        <v>0</v>
      </c>
      <c r="U383" s="44">
        <f t="shared" ca="1" si="68"/>
        <v>0</v>
      </c>
      <c r="V383" s="44">
        <f t="shared" ca="1" si="68"/>
        <v>0</v>
      </c>
      <c r="W383" s="44">
        <f t="shared" ca="1" si="68"/>
        <v>0</v>
      </c>
      <c r="X383" s="44">
        <f t="shared" ca="1" si="68"/>
        <v>0</v>
      </c>
      <c r="Y383" s="44">
        <f t="shared" ca="1" si="68"/>
        <v>0</v>
      </c>
      <c r="Z383" s="44">
        <f t="shared" ca="1" si="68"/>
        <v>0</v>
      </c>
      <c r="AA383" s="44">
        <f t="shared" ca="1" si="68"/>
        <v>0</v>
      </c>
      <c r="AB383" s="44">
        <f t="shared" ca="1" si="68"/>
        <v>0</v>
      </c>
      <c r="AC383" s="44">
        <f t="shared" ca="1" si="68"/>
        <v>0</v>
      </c>
      <c r="AD383" s="44">
        <f t="shared" ca="1" si="68"/>
        <v>0</v>
      </c>
      <c r="AE383" s="44">
        <f t="shared" ca="1" si="68"/>
        <v>0</v>
      </c>
      <c r="AF383" s="44">
        <f t="shared" ca="1" si="68"/>
        <v>0</v>
      </c>
      <c r="AG383" s="44">
        <f t="shared" ca="1" si="68"/>
        <v>0</v>
      </c>
    </row>
    <row r="384" spans="1:33" ht="14.65" thickTop="1" x14ac:dyDescent="0.45">
      <c r="B384" s="6"/>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row>
    <row r="385" spans="1:33" x14ac:dyDescent="0.45">
      <c r="B385" s="6"/>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row>
    <row r="386" spans="1:33" ht="18" x14ac:dyDescent="0.55000000000000004">
      <c r="A386" s="5" t="s">
        <v>99</v>
      </c>
      <c r="B386" s="25" t="s">
        <v>9</v>
      </c>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row>
    <row r="387" spans="1:33" x14ac:dyDescent="0.45">
      <c r="A387" t="s">
        <v>98</v>
      </c>
      <c r="B387" s="14"/>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row>
    <row r="388" spans="1:33" x14ac:dyDescent="0.45">
      <c r="B388" s="6"/>
      <c r="C388" s="6">
        <v>2021</v>
      </c>
      <c r="D388" s="6">
        <v>2022</v>
      </c>
      <c r="E388" s="6">
        <v>2023</v>
      </c>
      <c r="F388" s="6">
        <v>2024</v>
      </c>
      <c r="G388" s="6">
        <v>2025</v>
      </c>
      <c r="H388" s="6">
        <v>2026</v>
      </c>
      <c r="I388" s="6">
        <v>2027</v>
      </c>
      <c r="J388" s="6">
        <v>2028</v>
      </c>
      <c r="K388" s="6">
        <v>2029</v>
      </c>
      <c r="L388" s="6">
        <v>2030</v>
      </c>
      <c r="M388" s="6">
        <v>2031</v>
      </c>
      <c r="N388" s="6">
        <v>2032</v>
      </c>
      <c r="O388" s="6">
        <v>2033</v>
      </c>
      <c r="P388" s="6">
        <v>2034</v>
      </c>
      <c r="Q388" s="6">
        <v>2035</v>
      </c>
      <c r="R388" s="6">
        <v>2036</v>
      </c>
      <c r="S388" s="6">
        <v>2037</v>
      </c>
      <c r="T388" s="6">
        <v>2038</v>
      </c>
      <c r="U388" s="6">
        <v>2039</v>
      </c>
      <c r="V388" s="6">
        <v>2040</v>
      </c>
      <c r="W388" s="6">
        <v>2041</v>
      </c>
      <c r="X388" s="6">
        <v>2042</v>
      </c>
      <c r="Y388" s="6">
        <v>2043</v>
      </c>
      <c r="Z388" s="6">
        <v>2044</v>
      </c>
      <c r="AA388" s="6">
        <v>2045</v>
      </c>
      <c r="AB388" s="6">
        <v>2046</v>
      </c>
      <c r="AC388" s="6">
        <v>2047</v>
      </c>
      <c r="AD388" s="6">
        <v>2048</v>
      </c>
      <c r="AE388" s="6">
        <v>2049</v>
      </c>
      <c r="AF388" s="6">
        <v>2050</v>
      </c>
      <c r="AG388" s="6">
        <v>2051</v>
      </c>
    </row>
    <row r="389" spans="1:33" x14ac:dyDescent="0.45">
      <c r="B389" t="s">
        <v>70</v>
      </c>
      <c r="C389" s="43">
        <f>IFERROR(SUMIFS(Infrastructure[2021],Infrastructure[[cluster]:[cluster]],"="&amp;$B389,Infrastructure[[variable_type]:[variable_type]],"CO2_pipe_available_capacity")/1000,"")</f>
        <v>0</v>
      </c>
      <c r="D389" s="43">
        <f>IFERROR(SUMIFS(Infrastructure[2022],Infrastructure[[cluster]:[cluster]],"="&amp;$B389,Infrastructure[[variable_type]:[variable_type]],"CO2_pipe_available_capacity")/1000,"")</f>
        <v>0</v>
      </c>
      <c r="E389" s="43">
        <f>IFERROR(SUMIFS(Infrastructure[2023],Infrastructure[[cluster]:[cluster]],"="&amp;$B389,Infrastructure[[variable_type]:[variable_type]],"CO2_pipe_available_capacity")/1000,"")</f>
        <v>0</v>
      </c>
      <c r="F389" s="43">
        <f>IFERROR(SUMIFS(Infrastructure[2024],Infrastructure[[cluster]:[cluster]],"="&amp;$B389,Infrastructure[[variable_type]:[variable_type]],"CO2_pipe_available_capacity")/1000,"")</f>
        <v>0</v>
      </c>
      <c r="G389" s="43">
        <f>IFERROR(SUMIFS(Infrastructure[2025],Infrastructure[[cluster]:[cluster]],"="&amp;$B389,Infrastructure[[variable_type]:[variable_type]],"CO2_pipe_available_capacity")/1000,"")</f>
        <v>0</v>
      </c>
      <c r="H389" s="43">
        <f>IFERROR(SUMIFS(Infrastructure[2026],Infrastructure[[cluster]:[cluster]],"="&amp;$B389,Infrastructure[[variable_type]:[variable_type]],"CO2_pipe_available_capacity")/1000,"")</f>
        <v>0</v>
      </c>
      <c r="I389" s="43">
        <f>IFERROR(SUMIFS(Infrastructure[2027],Infrastructure[[cluster]:[cluster]],"="&amp;$B389,Infrastructure[[variable_type]:[variable_type]],"CO2_pipe_available_capacity")/1000,"")</f>
        <v>0</v>
      </c>
      <c r="J389" s="43">
        <f>IFERROR(SUMIFS(Infrastructure[2028],Infrastructure[[cluster]:[cluster]],"="&amp;$B389,Infrastructure[[variable_type]:[variable_type]],"CO2_pipe_available_capacity")/1000,"")</f>
        <v>0</v>
      </c>
      <c r="K389" s="43">
        <f>IFERROR(SUMIFS(Infrastructure[2029],Infrastructure[[cluster]:[cluster]],"="&amp;$B389,Infrastructure[[variable_type]:[variable_type]],"CO2_pipe_available_capacity")/1000,"")</f>
        <v>0</v>
      </c>
      <c r="L389" s="43">
        <f>IFERROR(SUMIFS(Infrastructure[2030],Infrastructure[[cluster]:[cluster]],"="&amp;$B389,Infrastructure[[variable_type]:[variable_type]],"CO2_pipe_available_capacity")/1000,"")</f>
        <v>0</v>
      </c>
      <c r="M389" s="43">
        <f>IFERROR(SUMIFS(Infrastructure[2031],Infrastructure[[cluster]:[cluster]],"="&amp;$B389,Infrastructure[[variable_type]:[variable_type]],"CO2_pipe_available_capacity")/1000,"")</f>
        <v>0</v>
      </c>
      <c r="N389" s="43">
        <f>IFERROR(SUMIFS(Infrastructure[2032],Infrastructure[[cluster]:[cluster]],"="&amp;$B389,Infrastructure[[variable_type]:[variable_type]],"CO2_pipe_available_capacity")/1000,"")</f>
        <v>0</v>
      </c>
      <c r="O389" s="43">
        <f>IFERROR(SUMIFS(Infrastructure[2033],Infrastructure[[cluster]:[cluster]],"="&amp;$B389,Infrastructure[[variable_type]:[variable_type]],"CO2_pipe_available_capacity")/1000,"")</f>
        <v>0</v>
      </c>
      <c r="P389" s="43">
        <f>IFERROR(SUMIFS(Infrastructure[2034],Infrastructure[[cluster]:[cluster]],"="&amp;$B389,Infrastructure[[variable_type]:[variable_type]],"CO2_pipe_available_capacity")/1000,"")</f>
        <v>0</v>
      </c>
      <c r="Q389" s="43">
        <f>IFERROR(SUMIFS(Infrastructure[2035],Infrastructure[[cluster]:[cluster]],"="&amp;$B389,Infrastructure[[variable_type]:[variable_type]],"CO2_pipe_available_capacity")/1000,"")</f>
        <v>0</v>
      </c>
      <c r="R389" s="43">
        <f>IFERROR(SUMIFS(Infrastructure[2036],Infrastructure[[cluster]:[cluster]],"="&amp;$B389,Infrastructure[[variable_type]:[variable_type]],"CO2_pipe_available_capacity")/1000,"")</f>
        <v>0</v>
      </c>
      <c r="S389" s="43">
        <f>IFERROR(SUMIFS(Infrastructure[2037],Infrastructure[[cluster]:[cluster]],"="&amp;$B389,Infrastructure[[variable_type]:[variable_type]],"CO2_pipe_available_capacity")/1000,"")</f>
        <v>0</v>
      </c>
      <c r="T389" s="43">
        <f>IFERROR(SUMIFS(Infrastructure[2038],Infrastructure[[cluster]:[cluster]],"="&amp;$B389,Infrastructure[[variable_type]:[variable_type]],"CO2_pipe_available_capacity")/1000,"")</f>
        <v>0</v>
      </c>
      <c r="U389" s="43">
        <f>IFERROR(SUMIFS(Infrastructure[2039],Infrastructure[[cluster]:[cluster]],"="&amp;$B389,Infrastructure[[variable_type]:[variable_type]],"CO2_pipe_available_capacity")/1000,"")</f>
        <v>0</v>
      </c>
      <c r="V389" s="43">
        <f>IFERROR(SUMIFS(Infrastructure[2040],Infrastructure[[cluster]:[cluster]],"="&amp;$B389,Infrastructure[[variable_type]:[variable_type]],"CO2_pipe_available_capacity")/1000,"")</f>
        <v>0</v>
      </c>
      <c r="W389" s="43">
        <f>IFERROR(SUMIFS(Infrastructure[2041],Infrastructure[[cluster]:[cluster]],"="&amp;$B389,Infrastructure[[variable_type]:[variable_type]],"CO2_pipe_available_capacity")/1000,"")</f>
        <v>0</v>
      </c>
      <c r="X389" s="43">
        <f>IFERROR(SUMIFS(Infrastructure[2042],Infrastructure[[cluster]:[cluster]],"="&amp;$B389,Infrastructure[[variable_type]:[variable_type]],"CO2_pipe_available_capacity")/1000,"")</f>
        <v>0</v>
      </c>
      <c r="Y389" s="43">
        <f>IFERROR(SUMIFS(Infrastructure[2043],Infrastructure[[cluster]:[cluster]],"="&amp;$B389,Infrastructure[[variable_type]:[variable_type]],"CO2_pipe_available_capacity")/1000,"")</f>
        <v>0</v>
      </c>
      <c r="Z389" s="43">
        <f>IFERROR(SUMIFS(Infrastructure[2044],Infrastructure[[cluster]:[cluster]],"="&amp;$B389,Infrastructure[[variable_type]:[variable_type]],"CO2_pipe_available_capacity")/1000,"")</f>
        <v>0</v>
      </c>
      <c r="AA389" s="43">
        <f>IFERROR(SUMIFS(Infrastructure[2045],Infrastructure[[cluster]:[cluster]],"="&amp;$B389,Infrastructure[[variable_type]:[variable_type]],"CO2_pipe_available_capacity")/1000,"")</f>
        <v>0</v>
      </c>
      <c r="AB389" s="43">
        <f>IFERROR(SUMIFS(Infrastructure[2046],Infrastructure[[cluster]:[cluster]],"="&amp;$B389,Infrastructure[[variable_type]:[variable_type]],"CO2_pipe_available_capacity")/1000,"")</f>
        <v>0</v>
      </c>
      <c r="AC389" s="43">
        <f>IFERROR(SUMIFS(Infrastructure[2047],Infrastructure[[cluster]:[cluster]],"="&amp;$B389,Infrastructure[[variable_type]:[variable_type]],"CO2_pipe_available_capacity")/1000,"")</f>
        <v>0</v>
      </c>
      <c r="AD389" s="43">
        <f>IFERROR(SUMIFS(Infrastructure[2048],Infrastructure[[cluster]:[cluster]],"="&amp;$B389,Infrastructure[[variable_type]:[variable_type]],"CO2_pipe_available_capacity")/1000,"")</f>
        <v>0</v>
      </c>
      <c r="AE389" s="43">
        <f>IFERROR(SUMIFS(Infrastructure[2049],Infrastructure[[cluster]:[cluster]],"="&amp;$B389,Infrastructure[[variable_type]:[variable_type]],"CO2_pipe_available_capacity")/1000,"")</f>
        <v>0</v>
      </c>
      <c r="AF389" s="43">
        <f>IFERROR(SUMIFS(Infrastructure[2050],Infrastructure[[cluster]:[cluster]],"="&amp;$B389,Infrastructure[[variable_type]:[variable_type]],"CO2_pipe_available_capacity")/1000,"")</f>
        <v>0</v>
      </c>
      <c r="AG389" s="43">
        <f>IFERROR(SUMIFS(Infrastructure[2051],Infrastructure[[cluster]:[cluster]],"="&amp;$B389,Infrastructure[[variable_type]:[variable_type]],"CO2_pipe_available_capacity")/1000,"")</f>
        <v>0</v>
      </c>
    </row>
    <row r="390" spans="1:33" x14ac:dyDescent="0.45">
      <c r="B390" t="s">
        <v>52</v>
      </c>
      <c r="C390" s="43">
        <f>IFERROR(SUMIFS(Infrastructure[2021],Infrastructure[[cluster]:[cluster]],"="&amp;$B390,Infrastructure[[variable_type]:[variable_type]],"CO2_pipe_available_capacity")/1000,"")</f>
        <v>0</v>
      </c>
      <c r="D390" s="43">
        <f>IFERROR(SUMIFS(Infrastructure[2022],Infrastructure[[cluster]:[cluster]],"="&amp;$B390,Infrastructure[[variable_type]:[variable_type]],"CO2_pipe_available_capacity")/1000,"")</f>
        <v>0</v>
      </c>
      <c r="E390" s="43">
        <f>IFERROR(SUMIFS(Infrastructure[2023],Infrastructure[[cluster]:[cluster]],"="&amp;$B390,Infrastructure[[variable_type]:[variable_type]],"CO2_pipe_available_capacity")/1000,"")</f>
        <v>0</v>
      </c>
      <c r="F390" s="43">
        <f>IFERROR(SUMIFS(Infrastructure[2024],Infrastructure[[cluster]:[cluster]],"="&amp;$B390,Infrastructure[[variable_type]:[variable_type]],"CO2_pipe_available_capacity")/1000,"")</f>
        <v>0</v>
      </c>
      <c r="G390" s="43">
        <f>IFERROR(SUMIFS(Infrastructure[2025],Infrastructure[[cluster]:[cluster]],"="&amp;$B390,Infrastructure[[variable_type]:[variable_type]],"CO2_pipe_available_capacity")/1000,"")</f>
        <v>0</v>
      </c>
      <c r="H390" s="43">
        <f>IFERROR(SUMIFS(Infrastructure[2026],Infrastructure[[cluster]:[cluster]],"="&amp;$B390,Infrastructure[[variable_type]:[variable_type]],"CO2_pipe_available_capacity")/1000,"")</f>
        <v>0</v>
      </c>
      <c r="I390" s="43">
        <f>IFERROR(SUMIFS(Infrastructure[2027],Infrastructure[[cluster]:[cluster]],"="&amp;$B390,Infrastructure[[variable_type]:[variable_type]],"CO2_pipe_available_capacity")/1000,"")</f>
        <v>0</v>
      </c>
      <c r="J390" s="43">
        <f>IFERROR(SUMIFS(Infrastructure[2028],Infrastructure[[cluster]:[cluster]],"="&amp;$B390,Infrastructure[[variable_type]:[variable_type]],"CO2_pipe_available_capacity")/1000,"")</f>
        <v>0</v>
      </c>
      <c r="K390" s="43">
        <f>IFERROR(SUMIFS(Infrastructure[2029],Infrastructure[[cluster]:[cluster]],"="&amp;$B390,Infrastructure[[variable_type]:[variable_type]],"CO2_pipe_available_capacity")/1000,"")</f>
        <v>0</v>
      </c>
      <c r="L390" s="43">
        <f>IFERROR(SUMIFS(Infrastructure[2030],Infrastructure[[cluster]:[cluster]],"="&amp;$B390,Infrastructure[[variable_type]:[variable_type]],"CO2_pipe_available_capacity")/1000,"")</f>
        <v>0</v>
      </c>
      <c r="M390" s="43">
        <f>IFERROR(SUMIFS(Infrastructure[2031],Infrastructure[[cluster]:[cluster]],"="&amp;$B390,Infrastructure[[variable_type]:[variable_type]],"CO2_pipe_available_capacity")/1000,"")</f>
        <v>0</v>
      </c>
      <c r="N390" s="43">
        <f>IFERROR(SUMIFS(Infrastructure[2032],Infrastructure[[cluster]:[cluster]],"="&amp;$B390,Infrastructure[[variable_type]:[variable_type]],"CO2_pipe_available_capacity")/1000,"")</f>
        <v>0</v>
      </c>
      <c r="O390" s="43">
        <f>IFERROR(SUMIFS(Infrastructure[2033],Infrastructure[[cluster]:[cluster]],"="&amp;$B390,Infrastructure[[variable_type]:[variable_type]],"CO2_pipe_available_capacity")/1000,"")</f>
        <v>0</v>
      </c>
      <c r="P390" s="43">
        <f>IFERROR(SUMIFS(Infrastructure[2034],Infrastructure[[cluster]:[cluster]],"="&amp;$B390,Infrastructure[[variable_type]:[variable_type]],"CO2_pipe_available_capacity")/1000,"")</f>
        <v>0</v>
      </c>
      <c r="Q390" s="43">
        <f>IFERROR(SUMIFS(Infrastructure[2035],Infrastructure[[cluster]:[cluster]],"="&amp;$B390,Infrastructure[[variable_type]:[variable_type]],"CO2_pipe_available_capacity")/1000,"")</f>
        <v>0</v>
      </c>
      <c r="R390" s="43">
        <f>IFERROR(SUMIFS(Infrastructure[2036],Infrastructure[[cluster]:[cluster]],"="&amp;$B390,Infrastructure[[variable_type]:[variable_type]],"CO2_pipe_available_capacity")/1000,"")</f>
        <v>0</v>
      </c>
      <c r="S390" s="43">
        <f>IFERROR(SUMIFS(Infrastructure[2037],Infrastructure[[cluster]:[cluster]],"="&amp;$B390,Infrastructure[[variable_type]:[variable_type]],"CO2_pipe_available_capacity")/1000,"")</f>
        <v>0</v>
      </c>
      <c r="T390" s="43">
        <f>IFERROR(SUMIFS(Infrastructure[2038],Infrastructure[[cluster]:[cluster]],"="&amp;$B390,Infrastructure[[variable_type]:[variable_type]],"CO2_pipe_available_capacity")/1000,"")</f>
        <v>0</v>
      </c>
      <c r="U390" s="43">
        <f>IFERROR(SUMIFS(Infrastructure[2039],Infrastructure[[cluster]:[cluster]],"="&amp;$B390,Infrastructure[[variable_type]:[variable_type]],"CO2_pipe_available_capacity")/1000,"")</f>
        <v>0</v>
      </c>
      <c r="V390" s="43">
        <f>IFERROR(SUMIFS(Infrastructure[2040],Infrastructure[[cluster]:[cluster]],"="&amp;$B390,Infrastructure[[variable_type]:[variable_type]],"CO2_pipe_available_capacity")/1000,"")</f>
        <v>0</v>
      </c>
      <c r="W390" s="43">
        <f>IFERROR(SUMIFS(Infrastructure[2041],Infrastructure[[cluster]:[cluster]],"="&amp;$B390,Infrastructure[[variable_type]:[variable_type]],"CO2_pipe_available_capacity")/1000,"")</f>
        <v>0</v>
      </c>
      <c r="X390" s="43">
        <f>IFERROR(SUMIFS(Infrastructure[2042],Infrastructure[[cluster]:[cluster]],"="&amp;$B390,Infrastructure[[variable_type]:[variable_type]],"CO2_pipe_available_capacity")/1000,"")</f>
        <v>0</v>
      </c>
      <c r="Y390" s="43">
        <f>IFERROR(SUMIFS(Infrastructure[2043],Infrastructure[[cluster]:[cluster]],"="&amp;$B390,Infrastructure[[variable_type]:[variable_type]],"CO2_pipe_available_capacity")/1000,"")</f>
        <v>0</v>
      </c>
      <c r="Z390" s="43">
        <f>IFERROR(SUMIFS(Infrastructure[2044],Infrastructure[[cluster]:[cluster]],"="&amp;$B390,Infrastructure[[variable_type]:[variable_type]],"CO2_pipe_available_capacity")/1000,"")</f>
        <v>0</v>
      </c>
      <c r="AA390" s="43">
        <f>IFERROR(SUMIFS(Infrastructure[2045],Infrastructure[[cluster]:[cluster]],"="&amp;$B390,Infrastructure[[variable_type]:[variable_type]],"CO2_pipe_available_capacity")/1000,"")</f>
        <v>0</v>
      </c>
      <c r="AB390" s="43">
        <f>IFERROR(SUMIFS(Infrastructure[2046],Infrastructure[[cluster]:[cluster]],"="&amp;$B390,Infrastructure[[variable_type]:[variable_type]],"CO2_pipe_available_capacity")/1000,"")</f>
        <v>0</v>
      </c>
      <c r="AC390" s="43">
        <f>IFERROR(SUMIFS(Infrastructure[2047],Infrastructure[[cluster]:[cluster]],"="&amp;$B390,Infrastructure[[variable_type]:[variable_type]],"CO2_pipe_available_capacity")/1000,"")</f>
        <v>0</v>
      </c>
      <c r="AD390" s="43">
        <f>IFERROR(SUMIFS(Infrastructure[2048],Infrastructure[[cluster]:[cluster]],"="&amp;$B390,Infrastructure[[variable_type]:[variable_type]],"CO2_pipe_available_capacity")/1000,"")</f>
        <v>0</v>
      </c>
      <c r="AE390" s="43">
        <f>IFERROR(SUMIFS(Infrastructure[2049],Infrastructure[[cluster]:[cluster]],"="&amp;$B390,Infrastructure[[variable_type]:[variable_type]],"CO2_pipe_available_capacity")/1000,"")</f>
        <v>0</v>
      </c>
      <c r="AF390" s="43">
        <f>IFERROR(SUMIFS(Infrastructure[2050],Infrastructure[[cluster]:[cluster]],"="&amp;$B390,Infrastructure[[variable_type]:[variable_type]],"CO2_pipe_available_capacity")/1000,"")</f>
        <v>0</v>
      </c>
      <c r="AG390" s="43">
        <f>IFERROR(SUMIFS(Infrastructure[2051],Infrastructure[[cluster]:[cluster]],"="&amp;$B390,Infrastructure[[variable_type]:[variable_type]],"CO2_pipe_available_capacity")/1000,"")</f>
        <v>0</v>
      </c>
    </row>
    <row r="391" spans="1:33" x14ac:dyDescent="0.45">
      <c r="B391" t="s">
        <v>71</v>
      </c>
      <c r="C391" s="43">
        <f>IFERROR(SUMIFS(Infrastructure[2021],Infrastructure[[cluster]:[cluster]],"="&amp;$B391,Infrastructure[[variable_type]:[variable_type]],"CO2_pipe_available_capacity")/1000,"")</f>
        <v>0</v>
      </c>
      <c r="D391" s="43">
        <f>IFERROR(SUMIFS(Infrastructure[2022],Infrastructure[[cluster]:[cluster]],"="&amp;$B391,Infrastructure[[variable_type]:[variable_type]],"CO2_pipe_available_capacity")/1000,"")</f>
        <v>0</v>
      </c>
      <c r="E391" s="43">
        <f>IFERROR(SUMIFS(Infrastructure[2023],Infrastructure[[cluster]:[cluster]],"="&amp;$B391,Infrastructure[[variable_type]:[variable_type]],"CO2_pipe_available_capacity")/1000,"")</f>
        <v>0</v>
      </c>
      <c r="F391" s="43">
        <f>IFERROR(SUMIFS(Infrastructure[2024],Infrastructure[[cluster]:[cluster]],"="&amp;$B391,Infrastructure[[variable_type]:[variable_type]],"CO2_pipe_available_capacity")/1000,"")</f>
        <v>0</v>
      </c>
      <c r="G391" s="43">
        <f>IFERROR(SUMIFS(Infrastructure[2025],Infrastructure[[cluster]:[cluster]],"="&amp;$B391,Infrastructure[[variable_type]:[variable_type]],"CO2_pipe_available_capacity")/1000,"")</f>
        <v>0</v>
      </c>
      <c r="H391" s="43">
        <f>IFERROR(SUMIFS(Infrastructure[2026],Infrastructure[[cluster]:[cluster]],"="&amp;$B391,Infrastructure[[variable_type]:[variable_type]],"CO2_pipe_available_capacity")/1000,"")</f>
        <v>0</v>
      </c>
      <c r="I391" s="43">
        <f>IFERROR(SUMIFS(Infrastructure[2027],Infrastructure[[cluster]:[cluster]],"="&amp;$B391,Infrastructure[[variable_type]:[variable_type]],"CO2_pipe_available_capacity")/1000,"")</f>
        <v>0</v>
      </c>
      <c r="J391" s="43">
        <f>IFERROR(SUMIFS(Infrastructure[2028],Infrastructure[[cluster]:[cluster]],"="&amp;$B391,Infrastructure[[variable_type]:[variable_type]],"CO2_pipe_available_capacity")/1000,"")</f>
        <v>0</v>
      </c>
      <c r="K391" s="43">
        <f>IFERROR(SUMIFS(Infrastructure[2029],Infrastructure[[cluster]:[cluster]],"="&amp;$B391,Infrastructure[[variable_type]:[variable_type]],"CO2_pipe_available_capacity")/1000,"")</f>
        <v>0</v>
      </c>
      <c r="L391" s="43">
        <f>IFERROR(SUMIFS(Infrastructure[2030],Infrastructure[[cluster]:[cluster]],"="&amp;$B391,Infrastructure[[variable_type]:[variable_type]],"CO2_pipe_available_capacity")/1000,"")</f>
        <v>0</v>
      </c>
      <c r="M391" s="43">
        <f>IFERROR(SUMIFS(Infrastructure[2031],Infrastructure[[cluster]:[cluster]],"="&amp;$B391,Infrastructure[[variable_type]:[variable_type]],"CO2_pipe_available_capacity")/1000,"")</f>
        <v>0</v>
      </c>
      <c r="N391" s="43">
        <f>IFERROR(SUMIFS(Infrastructure[2032],Infrastructure[[cluster]:[cluster]],"="&amp;$B391,Infrastructure[[variable_type]:[variable_type]],"CO2_pipe_available_capacity")/1000,"")</f>
        <v>0</v>
      </c>
      <c r="O391" s="43">
        <f>IFERROR(SUMIFS(Infrastructure[2033],Infrastructure[[cluster]:[cluster]],"="&amp;$B391,Infrastructure[[variable_type]:[variable_type]],"CO2_pipe_available_capacity")/1000,"")</f>
        <v>0</v>
      </c>
      <c r="P391" s="43">
        <f>IFERROR(SUMIFS(Infrastructure[2034],Infrastructure[[cluster]:[cluster]],"="&amp;$B391,Infrastructure[[variable_type]:[variable_type]],"CO2_pipe_available_capacity")/1000,"")</f>
        <v>0</v>
      </c>
      <c r="Q391" s="43">
        <f>IFERROR(SUMIFS(Infrastructure[2035],Infrastructure[[cluster]:[cluster]],"="&amp;$B391,Infrastructure[[variable_type]:[variable_type]],"CO2_pipe_available_capacity")/1000,"")</f>
        <v>0</v>
      </c>
      <c r="R391" s="43">
        <f>IFERROR(SUMIFS(Infrastructure[2036],Infrastructure[[cluster]:[cluster]],"="&amp;$B391,Infrastructure[[variable_type]:[variable_type]],"CO2_pipe_available_capacity")/1000,"")</f>
        <v>0</v>
      </c>
      <c r="S391" s="43">
        <f>IFERROR(SUMIFS(Infrastructure[2037],Infrastructure[[cluster]:[cluster]],"="&amp;$B391,Infrastructure[[variable_type]:[variable_type]],"CO2_pipe_available_capacity")/1000,"")</f>
        <v>0</v>
      </c>
      <c r="T391" s="43">
        <f>IFERROR(SUMIFS(Infrastructure[2038],Infrastructure[[cluster]:[cluster]],"="&amp;$B391,Infrastructure[[variable_type]:[variable_type]],"CO2_pipe_available_capacity")/1000,"")</f>
        <v>0</v>
      </c>
      <c r="U391" s="43">
        <f>IFERROR(SUMIFS(Infrastructure[2039],Infrastructure[[cluster]:[cluster]],"="&amp;$B391,Infrastructure[[variable_type]:[variable_type]],"CO2_pipe_available_capacity")/1000,"")</f>
        <v>0</v>
      </c>
      <c r="V391" s="43">
        <f>IFERROR(SUMIFS(Infrastructure[2040],Infrastructure[[cluster]:[cluster]],"="&amp;$B391,Infrastructure[[variable_type]:[variable_type]],"CO2_pipe_available_capacity")/1000,"")</f>
        <v>0</v>
      </c>
      <c r="W391" s="43">
        <f>IFERROR(SUMIFS(Infrastructure[2041],Infrastructure[[cluster]:[cluster]],"="&amp;$B391,Infrastructure[[variable_type]:[variable_type]],"CO2_pipe_available_capacity")/1000,"")</f>
        <v>0</v>
      </c>
      <c r="X391" s="43">
        <f>IFERROR(SUMIFS(Infrastructure[2042],Infrastructure[[cluster]:[cluster]],"="&amp;$B391,Infrastructure[[variable_type]:[variable_type]],"CO2_pipe_available_capacity")/1000,"")</f>
        <v>0</v>
      </c>
      <c r="Y391" s="43">
        <f>IFERROR(SUMIFS(Infrastructure[2043],Infrastructure[[cluster]:[cluster]],"="&amp;$B391,Infrastructure[[variable_type]:[variable_type]],"CO2_pipe_available_capacity")/1000,"")</f>
        <v>0</v>
      </c>
      <c r="Z391" s="43">
        <f>IFERROR(SUMIFS(Infrastructure[2044],Infrastructure[[cluster]:[cluster]],"="&amp;$B391,Infrastructure[[variable_type]:[variable_type]],"CO2_pipe_available_capacity")/1000,"")</f>
        <v>0</v>
      </c>
      <c r="AA391" s="43">
        <f>IFERROR(SUMIFS(Infrastructure[2045],Infrastructure[[cluster]:[cluster]],"="&amp;$B391,Infrastructure[[variable_type]:[variable_type]],"CO2_pipe_available_capacity")/1000,"")</f>
        <v>0</v>
      </c>
      <c r="AB391" s="43">
        <f>IFERROR(SUMIFS(Infrastructure[2046],Infrastructure[[cluster]:[cluster]],"="&amp;$B391,Infrastructure[[variable_type]:[variable_type]],"CO2_pipe_available_capacity")/1000,"")</f>
        <v>0</v>
      </c>
      <c r="AC391" s="43">
        <f>IFERROR(SUMIFS(Infrastructure[2047],Infrastructure[[cluster]:[cluster]],"="&amp;$B391,Infrastructure[[variable_type]:[variable_type]],"CO2_pipe_available_capacity")/1000,"")</f>
        <v>0</v>
      </c>
      <c r="AD391" s="43">
        <f>IFERROR(SUMIFS(Infrastructure[2048],Infrastructure[[cluster]:[cluster]],"="&amp;$B391,Infrastructure[[variable_type]:[variable_type]],"CO2_pipe_available_capacity")/1000,"")</f>
        <v>0</v>
      </c>
      <c r="AE391" s="43">
        <f>IFERROR(SUMIFS(Infrastructure[2049],Infrastructure[[cluster]:[cluster]],"="&amp;$B391,Infrastructure[[variable_type]:[variable_type]],"CO2_pipe_available_capacity")/1000,"")</f>
        <v>0</v>
      </c>
      <c r="AF391" s="43">
        <f>IFERROR(SUMIFS(Infrastructure[2050],Infrastructure[[cluster]:[cluster]],"="&amp;$B391,Infrastructure[[variable_type]:[variable_type]],"CO2_pipe_available_capacity")/1000,"")</f>
        <v>0</v>
      </c>
      <c r="AG391" s="43">
        <f>IFERROR(SUMIFS(Infrastructure[2051],Infrastructure[[cluster]:[cluster]],"="&amp;$B391,Infrastructure[[variable_type]:[variable_type]],"CO2_pipe_available_capacity")/1000,"")</f>
        <v>0</v>
      </c>
    </row>
    <row r="392" spans="1:33" x14ac:dyDescent="0.45">
      <c r="B392" t="s">
        <v>72</v>
      </c>
      <c r="C392" s="43">
        <f>IFERROR(SUMIFS(Infrastructure[2021],Infrastructure[[cluster]:[cluster]],"="&amp;$B392,Infrastructure[[variable_type]:[variable_type]],"CO2_pipe_available_capacity")/1000,"")</f>
        <v>0</v>
      </c>
      <c r="D392" s="43">
        <f>IFERROR(SUMIFS(Infrastructure[2022],Infrastructure[[cluster]:[cluster]],"="&amp;$B392,Infrastructure[[variable_type]:[variable_type]],"CO2_pipe_available_capacity")/1000,"")</f>
        <v>0</v>
      </c>
      <c r="E392" s="43">
        <f>IFERROR(SUMIFS(Infrastructure[2023],Infrastructure[[cluster]:[cluster]],"="&amp;$B392,Infrastructure[[variable_type]:[variable_type]],"CO2_pipe_available_capacity")/1000,"")</f>
        <v>0</v>
      </c>
      <c r="F392" s="43">
        <f>IFERROR(SUMIFS(Infrastructure[2024],Infrastructure[[cluster]:[cluster]],"="&amp;$B392,Infrastructure[[variable_type]:[variable_type]],"CO2_pipe_available_capacity")/1000,"")</f>
        <v>0</v>
      </c>
      <c r="G392" s="43">
        <f>IFERROR(SUMIFS(Infrastructure[2025],Infrastructure[[cluster]:[cluster]],"="&amp;$B392,Infrastructure[[variable_type]:[variable_type]],"CO2_pipe_available_capacity")/1000,"")</f>
        <v>0</v>
      </c>
      <c r="H392" s="43">
        <f>IFERROR(SUMIFS(Infrastructure[2026],Infrastructure[[cluster]:[cluster]],"="&amp;$B392,Infrastructure[[variable_type]:[variable_type]],"CO2_pipe_available_capacity")/1000,"")</f>
        <v>0</v>
      </c>
      <c r="I392" s="43">
        <f>IFERROR(SUMIFS(Infrastructure[2027],Infrastructure[[cluster]:[cluster]],"="&amp;$B392,Infrastructure[[variable_type]:[variable_type]],"CO2_pipe_available_capacity")/1000,"")</f>
        <v>0</v>
      </c>
      <c r="J392" s="43">
        <f>IFERROR(SUMIFS(Infrastructure[2028],Infrastructure[[cluster]:[cluster]],"="&amp;$B392,Infrastructure[[variable_type]:[variable_type]],"CO2_pipe_available_capacity")/1000,"")</f>
        <v>0</v>
      </c>
      <c r="K392" s="43">
        <f>IFERROR(SUMIFS(Infrastructure[2029],Infrastructure[[cluster]:[cluster]],"="&amp;$B392,Infrastructure[[variable_type]:[variable_type]],"CO2_pipe_available_capacity")/1000,"")</f>
        <v>0</v>
      </c>
      <c r="L392" s="43">
        <f>IFERROR(SUMIFS(Infrastructure[2030],Infrastructure[[cluster]:[cluster]],"="&amp;$B392,Infrastructure[[variable_type]:[variable_type]],"CO2_pipe_available_capacity")/1000,"")</f>
        <v>0</v>
      </c>
      <c r="M392" s="43">
        <f>IFERROR(SUMIFS(Infrastructure[2031],Infrastructure[[cluster]:[cluster]],"="&amp;$B392,Infrastructure[[variable_type]:[variable_type]],"CO2_pipe_available_capacity")/1000,"")</f>
        <v>0</v>
      </c>
      <c r="N392" s="43">
        <f>IFERROR(SUMIFS(Infrastructure[2032],Infrastructure[[cluster]:[cluster]],"="&amp;$B392,Infrastructure[[variable_type]:[variable_type]],"CO2_pipe_available_capacity")/1000,"")</f>
        <v>0</v>
      </c>
      <c r="O392" s="43">
        <f>IFERROR(SUMIFS(Infrastructure[2033],Infrastructure[[cluster]:[cluster]],"="&amp;$B392,Infrastructure[[variable_type]:[variable_type]],"CO2_pipe_available_capacity")/1000,"")</f>
        <v>0</v>
      </c>
      <c r="P392" s="43">
        <f>IFERROR(SUMIFS(Infrastructure[2034],Infrastructure[[cluster]:[cluster]],"="&amp;$B392,Infrastructure[[variable_type]:[variable_type]],"CO2_pipe_available_capacity")/1000,"")</f>
        <v>0</v>
      </c>
      <c r="Q392" s="43">
        <f>IFERROR(SUMIFS(Infrastructure[2035],Infrastructure[[cluster]:[cluster]],"="&amp;$B392,Infrastructure[[variable_type]:[variable_type]],"CO2_pipe_available_capacity")/1000,"")</f>
        <v>0</v>
      </c>
      <c r="R392" s="43">
        <f>IFERROR(SUMIFS(Infrastructure[2036],Infrastructure[[cluster]:[cluster]],"="&amp;$B392,Infrastructure[[variable_type]:[variable_type]],"CO2_pipe_available_capacity")/1000,"")</f>
        <v>0</v>
      </c>
      <c r="S392" s="43">
        <f>IFERROR(SUMIFS(Infrastructure[2037],Infrastructure[[cluster]:[cluster]],"="&amp;$B392,Infrastructure[[variable_type]:[variable_type]],"CO2_pipe_available_capacity")/1000,"")</f>
        <v>0</v>
      </c>
      <c r="T392" s="43">
        <f>IFERROR(SUMIFS(Infrastructure[2038],Infrastructure[[cluster]:[cluster]],"="&amp;$B392,Infrastructure[[variable_type]:[variable_type]],"CO2_pipe_available_capacity")/1000,"")</f>
        <v>0</v>
      </c>
      <c r="U392" s="43">
        <f>IFERROR(SUMIFS(Infrastructure[2039],Infrastructure[[cluster]:[cluster]],"="&amp;$B392,Infrastructure[[variable_type]:[variable_type]],"CO2_pipe_available_capacity")/1000,"")</f>
        <v>0</v>
      </c>
      <c r="V392" s="43">
        <f>IFERROR(SUMIFS(Infrastructure[2040],Infrastructure[[cluster]:[cluster]],"="&amp;$B392,Infrastructure[[variable_type]:[variable_type]],"CO2_pipe_available_capacity")/1000,"")</f>
        <v>0</v>
      </c>
      <c r="W392" s="43">
        <f>IFERROR(SUMIFS(Infrastructure[2041],Infrastructure[[cluster]:[cluster]],"="&amp;$B392,Infrastructure[[variable_type]:[variable_type]],"CO2_pipe_available_capacity")/1000,"")</f>
        <v>0</v>
      </c>
      <c r="X392" s="43">
        <f>IFERROR(SUMIFS(Infrastructure[2042],Infrastructure[[cluster]:[cluster]],"="&amp;$B392,Infrastructure[[variable_type]:[variable_type]],"CO2_pipe_available_capacity")/1000,"")</f>
        <v>0</v>
      </c>
      <c r="Y392" s="43">
        <f>IFERROR(SUMIFS(Infrastructure[2043],Infrastructure[[cluster]:[cluster]],"="&amp;$B392,Infrastructure[[variable_type]:[variable_type]],"CO2_pipe_available_capacity")/1000,"")</f>
        <v>0</v>
      </c>
      <c r="Z392" s="43">
        <f>IFERROR(SUMIFS(Infrastructure[2044],Infrastructure[[cluster]:[cluster]],"="&amp;$B392,Infrastructure[[variable_type]:[variable_type]],"CO2_pipe_available_capacity")/1000,"")</f>
        <v>0</v>
      </c>
      <c r="AA392" s="43">
        <f>IFERROR(SUMIFS(Infrastructure[2045],Infrastructure[[cluster]:[cluster]],"="&amp;$B392,Infrastructure[[variable_type]:[variable_type]],"CO2_pipe_available_capacity")/1000,"")</f>
        <v>0</v>
      </c>
      <c r="AB392" s="43">
        <f>IFERROR(SUMIFS(Infrastructure[2046],Infrastructure[[cluster]:[cluster]],"="&amp;$B392,Infrastructure[[variable_type]:[variable_type]],"CO2_pipe_available_capacity")/1000,"")</f>
        <v>0</v>
      </c>
      <c r="AC392" s="43">
        <f>IFERROR(SUMIFS(Infrastructure[2047],Infrastructure[[cluster]:[cluster]],"="&amp;$B392,Infrastructure[[variable_type]:[variable_type]],"CO2_pipe_available_capacity")/1000,"")</f>
        <v>0</v>
      </c>
      <c r="AD392" s="43">
        <f>IFERROR(SUMIFS(Infrastructure[2048],Infrastructure[[cluster]:[cluster]],"="&amp;$B392,Infrastructure[[variable_type]:[variable_type]],"CO2_pipe_available_capacity")/1000,"")</f>
        <v>0</v>
      </c>
      <c r="AE392" s="43">
        <f>IFERROR(SUMIFS(Infrastructure[2049],Infrastructure[[cluster]:[cluster]],"="&amp;$B392,Infrastructure[[variable_type]:[variable_type]],"CO2_pipe_available_capacity")/1000,"")</f>
        <v>0</v>
      </c>
      <c r="AF392" s="43">
        <f>IFERROR(SUMIFS(Infrastructure[2050],Infrastructure[[cluster]:[cluster]],"="&amp;$B392,Infrastructure[[variable_type]:[variable_type]],"CO2_pipe_available_capacity")/1000,"")</f>
        <v>0</v>
      </c>
      <c r="AG392" s="43">
        <f>IFERROR(SUMIFS(Infrastructure[2051],Infrastructure[[cluster]:[cluster]],"="&amp;$B392,Infrastructure[[variable_type]:[variable_type]],"CO2_pipe_available_capacity")/1000,"")</f>
        <v>0</v>
      </c>
    </row>
    <row r="393" spans="1:33" x14ac:dyDescent="0.45">
      <c r="B393" t="s">
        <v>73</v>
      </c>
      <c r="C393" s="43">
        <f>IFERROR(SUMIFS(Infrastructure[2021],Infrastructure[[cluster]:[cluster]],"="&amp;$B393,Infrastructure[[variable_type]:[variable_type]],"CO2_pipe_available_capacity")/1000,"")</f>
        <v>0</v>
      </c>
      <c r="D393" s="43">
        <f>IFERROR(SUMIFS(Infrastructure[2022],Infrastructure[[cluster]:[cluster]],"="&amp;$B393,Infrastructure[[variable_type]:[variable_type]],"CO2_pipe_available_capacity")/1000,"")</f>
        <v>0</v>
      </c>
      <c r="E393" s="43">
        <f>IFERROR(SUMIFS(Infrastructure[2023],Infrastructure[[cluster]:[cluster]],"="&amp;$B393,Infrastructure[[variable_type]:[variable_type]],"CO2_pipe_available_capacity")/1000,"")</f>
        <v>0</v>
      </c>
      <c r="F393" s="43">
        <f>IFERROR(SUMIFS(Infrastructure[2024],Infrastructure[[cluster]:[cluster]],"="&amp;$B393,Infrastructure[[variable_type]:[variable_type]],"CO2_pipe_available_capacity")/1000,"")</f>
        <v>0</v>
      </c>
      <c r="G393" s="43">
        <f>IFERROR(SUMIFS(Infrastructure[2025],Infrastructure[[cluster]:[cluster]],"="&amp;$B393,Infrastructure[[variable_type]:[variable_type]],"CO2_pipe_available_capacity")/1000,"")</f>
        <v>0</v>
      </c>
      <c r="H393" s="43">
        <f>IFERROR(SUMIFS(Infrastructure[2026],Infrastructure[[cluster]:[cluster]],"="&amp;$B393,Infrastructure[[variable_type]:[variable_type]],"CO2_pipe_available_capacity")/1000,"")</f>
        <v>0</v>
      </c>
      <c r="I393" s="43">
        <f>IFERROR(SUMIFS(Infrastructure[2027],Infrastructure[[cluster]:[cluster]],"="&amp;$B393,Infrastructure[[variable_type]:[variable_type]],"CO2_pipe_available_capacity")/1000,"")</f>
        <v>0</v>
      </c>
      <c r="J393" s="43">
        <f>IFERROR(SUMIFS(Infrastructure[2028],Infrastructure[[cluster]:[cluster]],"="&amp;$B393,Infrastructure[[variable_type]:[variable_type]],"CO2_pipe_available_capacity")/1000,"")</f>
        <v>0</v>
      </c>
      <c r="K393" s="43">
        <f>IFERROR(SUMIFS(Infrastructure[2029],Infrastructure[[cluster]:[cluster]],"="&amp;$B393,Infrastructure[[variable_type]:[variable_type]],"CO2_pipe_available_capacity")/1000,"")</f>
        <v>0</v>
      </c>
      <c r="L393" s="43">
        <f>IFERROR(SUMIFS(Infrastructure[2030],Infrastructure[[cluster]:[cluster]],"="&amp;$B393,Infrastructure[[variable_type]:[variable_type]],"CO2_pipe_available_capacity")/1000,"")</f>
        <v>0</v>
      </c>
      <c r="M393" s="43">
        <f>IFERROR(SUMIFS(Infrastructure[2031],Infrastructure[[cluster]:[cluster]],"="&amp;$B393,Infrastructure[[variable_type]:[variable_type]],"CO2_pipe_available_capacity")/1000,"")</f>
        <v>0</v>
      </c>
      <c r="N393" s="43">
        <f>IFERROR(SUMIFS(Infrastructure[2032],Infrastructure[[cluster]:[cluster]],"="&amp;$B393,Infrastructure[[variable_type]:[variable_type]],"CO2_pipe_available_capacity")/1000,"")</f>
        <v>0</v>
      </c>
      <c r="O393" s="43">
        <f>IFERROR(SUMIFS(Infrastructure[2033],Infrastructure[[cluster]:[cluster]],"="&amp;$B393,Infrastructure[[variable_type]:[variable_type]],"CO2_pipe_available_capacity")/1000,"")</f>
        <v>0</v>
      </c>
      <c r="P393" s="43">
        <f>IFERROR(SUMIFS(Infrastructure[2034],Infrastructure[[cluster]:[cluster]],"="&amp;$B393,Infrastructure[[variable_type]:[variable_type]],"CO2_pipe_available_capacity")/1000,"")</f>
        <v>0</v>
      </c>
      <c r="Q393" s="43">
        <f>IFERROR(SUMIFS(Infrastructure[2035],Infrastructure[[cluster]:[cluster]],"="&amp;$B393,Infrastructure[[variable_type]:[variable_type]],"CO2_pipe_available_capacity")/1000,"")</f>
        <v>0</v>
      </c>
      <c r="R393" s="43">
        <f>IFERROR(SUMIFS(Infrastructure[2036],Infrastructure[[cluster]:[cluster]],"="&amp;$B393,Infrastructure[[variable_type]:[variable_type]],"CO2_pipe_available_capacity")/1000,"")</f>
        <v>0</v>
      </c>
      <c r="S393" s="43">
        <f>IFERROR(SUMIFS(Infrastructure[2037],Infrastructure[[cluster]:[cluster]],"="&amp;$B393,Infrastructure[[variable_type]:[variable_type]],"CO2_pipe_available_capacity")/1000,"")</f>
        <v>0</v>
      </c>
      <c r="T393" s="43">
        <f>IFERROR(SUMIFS(Infrastructure[2038],Infrastructure[[cluster]:[cluster]],"="&amp;$B393,Infrastructure[[variable_type]:[variable_type]],"CO2_pipe_available_capacity")/1000,"")</f>
        <v>0</v>
      </c>
      <c r="U393" s="43">
        <f>IFERROR(SUMIFS(Infrastructure[2039],Infrastructure[[cluster]:[cluster]],"="&amp;$B393,Infrastructure[[variable_type]:[variable_type]],"CO2_pipe_available_capacity")/1000,"")</f>
        <v>0</v>
      </c>
      <c r="V393" s="43">
        <f>IFERROR(SUMIFS(Infrastructure[2040],Infrastructure[[cluster]:[cluster]],"="&amp;$B393,Infrastructure[[variable_type]:[variable_type]],"CO2_pipe_available_capacity")/1000,"")</f>
        <v>0</v>
      </c>
      <c r="W393" s="43">
        <f>IFERROR(SUMIFS(Infrastructure[2041],Infrastructure[[cluster]:[cluster]],"="&amp;$B393,Infrastructure[[variable_type]:[variable_type]],"CO2_pipe_available_capacity")/1000,"")</f>
        <v>0</v>
      </c>
      <c r="X393" s="43">
        <f>IFERROR(SUMIFS(Infrastructure[2042],Infrastructure[[cluster]:[cluster]],"="&amp;$B393,Infrastructure[[variable_type]:[variable_type]],"CO2_pipe_available_capacity")/1000,"")</f>
        <v>0</v>
      </c>
      <c r="Y393" s="43">
        <f>IFERROR(SUMIFS(Infrastructure[2043],Infrastructure[[cluster]:[cluster]],"="&amp;$B393,Infrastructure[[variable_type]:[variable_type]],"CO2_pipe_available_capacity")/1000,"")</f>
        <v>0</v>
      </c>
      <c r="Z393" s="43">
        <f>IFERROR(SUMIFS(Infrastructure[2044],Infrastructure[[cluster]:[cluster]],"="&amp;$B393,Infrastructure[[variable_type]:[variable_type]],"CO2_pipe_available_capacity")/1000,"")</f>
        <v>0</v>
      </c>
      <c r="AA393" s="43">
        <f>IFERROR(SUMIFS(Infrastructure[2045],Infrastructure[[cluster]:[cluster]],"="&amp;$B393,Infrastructure[[variable_type]:[variable_type]],"CO2_pipe_available_capacity")/1000,"")</f>
        <v>0</v>
      </c>
      <c r="AB393" s="43">
        <f>IFERROR(SUMIFS(Infrastructure[2046],Infrastructure[[cluster]:[cluster]],"="&amp;$B393,Infrastructure[[variable_type]:[variable_type]],"CO2_pipe_available_capacity")/1000,"")</f>
        <v>0</v>
      </c>
      <c r="AC393" s="43">
        <f>IFERROR(SUMIFS(Infrastructure[2047],Infrastructure[[cluster]:[cluster]],"="&amp;$B393,Infrastructure[[variable_type]:[variable_type]],"CO2_pipe_available_capacity")/1000,"")</f>
        <v>0</v>
      </c>
      <c r="AD393" s="43">
        <f>IFERROR(SUMIFS(Infrastructure[2048],Infrastructure[[cluster]:[cluster]],"="&amp;$B393,Infrastructure[[variable_type]:[variable_type]],"CO2_pipe_available_capacity")/1000,"")</f>
        <v>0</v>
      </c>
      <c r="AE393" s="43">
        <f>IFERROR(SUMIFS(Infrastructure[2049],Infrastructure[[cluster]:[cluster]],"="&amp;$B393,Infrastructure[[variable_type]:[variable_type]],"CO2_pipe_available_capacity")/1000,"")</f>
        <v>0</v>
      </c>
      <c r="AF393" s="43">
        <f>IFERROR(SUMIFS(Infrastructure[2050],Infrastructure[[cluster]:[cluster]],"="&amp;$B393,Infrastructure[[variable_type]:[variable_type]],"CO2_pipe_available_capacity")/1000,"")</f>
        <v>0</v>
      </c>
      <c r="AG393" s="43">
        <f>IFERROR(SUMIFS(Infrastructure[2051],Infrastructure[[cluster]:[cluster]],"="&amp;$B393,Infrastructure[[variable_type]:[variable_type]],"CO2_pipe_available_capacity")/1000,"")</f>
        <v>0</v>
      </c>
    </row>
    <row r="394" spans="1:33" x14ac:dyDescent="0.45">
      <c r="B394" t="s">
        <v>74</v>
      </c>
      <c r="C394" s="43">
        <f>IFERROR(SUMIFS(Infrastructure[2021],Infrastructure[[cluster]:[cluster]],"="&amp;$B394,Infrastructure[[variable_type]:[variable_type]],"CO2_pipe_available_capacity")/1000,"")</f>
        <v>0</v>
      </c>
      <c r="D394" s="43">
        <f>IFERROR(SUMIFS(Infrastructure[2022],Infrastructure[[cluster]:[cluster]],"="&amp;$B394,Infrastructure[[variable_type]:[variable_type]],"CO2_pipe_available_capacity")/1000,"")</f>
        <v>0</v>
      </c>
      <c r="E394" s="43">
        <f>IFERROR(SUMIFS(Infrastructure[2023],Infrastructure[[cluster]:[cluster]],"="&amp;$B394,Infrastructure[[variable_type]:[variable_type]],"CO2_pipe_available_capacity")/1000,"")</f>
        <v>0</v>
      </c>
      <c r="F394" s="43">
        <f>IFERROR(SUMIFS(Infrastructure[2024],Infrastructure[[cluster]:[cluster]],"="&amp;$B394,Infrastructure[[variable_type]:[variable_type]],"CO2_pipe_available_capacity")/1000,"")</f>
        <v>0</v>
      </c>
      <c r="G394" s="43">
        <f>IFERROR(SUMIFS(Infrastructure[2025],Infrastructure[[cluster]:[cluster]],"="&amp;$B394,Infrastructure[[variable_type]:[variable_type]],"CO2_pipe_available_capacity")/1000,"")</f>
        <v>0</v>
      </c>
      <c r="H394" s="43">
        <f>IFERROR(SUMIFS(Infrastructure[2026],Infrastructure[[cluster]:[cluster]],"="&amp;$B394,Infrastructure[[variable_type]:[variable_type]],"CO2_pipe_available_capacity")/1000,"")</f>
        <v>0</v>
      </c>
      <c r="I394" s="43">
        <f>IFERROR(SUMIFS(Infrastructure[2027],Infrastructure[[cluster]:[cluster]],"="&amp;$B394,Infrastructure[[variable_type]:[variable_type]],"CO2_pipe_available_capacity")/1000,"")</f>
        <v>0</v>
      </c>
      <c r="J394" s="43">
        <f>IFERROR(SUMIFS(Infrastructure[2028],Infrastructure[[cluster]:[cluster]],"="&amp;$B394,Infrastructure[[variable_type]:[variable_type]],"CO2_pipe_available_capacity")/1000,"")</f>
        <v>0</v>
      </c>
      <c r="K394" s="43">
        <f>IFERROR(SUMIFS(Infrastructure[2029],Infrastructure[[cluster]:[cluster]],"="&amp;$B394,Infrastructure[[variable_type]:[variable_type]],"CO2_pipe_available_capacity")/1000,"")</f>
        <v>0</v>
      </c>
      <c r="L394" s="43">
        <f>IFERROR(SUMIFS(Infrastructure[2030],Infrastructure[[cluster]:[cluster]],"="&amp;$B394,Infrastructure[[variable_type]:[variable_type]],"CO2_pipe_available_capacity")/1000,"")</f>
        <v>0</v>
      </c>
      <c r="M394" s="43">
        <f>IFERROR(SUMIFS(Infrastructure[2031],Infrastructure[[cluster]:[cluster]],"="&amp;$B394,Infrastructure[[variable_type]:[variable_type]],"CO2_pipe_available_capacity")/1000,"")</f>
        <v>0</v>
      </c>
      <c r="N394" s="43">
        <f>IFERROR(SUMIFS(Infrastructure[2032],Infrastructure[[cluster]:[cluster]],"="&amp;$B394,Infrastructure[[variable_type]:[variable_type]],"CO2_pipe_available_capacity")/1000,"")</f>
        <v>0</v>
      </c>
      <c r="O394" s="43">
        <f>IFERROR(SUMIFS(Infrastructure[2033],Infrastructure[[cluster]:[cluster]],"="&amp;$B394,Infrastructure[[variable_type]:[variable_type]],"CO2_pipe_available_capacity")/1000,"")</f>
        <v>0</v>
      </c>
      <c r="P394" s="43">
        <f>IFERROR(SUMIFS(Infrastructure[2034],Infrastructure[[cluster]:[cluster]],"="&amp;$B394,Infrastructure[[variable_type]:[variable_type]],"CO2_pipe_available_capacity")/1000,"")</f>
        <v>0</v>
      </c>
      <c r="Q394" s="43">
        <f>IFERROR(SUMIFS(Infrastructure[2035],Infrastructure[[cluster]:[cluster]],"="&amp;$B394,Infrastructure[[variable_type]:[variable_type]],"CO2_pipe_available_capacity")/1000,"")</f>
        <v>0</v>
      </c>
      <c r="R394" s="43">
        <f>IFERROR(SUMIFS(Infrastructure[2036],Infrastructure[[cluster]:[cluster]],"="&amp;$B394,Infrastructure[[variable_type]:[variable_type]],"CO2_pipe_available_capacity")/1000,"")</f>
        <v>0</v>
      </c>
      <c r="S394" s="43">
        <f>IFERROR(SUMIFS(Infrastructure[2037],Infrastructure[[cluster]:[cluster]],"="&amp;$B394,Infrastructure[[variable_type]:[variable_type]],"CO2_pipe_available_capacity")/1000,"")</f>
        <v>0</v>
      </c>
      <c r="T394" s="43">
        <f>IFERROR(SUMIFS(Infrastructure[2038],Infrastructure[[cluster]:[cluster]],"="&amp;$B394,Infrastructure[[variable_type]:[variable_type]],"CO2_pipe_available_capacity")/1000,"")</f>
        <v>0</v>
      </c>
      <c r="U394" s="43">
        <f>IFERROR(SUMIFS(Infrastructure[2039],Infrastructure[[cluster]:[cluster]],"="&amp;$B394,Infrastructure[[variable_type]:[variable_type]],"CO2_pipe_available_capacity")/1000,"")</f>
        <v>0</v>
      </c>
      <c r="V394" s="43">
        <f>IFERROR(SUMIFS(Infrastructure[2040],Infrastructure[[cluster]:[cluster]],"="&amp;$B394,Infrastructure[[variable_type]:[variable_type]],"CO2_pipe_available_capacity")/1000,"")</f>
        <v>0</v>
      </c>
      <c r="W394" s="43">
        <f>IFERROR(SUMIFS(Infrastructure[2041],Infrastructure[[cluster]:[cluster]],"="&amp;$B394,Infrastructure[[variable_type]:[variable_type]],"CO2_pipe_available_capacity")/1000,"")</f>
        <v>0</v>
      </c>
      <c r="X394" s="43">
        <f>IFERROR(SUMIFS(Infrastructure[2042],Infrastructure[[cluster]:[cluster]],"="&amp;$B394,Infrastructure[[variable_type]:[variable_type]],"CO2_pipe_available_capacity")/1000,"")</f>
        <v>0</v>
      </c>
      <c r="Y394" s="43">
        <f>IFERROR(SUMIFS(Infrastructure[2043],Infrastructure[[cluster]:[cluster]],"="&amp;$B394,Infrastructure[[variable_type]:[variable_type]],"CO2_pipe_available_capacity")/1000,"")</f>
        <v>0</v>
      </c>
      <c r="Z394" s="43">
        <f>IFERROR(SUMIFS(Infrastructure[2044],Infrastructure[[cluster]:[cluster]],"="&amp;$B394,Infrastructure[[variable_type]:[variable_type]],"CO2_pipe_available_capacity")/1000,"")</f>
        <v>0</v>
      </c>
      <c r="AA394" s="43">
        <f>IFERROR(SUMIFS(Infrastructure[2045],Infrastructure[[cluster]:[cluster]],"="&amp;$B394,Infrastructure[[variable_type]:[variable_type]],"CO2_pipe_available_capacity")/1000,"")</f>
        <v>0</v>
      </c>
      <c r="AB394" s="43">
        <f>IFERROR(SUMIFS(Infrastructure[2046],Infrastructure[[cluster]:[cluster]],"="&amp;$B394,Infrastructure[[variable_type]:[variable_type]],"CO2_pipe_available_capacity")/1000,"")</f>
        <v>0</v>
      </c>
      <c r="AC394" s="43">
        <f>IFERROR(SUMIFS(Infrastructure[2047],Infrastructure[[cluster]:[cluster]],"="&amp;$B394,Infrastructure[[variable_type]:[variable_type]],"CO2_pipe_available_capacity")/1000,"")</f>
        <v>0</v>
      </c>
      <c r="AD394" s="43">
        <f>IFERROR(SUMIFS(Infrastructure[2048],Infrastructure[[cluster]:[cluster]],"="&amp;$B394,Infrastructure[[variable_type]:[variable_type]],"CO2_pipe_available_capacity")/1000,"")</f>
        <v>0</v>
      </c>
      <c r="AE394" s="43">
        <f>IFERROR(SUMIFS(Infrastructure[2049],Infrastructure[[cluster]:[cluster]],"="&amp;$B394,Infrastructure[[variable_type]:[variable_type]],"CO2_pipe_available_capacity")/1000,"")</f>
        <v>0</v>
      </c>
      <c r="AF394" s="43">
        <f>IFERROR(SUMIFS(Infrastructure[2050],Infrastructure[[cluster]:[cluster]],"="&amp;$B394,Infrastructure[[variable_type]:[variable_type]],"CO2_pipe_available_capacity")/1000,"")</f>
        <v>0</v>
      </c>
      <c r="AG394" s="43">
        <f>IFERROR(SUMIFS(Infrastructure[2051],Infrastructure[[cluster]:[cluster]],"="&amp;$B394,Infrastructure[[variable_type]:[variable_type]],"CO2_pipe_available_capacity")/1000,"")</f>
        <v>0</v>
      </c>
    </row>
    <row r="395" spans="1:33" x14ac:dyDescent="0.45">
      <c r="B395" t="s">
        <v>75</v>
      </c>
      <c r="C395" s="43">
        <f>IFERROR(SUMIFS(Infrastructure[2021],Infrastructure[[cluster]:[cluster]],"="&amp;$B395,Infrastructure[[variable_type]:[variable_type]],"CO2_pipe_available_capacity")/1000,"")</f>
        <v>0</v>
      </c>
      <c r="D395" s="43">
        <f>IFERROR(SUMIFS(Infrastructure[2022],Infrastructure[[cluster]:[cluster]],"="&amp;$B395,Infrastructure[[variable_type]:[variable_type]],"CO2_pipe_available_capacity")/1000,"")</f>
        <v>0</v>
      </c>
      <c r="E395" s="43">
        <f>IFERROR(SUMIFS(Infrastructure[2023],Infrastructure[[cluster]:[cluster]],"="&amp;$B395,Infrastructure[[variable_type]:[variable_type]],"CO2_pipe_available_capacity")/1000,"")</f>
        <v>0</v>
      </c>
      <c r="F395" s="43">
        <f>IFERROR(SUMIFS(Infrastructure[2024],Infrastructure[[cluster]:[cluster]],"="&amp;$B395,Infrastructure[[variable_type]:[variable_type]],"CO2_pipe_available_capacity")/1000,"")</f>
        <v>0</v>
      </c>
      <c r="G395" s="43">
        <f>IFERROR(SUMIFS(Infrastructure[2025],Infrastructure[[cluster]:[cluster]],"="&amp;$B395,Infrastructure[[variable_type]:[variable_type]],"CO2_pipe_available_capacity")/1000,"")</f>
        <v>0</v>
      </c>
      <c r="H395" s="43">
        <f>IFERROR(SUMIFS(Infrastructure[2026],Infrastructure[[cluster]:[cluster]],"="&amp;$B395,Infrastructure[[variable_type]:[variable_type]],"CO2_pipe_available_capacity")/1000,"")</f>
        <v>0</v>
      </c>
      <c r="I395" s="43">
        <f>IFERROR(SUMIFS(Infrastructure[2027],Infrastructure[[cluster]:[cluster]],"="&amp;$B395,Infrastructure[[variable_type]:[variable_type]],"CO2_pipe_available_capacity")/1000,"")</f>
        <v>0</v>
      </c>
      <c r="J395" s="43">
        <f>IFERROR(SUMIFS(Infrastructure[2028],Infrastructure[[cluster]:[cluster]],"="&amp;$B395,Infrastructure[[variable_type]:[variable_type]],"CO2_pipe_available_capacity")/1000,"")</f>
        <v>0</v>
      </c>
      <c r="K395" s="43">
        <f>IFERROR(SUMIFS(Infrastructure[2029],Infrastructure[[cluster]:[cluster]],"="&amp;$B395,Infrastructure[[variable_type]:[variable_type]],"CO2_pipe_available_capacity")/1000,"")</f>
        <v>0</v>
      </c>
      <c r="L395" s="43">
        <f>IFERROR(SUMIFS(Infrastructure[2030],Infrastructure[[cluster]:[cluster]],"="&amp;$B395,Infrastructure[[variable_type]:[variable_type]],"CO2_pipe_available_capacity")/1000,"")</f>
        <v>0</v>
      </c>
      <c r="M395" s="43">
        <f>IFERROR(SUMIFS(Infrastructure[2031],Infrastructure[[cluster]:[cluster]],"="&amp;$B395,Infrastructure[[variable_type]:[variable_type]],"CO2_pipe_available_capacity")/1000,"")</f>
        <v>0</v>
      </c>
      <c r="N395" s="43">
        <f>IFERROR(SUMIFS(Infrastructure[2032],Infrastructure[[cluster]:[cluster]],"="&amp;$B395,Infrastructure[[variable_type]:[variable_type]],"CO2_pipe_available_capacity")/1000,"")</f>
        <v>0</v>
      </c>
      <c r="O395" s="43">
        <f>IFERROR(SUMIFS(Infrastructure[2033],Infrastructure[[cluster]:[cluster]],"="&amp;$B395,Infrastructure[[variable_type]:[variable_type]],"CO2_pipe_available_capacity")/1000,"")</f>
        <v>0</v>
      </c>
      <c r="P395" s="43">
        <f>IFERROR(SUMIFS(Infrastructure[2034],Infrastructure[[cluster]:[cluster]],"="&amp;$B395,Infrastructure[[variable_type]:[variable_type]],"CO2_pipe_available_capacity")/1000,"")</f>
        <v>0</v>
      </c>
      <c r="Q395" s="43">
        <f>IFERROR(SUMIFS(Infrastructure[2035],Infrastructure[[cluster]:[cluster]],"="&amp;$B395,Infrastructure[[variable_type]:[variable_type]],"CO2_pipe_available_capacity")/1000,"")</f>
        <v>0</v>
      </c>
      <c r="R395" s="43">
        <f>IFERROR(SUMIFS(Infrastructure[2036],Infrastructure[[cluster]:[cluster]],"="&amp;$B395,Infrastructure[[variable_type]:[variable_type]],"CO2_pipe_available_capacity")/1000,"")</f>
        <v>0</v>
      </c>
      <c r="S395" s="43">
        <f>IFERROR(SUMIFS(Infrastructure[2037],Infrastructure[[cluster]:[cluster]],"="&amp;$B395,Infrastructure[[variable_type]:[variable_type]],"CO2_pipe_available_capacity")/1000,"")</f>
        <v>0</v>
      </c>
      <c r="T395" s="43">
        <f>IFERROR(SUMIFS(Infrastructure[2038],Infrastructure[[cluster]:[cluster]],"="&amp;$B395,Infrastructure[[variable_type]:[variable_type]],"CO2_pipe_available_capacity")/1000,"")</f>
        <v>0</v>
      </c>
      <c r="U395" s="43">
        <f>IFERROR(SUMIFS(Infrastructure[2039],Infrastructure[[cluster]:[cluster]],"="&amp;$B395,Infrastructure[[variable_type]:[variable_type]],"CO2_pipe_available_capacity")/1000,"")</f>
        <v>0</v>
      </c>
      <c r="V395" s="43">
        <f>IFERROR(SUMIFS(Infrastructure[2040],Infrastructure[[cluster]:[cluster]],"="&amp;$B395,Infrastructure[[variable_type]:[variable_type]],"CO2_pipe_available_capacity")/1000,"")</f>
        <v>0</v>
      </c>
      <c r="W395" s="43">
        <f>IFERROR(SUMIFS(Infrastructure[2041],Infrastructure[[cluster]:[cluster]],"="&amp;$B395,Infrastructure[[variable_type]:[variable_type]],"CO2_pipe_available_capacity")/1000,"")</f>
        <v>0</v>
      </c>
      <c r="X395" s="43">
        <f>IFERROR(SUMIFS(Infrastructure[2042],Infrastructure[[cluster]:[cluster]],"="&amp;$B395,Infrastructure[[variable_type]:[variable_type]],"CO2_pipe_available_capacity")/1000,"")</f>
        <v>0</v>
      </c>
      <c r="Y395" s="43">
        <f>IFERROR(SUMIFS(Infrastructure[2043],Infrastructure[[cluster]:[cluster]],"="&amp;$B395,Infrastructure[[variable_type]:[variable_type]],"CO2_pipe_available_capacity")/1000,"")</f>
        <v>0</v>
      </c>
      <c r="Z395" s="43">
        <f>IFERROR(SUMIFS(Infrastructure[2044],Infrastructure[[cluster]:[cluster]],"="&amp;$B395,Infrastructure[[variable_type]:[variable_type]],"CO2_pipe_available_capacity")/1000,"")</f>
        <v>0</v>
      </c>
      <c r="AA395" s="43">
        <f>IFERROR(SUMIFS(Infrastructure[2045],Infrastructure[[cluster]:[cluster]],"="&amp;$B395,Infrastructure[[variable_type]:[variable_type]],"CO2_pipe_available_capacity")/1000,"")</f>
        <v>0</v>
      </c>
      <c r="AB395" s="43">
        <f>IFERROR(SUMIFS(Infrastructure[2046],Infrastructure[[cluster]:[cluster]],"="&amp;$B395,Infrastructure[[variable_type]:[variable_type]],"CO2_pipe_available_capacity")/1000,"")</f>
        <v>0</v>
      </c>
      <c r="AC395" s="43">
        <f>IFERROR(SUMIFS(Infrastructure[2047],Infrastructure[[cluster]:[cluster]],"="&amp;$B395,Infrastructure[[variable_type]:[variable_type]],"CO2_pipe_available_capacity")/1000,"")</f>
        <v>0</v>
      </c>
      <c r="AD395" s="43">
        <f>IFERROR(SUMIFS(Infrastructure[2048],Infrastructure[[cluster]:[cluster]],"="&amp;$B395,Infrastructure[[variable_type]:[variable_type]],"CO2_pipe_available_capacity")/1000,"")</f>
        <v>0</v>
      </c>
      <c r="AE395" s="43">
        <f>IFERROR(SUMIFS(Infrastructure[2049],Infrastructure[[cluster]:[cluster]],"="&amp;$B395,Infrastructure[[variable_type]:[variable_type]],"CO2_pipe_available_capacity")/1000,"")</f>
        <v>0</v>
      </c>
      <c r="AF395" s="43">
        <f>IFERROR(SUMIFS(Infrastructure[2050],Infrastructure[[cluster]:[cluster]],"="&amp;$B395,Infrastructure[[variable_type]:[variable_type]],"CO2_pipe_available_capacity")/1000,"")</f>
        <v>0</v>
      </c>
      <c r="AG395" s="43">
        <f>IFERROR(SUMIFS(Infrastructure[2051],Infrastructure[[cluster]:[cluster]],"="&amp;$B395,Infrastructure[[variable_type]:[variable_type]],"CO2_pipe_available_capacity")/1000,"")</f>
        <v>0</v>
      </c>
    </row>
    <row r="396" spans="1:33" x14ac:dyDescent="0.45">
      <c r="B396" t="s">
        <v>76</v>
      </c>
      <c r="C396" s="43">
        <f>IFERROR(SUMIFS(Infrastructure[2021],Infrastructure[[cluster]:[cluster]],"="&amp;$B396,Infrastructure[[variable_type]:[variable_type]],"CO2_pipe_available_capacity")/1000,"")</f>
        <v>0</v>
      </c>
      <c r="D396" s="43">
        <f>IFERROR(SUMIFS(Infrastructure[2022],Infrastructure[[cluster]:[cluster]],"="&amp;$B396,Infrastructure[[variable_type]:[variable_type]],"CO2_pipe_available_capacity")/1000,"")</f>
        <v>0</v>
      </c>
      <c r="E396" s="43">
        <f>IFERROR(SUMIFS(Infrastructure[2023],Infrastructure[[cluster]:[cluster]],"="&amp;$B396,Infrastructure[[variable_type]:[variable_type]],"CO2_pipe_available_capacity")/1000,"")</f>
        <v>0</v>
      </c>
      <c r="F396" s="43">
        <f>IFERROR(SUMIFS(Infrastructure[2024],Infrastructure[[cluster]:[cluster]],"="&amp;$B396,Infrastructure[[variable_type]:[variable_type]],"CO2_pipe_available_capacity")/1000,"")</f>
        <v>0</v>
      </c>
      <c r="G396" s="43">
        <f>IFERROR(SUMIFS(Infrastructure[2025],Infrastructure[[cluster]:[cluster]],"="&amp;$B396,Infrastructure[[variable_type]:[variable_type]],"CO2_pipe_available_capacity")/1000,"")</f>
        <v>0</v>
      </c>
      <c r="H396" s="43">
        <f>IFERROR(SUMIFS(Infrastructure[2026],Infrastructure[[cluster]:[cluster]],"="&amp;$B396,Infrastructure[[variable_type]:[variable_type]],"CO2_pipe_available_capacity")/1000,"")</f>
        <v>0</v>
      </c>
      <c r="I396" s="43">
        <f>IFERROR(SUMIFS(Infrastructure[2027],Infrastructure[[cluster]:[cluster]],"="&amp;$B396,Infrastructure[[variable_type]:[variable_type]],"CO2_pipe_available_capacity")/1000,"")</f>
        <v>0</v>
      </c>
      <c r="J396" s="43">
        <f>IFERROR(SUMIFS(Infrastructure[2028],Infrastructure[[cluster]:[cluster]],"="&amp;$B396,Infrastructure[[variable_type]:[variable_type]],"CO2_pipe_available_capacity")/1000,"")</f>
        <v>0</v>
      </c>
      <c r="K396" s="43">
        <f>IFERROR(SUMIFS(Infrastructure[2029],Infrastructure[[cluster]:[cluster]],"="&amp;$B396,Infrastructure[[variable_type]:[variable_type]],"CO2_pipe_available_capacity")/1000,"")</f>
        <v>0</v>
      </c>
      <c r="L396" s="43">
        <f>IFERROR(SUMIFS(Infrastructure[2030],Infrastructure[[cluster]:[cluster]],"="&amp;$B396,Infrastructure[[variable_type]:[variable_type]],"CO2_pipe_available_capacity")/1000,"")</f>
        <v>0</v>
      </c>
      <c r="M396" s="43">
        <f>IFERROR(SUMIFS(Infrastructure[2031],Infrastructure[[cluster]:[cluster]],"="&amp;$B396,Infrastructure[[variable_type]:[variable_type]],"CO2_pipe_available_capacity")/1000,"")</f>
        <v>0</v>
      </c>
      <c r="N396" s="43">
        <f>IFERROR(SUMIFS(Infrastructure[2032],Infrastructure[[cluster]:[cluster]],"="&amp;$B396,Infrastructure[[variable_type]:[variable_type]],"CO2_pipe_available_capacity")/1000,"")</f>
        <v>0</v>
      </c>
      <c r="O396" s="43">
        <f>IFERROR(SUMIFS(Infrastructure[2033],Infrastructure[[cluster]:[cluster]],"="&amp;$B396,Infrastructure[[variable_type]:[variable_type]],"CO2_pipe_available_capacity")/1000,"")</f>
        <v>0</v>
      </c>
      <c r="P396" s="43">
        <f>IFERROR(SUMIFS(Infrastructure[2034],Infrastructure[[cluster]:[cluster]],"="&amp;$B396,Infrastructure[[variable_type]:[variable_type]],"CO2_pipe_available_capacity")/1000,"")</f>
        <v>0</v>
      </c>
      <c r="Q396" s="43">
        <f>IFERROR(SUMIFS(Infrastructure[2035],Infrastructure[[cluster]:[cluster]],"="&amp;$B396,Infrastructure[[variable_type]:[variable_type]],"CO2_pipe_available_capacity")/1000,"")</f>
        <v>0</v>
      </c>
      <c r="R396" s="43">
        <f>IFERROR(SUMIFS(Infrastructure[2036],Infrastructure[[cluster]:[cluster]],"="&amp;$B396,Infrastructure[[variable_type]:[variable_type]],"CO2_pipe_available_capacity")/1000,"")</f>
        <v>0</v>
      </c>
      <c r="S396" s="43">
        <f>IFERROR(SUMIFS(Infrastructure[2037],Infrastructure[[cluster]:[cluster]],"="&amp;$B396,Infrastructure[[variable_type]:[variable_type]],"CO2_pipe_available_capacity")/1000,"")</f>
        <v>0</v>
      </c>
      <c r="T396" s="43">
        <f>IFERROR(SUMIFS(Infrastructure[2038],Infrastructure[[cluster]:[cluster]],"="&amp;$B396,Infrastructure[[variable_type]:[variable_type]],"CO2_pipe_available_capacity")/1000,"")</f>
        <v>0</v>
      </c>
      <c r="U396" s="43">
        <f>IFERROR(SUMIFS(Infrastructure[2039],Infrastructure[[cluster]:[cluster]],"="&amp;$B396,Infrastructure[[variable_type]:[variable_type]],"CO2_pipe_available_capacity")/1000,"")</f>
        <v>0</v>
      </c>
      <c r="V396" s="43">
        <f>IFERROR(SUMIFS(Infrastructure[2040],Infrastructure[[cluster]:[cluster]],"="&amp;$B396,Infrastructure[[variable_type]:[variable_type]],"CO2_pipe_available_capacity")/1000,"")</f>
        <v>0</v>
      </c>
      <c r="W396" s="43">
        <f>IFERROR(SUMIFS(Infrastructure[2041],Infrastructure[[cluster]:[cluster]],"="&amp;$B396,Infrastructure[[variable_type]:[variable_type]],"CO2_pipe_available_capacity")/1000,"")</f>
        <v>0</v>
      </c>
      <c r="X396" s="43">
        <f>IFERROR(SUMIFS(Infrastructure[2042],Infrastructure[[cluster]:[cluster]],"="&amp;$B396,Infrastructure[[variable_type]:[variable_type]],"CO2_pipe_available_capacity")/1000,"")</f>
        <v>0</v>
      </c>
      <c r="Y396" s="43">
        <f>IFERROR(SUMIFS(Infrastructure[2043],Infrastructure[[cluster]:[cluster]],"="&amp;$B396,Infrastructure[[variable_type]:[variable_type]],"CO2_pipe_available_capacity")/1000,"")</f>
        <v>0</v>
      </c>
      <c r="Z396" s="43">
        <f>IFERROR(SUMIFS(Infrastructure[2044],Infrastructure[[cluster]:[cluster]],"="&amp;$B396,Infrastructure[[variable_type]:[variable_type]],"CO2_pipe_available_capacity")/1000,"")</f>
        <v>0</v>
      </c>
      <c r="AA396" s="43">
        <f>IFERROR(SUMIFS(Infrastructure[2045],Infrastructure[[cluster]:[cluster]],"="&amp;$B396,Infrastructure[[variable_type]:[variable_type]],"CO2_pipe_available_capacity")/1000,"")</f>
        <v>0</v>
      </c>
      <c r="AB396" s="43">
        <f>IFERROR(SUMIFS(Infrastructure[2046],Infrastructure[[cluster]:[cluster]],"="&amp;$B396,Infrastructure[[variable_type]:[variable_type]],"CO2_pipe_available_capacity")/1000,"")</f>
        <v>0</v>
      </c>
      <c r="AC396" s="43">
        <f>IFERROR(SUMIFS(Infrastructure[2047],Infrastructure[[cluster]:[cluster]],"="&amp;$B396,Infrastructure[[variable_type]:[variable_type]],"CO2_pipe_available_capacity")/1000,"")</f>
        <v>0</v>
      </c>
      <c r="AD396" s="43">
        <f>IFERROR(SUMIFS(Infrastructure[2048],Infrastructure[[cluster]:[cluster]],"="&amp;$B396,Infrastructure[[variable_type]:[variable_type]],"CO2_pipe_available_capacity")/1000,"")</f>
        <v>0</v>
      </c>
      <c r="AE396" s="43">
        <f>IFERROR(SUMIFS(Infrastructure[2049],Infrastructure[[cluster]:[cluster]],"="&amp;$B396,Infrastructure[[variable_type]:[variable_type]],"CO2_pipe_available_capacity")/1000,"")</f>
        <v>0</v>
      </c>
      <c r="AF396" s="43">
        <f>IFERROR(SUMIFS(Infrastructure[2050],Infrastructure[[cluster]:[cluster]],"="&amp;$B396,Infrastructure[[variable_type]:[variable_type]],"CO2_pipe_available_capacity")/1000,"")</f>
        <v>0</v>
      </c>
      <c r="AG396" s="43">
        <f>IFERROR(SUMIFS(Infrastructure[2051],Infrastructure[[cluster]:[cluster]],"="&amp;$B396,Infrastructure[[variable_type]:[variable_type]],"CO2_pipe_available_capacity")/1000,"")</f>
        <v>0</v>
      </c>
    </row>
    <row r="397" spans="1:33" x14ac:dyDescent="0.45">
      <c r="B397" t="s">
        <v>77</v>
      </c>
      <c r="C397" s="43">
        <f>IFERROR(SUMIFS(Infrastructure[2021],Infrastructure[[cluster]:[cluster]],"="&amp;$B397,Infrastructure[[variable_type]:[variable_type]],"CO2_pipe_available_capacity")/1000,"")</f>
        <v>0</v>
      </c>
      <c r="D397" s="43">
        <f>IFERROR(SUMIFS(Infrastructure[2022],Infrastructure[[cluster]:[cluster]],"="&amp;$B397,Infrastructure[[variable_type]:[variable_type]],"CO2_pipe_available_capacity")/1000,"")</f>
        <v>0</v>
      </c>
      <c r="E397" s="43">
        <f>IFERROR(SUMIFS(Infrastructure[2023],Infrastructure[[cluster]:[cluster]],"="&amp;$B397,Infrastructure[[variable_type]:[variable_type]],"CO2_pipe_available_capacity")/1000,"")</f>
        <v>0</v>
      </c>
      <c r="F397" s="43">
        <f>IFERROR(SUMIFS(Infrastructure[2024],Infrastructure[[cluster]:[cluster]],"="&amp;$B397,Infrastructure[[variable_type]:[variable_type]],"CO2_pipe_available_capacity")/1000,"")</f>
        <v>0</v>
      </c>
      <c r="G397" s="43">
        <f>IFERROR(SUMIFS(Infrastructure[2025],Infrastructure[[cluster]:[cluster]],"="&amp;$B397,Infrastructure[[variable_type]:[variable_type]],"CO2_pipe_available_capacity")/1000,"")</f>
        <v>0</v>
      </c>
      <c r="H397" s="43">
        <f>IFERROR(SUMIFS(Infrastructure[2026],Infrastructure[[cluster]:[cluster]],"="&amp;$B397,Infrastructure[[variable_type]:[variable_type]],"CO2_pipe_available_capacity")/1000,"")</f>
        <v>0</v>
      </c>
      <c r="I397" s="43">
        <f>IFERROR(SUMIFS(Infrastructure[2027],Infrastructure[[cluster]:[cluster]],"="&amp;$B397,Infrastructure[[variable_type]:[variable_type]],"CO2_pipe_available_capacity")/1000,"")</f>
        <v>0</v>
      </c>
      <c r="J397" s="43">
        <f>IFERROR(SUMIFS(Infrastructure[2028],Infrastructure[[cluster]:[cluster]],"="&amp;$B397,Infrastructure[[variable_type]:[variable_type]],"CO2_pipe_available_capacity")/1000,"")</f>
        <v>0</v>
      </c>
      <c r="K397" s="43">
        <f>IFERROR(SUMIFS(Infrastructure[2029],Infrastructure[[cluster]:[cluster]],"="&amp;$B397,Infrastructure[[variable_type]:[variable_type]],"CO2_pipe_available_capacity")/1000,"")</f>
        <v>0</v>
      </c>
      <c r="L397" s="43">
        <f>IFERROR(SUMIFS(Infrastructure[2030],Infrastructure[[cluster]:[cluster]],"="&amp;$B397,Infrastructure[[variable_type]:[variable_type]],"CO2_pipe_available_capacity")/1000,"")</f>
        <v>0</v>
      </c>
      <c r="M397" s="43">
        <f>IFERROR(SUMIFS(Infrastructure[2031],Infrastructure[[cluster]:[cluster]],"="&amp;$B397,Infrastructure[[variable_type]:[variable_type]],"CO2_pipe_available_capacity")/1000,"")</f>
        <v>0</v>
      </c>
      <c r="N397" s="43">
        <f>IFERROR(SUMIFS(Infrastructure[2032],Infrastructure[[cluster]:[cluster]],"="&amp;$B397,Infrastructure[[variable_type]:[variable_type]],"CO2_pipe_available_capacity")/1000,"")</f>
        <v>0</v>
      </c>
      <c r="O397" s="43">
        <f>IFERROR(SUMIFS(Infrastructure[2033],Infrastructure[[cluster]:[cluster]],"="&amp;$B397,Infrastructure[[variable_type]:[variable_type]],"CO2_pipe_available_capacity")/1000,"")</f>
        <v>0</v>
      </c>
      <c r="P397" s="43">
        <f>IFERROR(SUMIFS(Infrastructure[2034],Infrastructure[[cluster]:[cluster]],"="&amp;$B397,Infrastructure[[variable_type]:[variable_type]],"CO2_pipe_available_capacity")/1000,"")</f>
        <v>0</v>
      </c>
      <c r="Q397" s="43">
        <f>IFERROR(SUMIFS(Infrastructure[2035],Infrastructure[[cluster]:[cluster]],"="&amp;$B397,Infrastructure[[variable_type]:[variable_type]],"CO2_pipe_available_capacity")/1000,"")</f>
        <v>0</v>
      </c>
      <c r="R397" s="43">
        <f>IFERROR(SUMIFS(Infrastructure[2036],Infrastructure[[cluster]:[cluster]],"="&amp;$B397,Infrastructure[[variable_type]:[variable_type]],"CO2_pipe_available_capacity")/1000,"")</f>
        <v>0</v>
      </c>
      <c r="S397" s="43">
        <f>IFERROR(SUMIFS(Infrastructure[2037],Infrastructure[[cluster]:[cluster]],"="&amp;$B397,Infrastructure[[variable_type]:[variable_type]],"CO2_pipe_available_capacity")/1000,"")</f>
        <v>0</v>
      </c>
      <c r="T397" s="43">
        <f>IFERROR(SUMIFS(Infrastructure[2038],Infrastructure[[cluster]:[cluster]],"="&amp;$B397,Infrastructure[[variable_type]:[variable_type]],"CO2_pipe_available_capacity")/1000,"")</f>
        <v>0</v>
      </c>
      <c r="U397" s="43">
        <f>IFERROR(SUMIFS(Infrastructure[2039],Infrastructure[[cluster]:[cluster]],"="&amp;$B397,Infrastructure[[variable_type]:[variable_type]],"CO2_pipe_available_capacity")/1000,"")</f>
        <v>0</v>
      </c>
      <c r="V397" s="43">
        <f>IFERROR(SUMIFS(Infrastructure[2040],Infrastructure[[cluster]:[cluster]],"="&amp;$B397,Infrastructure[[variable_type]:[variable_type]],"CO2_pipe_available_capacity")/1000,"")</f>
        <v>0</v>
      </c>
      <c r="W397" s="43">
        <f>IFERROR(SUMIFS(Infrastructure[2041],Infrastructure[[cluster]:[cluster]],"="&amp;$B397,Infrastructure[[variable_type]:[variable_type]],"CO2_pipe_available_capacity")/1000,"")</f>
        <v>0</v>
      </c>
      <c r="X397" s="43">
        <f>IFERROR(SUMIFS(Infrastructure[2042],Infrastructure[[cluster]:[cluster]],"="&amp;$B397,Infrastructure[[variable_type]:[variable_type]],"CO2_pipe_available_capacity")/1000,"")</f>
        <v>0</v>
      </c>
      <c r="Y397" s="43">
        <f>IFERROR(SUMIFS(Infrastructure[2043],Infrastructure[[cluster]:[cluster]],"="&amp;$B397,Infrastructure[[variable_type]:[variable_type]],"CO2_pipe_available_capacity")/1000,"")</f>
        <v>0</v>
      </c>
      <c r="Z397" s="43">
        <f>IFERROR(SUMIFS(Infrastructure[2044],Infrastructure[[cluster]:[cluster]],"="&amp;$B397,Infrastructure[[variable_type]:[variable_type]],"CO2_pipe_available_capacity")/1000,"")</f>
        <v>0</v>
      </c>
      <c r="AA397" s="43">
        <f>IFERROR(SUMIFS(Infrastructure[2045],Infrastructure[[cluster]:[cluster]],"="&amp;$B397,Infrastructure[[variable_type]:[variable_type]],"CO2_pipe_available_capacity")/1000,"")</f>
        <v>0</v>
      </c>
      <c r="AB397" s="43">
        <f>IFERROR(SUMIFS(Infrastructure[2046],Infrastructure[[cluster]:[cluster]],"="&amp;$B397,Infrastructure[[variable_type]:[variable_type]],"CO2_pipe_available_capacity")/1000,"")</f>
        <v>0</v>
      </c>
      <c r="AC397" s="43">
        <f>IFERROR(SUMIFS(Infrastructure[2047],Infrastructure[[cluster]:[cluster]],"="&amp;$B397,Infrastructure[[variable_type]:[variable_type]],"CO2_pipe_available_capacity")/1000,"")</f>
        <v>0</v>
      </c>
      <c r="AD397" s="43">
        <f>IFERROR(SUMIFS(Infrastructure[2048],Infrastructure[[cluster]:[cluster]],"="&amp;$B397,Infrastructure[[variable_type]:[variable_type]],"CO2_pipe_available_capacity")/1000,"")</f>
        <v>0</v>
      </c>
      <c r="AE397" s="43">
        <f>IFERROR(SUMIFS(Infrastructure[2049],Infrastructure[[cluster]:[cluster]],"="&amp;$B397,Infrastructure[[variable_type]:[variable_type]],"CO2_pipe_available_capacity")/1000,"")</f>
        <v>0</v>
      </c>
      <c r="AF397" s="43">
        <f>IFERROR(SUMIFS(Infrastructure[2050],Infrastructure[[cluster]:[cluster]],"="&amp;$B397,Infrastructure[[variable_type]:[variable_type]],"CO2_pipe_available_capacity")/1000,"")</f>
        <v>0</v>
      </c>
      <c r="AG397" s="43">
        <f>IFERROR(SUMIFS(Infrastructure[2051],Infrastructure[[cluster]:[cluster]],"="&amp;$B397,Infrastructure[[variable_type]:[variable_type]],"CO2_pipe_available_capacity")/1000,"")</f>
        <v>0</v>
      </c>
    </row>
    <row r="398" spans="1:33" x14ac:dyDescent="0.45">
      <c r="B398" t="s">
        <v>78</v>
      </c>
      <c r="C398" s="43">
        <f>IFERROR(SUMIFS(Infrastructure[2021],Infrastructure[[cluster]:[cluster]],"="&amp;$B398,Infrastructure[[variable_type]:[variable_type]],"CO2_pipe_available_capacity")/1000,"")</f>
        <v>0</v>
      </c>
      <c r="D398" s="43">
        <f>IFERROR(SUMIFS(Infrastructure[2022],Infrastructure[[cluster]:[cluster]],"="&amp;$B398,Infrastructure[[variable_type]:[variable_type]],"CO2_pipe_available_capacity")/1000,"")</f>
        <v>0</v>
      </c>
      <c r="E398" s="43">
        <f>IFERROR(SUMIFS(Infrastructure[2023],Infrastructure[[cluster]:[cluster]],"="&amp;$B398,Infrastructure[[variable_type]:[variable_type]],"CO2_pipe_available_capacity")/1000,"")</f>
        <v>0</v>
      </c>
      <c r="F398" s="43">
        <f>IFERROR(SUMIFS(Infrastructure[2024],Infrastructure[[cluster]:[cluster]],"="&amp;$B398,Infrastructure[[variable_type]:[variable_type]],"CO2_pipe_available_capacity")/1000,"")</f>
        <v>0</v>
      </c>
      <c r="G398" s="43">
        <f>IFERROR(SUMIFS(Infrastructure[2025],Infrastructure[[cluster]:[cluster]],"="&amp;$B398,Infrastructure[[variable_type]:[variable_type]],"CO2_pipe_available_capacity")/1000,"")</f>
        <v>0</v>
      </c>
      <c r="H398" s="43">
        <f>IFERROR(SUMIFS(Infrastructure[2026],Infrastructure[[cluster]:[cluster]],"="&amp;$B398,Infrastructure[[variable_type]:[variable_type]],"CO2_pipe_available_capacity")/1000,"")</f>
        <v>0</v>
      </c>
      <c r="I398" s="43">
        <f>IFERROR(SUMIFS(Infrastructure[2027],Infrastructure[[cluster]:[cluster]],"="&amp;$B398,Infrastructure[[variable_type]:[variable_type]],"CO2_pipe_available_capacity")/1000,"")</f>
        <v>0</v>
      </c>
      <c r="J398" s="43">
        <f>IFERROR(SUMIFS(Infrastructure[2028],Infrastructure[[cluster]:[cluster]],"="&amp;$B398,Infrastructure[[variable_type]:[variable_type]],"CO2_pipe_available_capacity")/1000,"")</f>
        <v>0</v>
      </c>
      <c r="K398" s="43">
        <f>IFERROR(SUMIFS(Infrastructure[2029],Infrastructure[[cluster]:[cluster]],"="&amp;$B398,Infrastructure[[variable_type]:[variable_type]],"CO2_pipe_available_capacity")/1000,"")</f>
        <v>0</v>
      </c>
      <c r="L398" s="43">
        <f>IFERROR(SUMIFS(Infrastructure[2030],Infrastructure[[cluster]:[cluster]],"="&amp;$B398,Infrastructure[[variable_type]:[variable_type]],"CO2_pipe_available_capacity")/1000,"")</f>
        <v>0</v>
      </c>
      <c r="M398" s="43">
        <f>IFERROR(SUMIFS(Infrastructure[2031],Infrastructure[[cluster]:[cluster]],"="&amp;$B398,Infrastructure[[variable_type]:[variable_type]],"CO2_pipe_available_capacity")/1000,"")</f>
        <v>0</v>
      </c>
      <c r="N398" s="43">
        <f>IFERROR(SUMIFS(Infrastructure[2032],Infrastructure[[cluster]:[cluster]],"="&amp;$B398,Infrastructure[[variable_type]:[variable_type]],"CO2_pipe_available_capacity")/1000,"")</f>
        <v>0</v>
      </c>
      <c r="O398" s="43">
        <f>IFERROR(SUMIFS(Infrastructure[2033],Infrastructure[[cluster]:[cluster]],"="&amp;$B398,Infrastructure[[variable_type]:[variable_type]],"CO2_pipe_available_capacity")/1000,"")</f>
        <v>0</v>
      </c>
      <c r="P398" s="43">
        <f>IFERROR(SUMIFS(Infrastructure[2034],Infrastructure[[cluster]:[cluster]],"="&amp;$B398,Infrastructure[[variable_type]:[variable_type]],"CO2_pipe_available_capacity")/1000,"")</f>
        <v>0</v>
      </c>
      <c r="Q398" s="43">
        <f>IFERROR(SUMIFS(Infrastructure[2035],Infrastructure[[cluster]:[cluster]],"="&amp;$B398,Infrastructure[[variable_type]:[variable_type]],"CO2_pipe_available_capacity")/1000,"")</f>
        <v>0</v>
      </c>
      <c r="R398" s="43">
        <f>IFERROR(SUMIFS(Infrastructure[2036],Infrastructure[[cluster]:[cluster]],"="&amp;$B398,Infrastructure[[variable_type]:[variable_type]],"CO2_pipe_available_capacity")/1000,"")</f>
        <v>0</v>
      </c>
      <c r="S398" s="43">
        <f>IFERROR(SUMIFS(Infrastructure[2037],Infrastructure[[cluster]:[cluster]],"="&amp;$B398,Infrastructure[[variable_type]:[variable_type]],"CO2_pipe_available_capacity")/1000,"")</f>
        <v>0</v>
      </c>
      <c r="T398" s="43">
        <f>IFERROR(SUMIFS(Infrastructure[2038],Infrastructure[[cluster]:[cluster]],"="&amp;$B398,Infrastructure[[variable_type]:[variable_type]],"CO2_pipe_available_capacity")/1000,"")</f>
        <v>0</v>
      </c>
      <c r="U398" s="43">
        <f>IFERROR(SUMIFS(Infrastructure[2039],Infrastructure[[cluster]:[cluster]],"="&amp;$B398,Infrastructure[[variable_type]:[variable_type]],"CO2_pipe_available_capacity")/1000,"")</f>
        <v>0</v>
      </c>
      <c r="V398" s="43">
        <f>IFERROR(SUMIFS(Infrastructure[2040],Infrastructure[[cluster]:[cluster]],"="&amp;$B398,Infrastructure[[variable_type]:[variable_type]],"CO2_pipe_available_capacity")/1000,"")</f>
        <v>0</v>
      </c>
      <c r="W398" s="43">
        <f>IFERROR(SUMIFS(Infrastructure[2041],Infrastructure[[cluster]:[cluster]],"="&amp;$B398,Infrastructure[[variable_type]:[variable_type]],"CO2_pipe_available_capacity")/1000,"")</f>
        <v>0</v>
      </c>
      <c r="X398" s="43">
        <f>IFERROR(SUMIFS(Infrastructure[2042],Infrastructure[[cluster]:[cluster]],"="&amp;$B398,Infrastructure[[variable_type]:[variable_type]],"CO2_pipe_available_capacity")/1000,"")</f>
        <v>0</v>
      </c>
      <c r="Y398" s="43">
        <f>IFERROR(SUMIFS(Infrastructure[2043],Infrastructure[[cluster]:[cluster]],"="&amp;$B398,Infrastructure[[variable_type]:[variable_type]],"CO2_pipe_available_capacity")/1000,"")</f>
        <v>0</v>
      </c>
      <c r="Z398" s="43">
        <f>IFERROR(SUMIFS(Infrastructure[2044],Infrastructure[[cluster]:[cluster]],"="&amp;$B398,Infrastructure[[variable_type]:[variable_type]],"CO2_pipe_available_capacity")/1000,"")</f>
        <v>0</v>
      </c>
      <c r="AA398" s="43">
        <f>IFERROR(SUMIFS(Infrastructure[2045],Infrastructure[[cluster]:[cluster]],"="&amp;$B398,Infrastructure[[variable_type]:[variable_type]],"CO2_pipe_available_capacity")/1000,"")</f>
        <v>0</v>
      </c>
      <c r="AB398" s="43">
        <f>IFERROR(SUMIFS(Infrastructure[2046],Infrastructure[[cluster]:[cluster]],"="&amp;$B398,Infrastructure[[variable_type]:[variable_type]],"CO2_pipe_available_capacity")/1000,"")</f>
        <v>0</v>
      </c>
      <c r="AC398" s="43">
        <f>IFERROR(SUMIFS(Infrastructure[2047],Infrastructure[[cluster]:[cluster]],"="&amp;$B398,Infrastructure[[variable_type]:[variable_type]],"CO2_pipe_available_capacity")/1000,"")</f>
        <v>0</v>
      </c>
      <c r="AD398" s="43">
        <f>IFERROR(SUMIFS(Infrastructure[2048],Infrastructure[[cluster]:[cluster]],"="&amp;$B398,Infrastructure[[variable_type]:[variable_type]],"CO2_pipe_available_capacity")/1000,"")</f>
        <v>0</v>
      </c>
      <c r="AE398" s="43">
        <f>IFERROR(SUMIFS(Infrastructure[2049],Infrastructure[[cluster]:[cluster]],"="&amp;$B398,Infrastructure[[variable_type]:[variable_type]],"CO2_pipe_available_capacity")/1000,"")</f>
        <v>0</v>
      </c>
      <c r="AF398" s="43">
        <f>IFERROR(SUMIFS(Infrastructure[2050],Infrastructure[[cluster]:[cluster]],"="&amp;$B398,Infrastructure[[variable_type]:[variable_type]],"CO2_pipe_available_capacity")/1000,"")</f>
        <v>0</v>
      </c>
      <c r="AG398" s="43">
        <f>IFERROR(SUMIFS(Infrastructure[2051],Infrastructure[[cluster]:[cluster]],"="&amp;$B398,Infrastructure[[variable_type]:[variable_type]],"CO2_pipe_available_capacity")/1000,"")</f>
        <v>0</v>
      </c>
    </row>
    <row r="399" spans="1:33" ht="14.65" thickBot="1" x14ac:dyDescent="0.5">
      <c r="B399" s="29" t="s">
        <v>124</v>
      </c>
      <c r="C399" s="44">
        <f ca="1">IF(C105&lt;&gt;"",SUM(C389:C398),"")</f>
        <v>0</v>
      </c>
      <c r="D399" s="44">
        <f t="shared" ref="D399:AG399" ca="1" si="69">IF(D105&lt;&gt;"",SUM(D389:D398),"")</f>
        <v>0</v>
      </c>
      <c r="E399" s="44">
        <f t="shared" ca="1" si="69"/>
        <v>0</v>
      </c>
      <c r="F399" s="44">
        <f t="shared" ca="1" si="69"/>
        <v>0</v>
      </c>
      <c r="G399" s="44">
        <f t="shared" ca="1" si="69"/>
        <v>0</v>
      </c>
      <c r="H399" s="44">
        <f t="shared" ca="1" si="69"/>
        <v>0</v>
      </c>
      <c r="I399" s="44">
        <f t="shared" ca="1" si="69"/>
        <v>0</v>
      </c>
      <c r="J399" s="44">
        <f t="shared" ca="1" si="69"/>
        <v>0</v>
      </c>
      <c r="K399" s="44">
        <f t="shared" ca="1" si="69"/>
        <v>0</v>
      </c>
      <c r="L399" s="44">
        <f t="shared" ca="1" si="69"/>
        <v>0</v>
      </c>
      <c r="M399" s="44">
        <f t="shared" ca="1" si="69"/>
        <v>0</v>
      </c>
      <c r="N399" s="44">
        <f t="shared" ca="1" si="69"/>
        <v>0</v>
      </c>
      <c r="O399" s="44">
        <f t="shared" ca="1" si="69"/>
        <v>0</v>
      </c>
      <c r="P399" s="44">
        <f t="shared" ca="1" si="69"/>
        <v>0</v>
      </c>
      <c r="Q399" s="44">
        <f t="shared" ca="1" si="69"/>
        <v>0</v>
      </c>
      <c r="R399" s="44">
        <f t="shared" ca="1" si="69"/>
        <v>0</v>
      </c>
      <c r="S399" s="44">
        <f t="shared" ca="1" si="69"/>
        <v>0</v>
      </c>
      <c r="T399" s="44">
        <f t="shared" ca="1" si="69"/>
        <v>0</v>
      </c>
      <c r="U399" s="44">
        <f t="shared" ca="1" si="69"/>
        <v>0</v>
      </c>
      <c r="V399" s="44">
        <f t="shared" ca="1" si="69"/>
        <v>0</v>
      </c>
      <c r="W399" s="44">
        <f t="shared" ca="1" si="69"/>
        <v>0</v>
      </c>
      <c r="X399" s="44">
        <f t="shared" ca="1" si="69"/>
        <v>0</v>
      </c>
      <c r="Y399" s="44">
        <f t="shared" ca="1" si="69"/>
        <v>0</v>
      </c>
      <c r="Z399" s="44">
        <f t="shared" ca="1" si="69"/>
        <v>0</v>
      </c>
      <c r="AA399" s="44">
        <f t="shared" ca="1" si="69"/>
        <v>0</v>
      </c>
      <c r="AB399" s="44">
        <f t="shared" ca="1" si="69"/>
        <v>0</v>
      </c>
      <c r="AC399" s="44">
        <f t="shared" ca="1" si="69"/>
        <v>0</v>
      </c>
      <c r="AD399" s="44">
        <f t="shared" ca="1" si="69"/>
        <v>0</v>
      </c>
      <c r="AE399" s="44">
        <f t="shared" ca="1" si="69"/>
        <v>0</v>
      </c>
      <c r="AF399" s="44">
        <f t="shared" ca="1" si="69"/>
        <v>0</v>
      </c>
      <c r="AG399" s="44">
        <f t="shared" ca="1" si="69"/>
        <v>0</v>
      </c>
    </row>
    <row r="400" spans="1:33" ht="14.65" thickTop="1" x14ac:dyDescent="0.45">
      <c r="B400" s="6"/>
    </row>
    <row r="401" spans="1:33" x14ac:dyDescent="0.45">
      <c r="B401" s="6"/>
    </row>
    <row r="402" spans="1:33" ht="25.5" x14ac:dyDescent="0.75">
      <c r="A402" s="26" t="s">
        <v>123</v>
      </c>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row>
    <row r="403" spans="1:33" x14ac:dyDescent="0.45">
      <c r="A403" s="2"/>
      <c r="B403" s="6"/>
    </row>
    <row r="404" spans="1:33" ht="18" x14ac:dyDescent="0.55000000000000004">
      <c r="A404" s="5" t="s">
        <v>103</v>
      </c>
      <c r="B404" s="25" t="s">
        <v>100</v>
      </c>
    </row>
    <row r="405" spans="1:33" x14ac:dyDescent="0.45">
      <c r="A405" t="s">
        <v>104</v>
      </c>
      <c r="B405" s="6"/>
    </row>
    <row r="406" spans="1:33" x14ac:dyDescent="0.45">
      <c r="B406" s="6"/>
      <c r="C406" s="6">
        <v>2021</v>
      </c>
      <c r="D406" s="6">
        <v>2022</v>
      </c>
      <c r="E406" s="6">
        <v>2023</v>
      </c>
      <c r="F406" s="6">
        <v>2024</v>
      </c>
      <c r="G406" s="6">
        <v>2025</v>
      </c>
      <c r="H406" s="6">
        <v>2026</v>
      </c>
      <c r="I406" s="6">
        <v>2027</v>
      </c>
      <c r="J406" s="6">
        <v>2028</v>
      </c>
      <c r="K406" s="6">
        <v>2029</v>
      </c>
      <c r="L406" s="6">
        <v>2030</v>
      </c>
      <c r="M406" s="6">
        <v>2031</v>
      </c>
      <c r="N406" s="6">
        <v>2032</v>
      </c>
      <c r="O406" s="6">
        <v>2033</v>
      </c>
      <c r="P406" s="6">
        <v>2034</v>
      </c>
      <c r="Q406" s="6">
        <v>2035</v>
      </c>
      <c r="R406" s="6">
        <v>2036</v>
      </c>
      <c r="S406" s="6">
        <v>2037</v>
      </c>
      <c r="T406" s="6">
        <v>2038</v>
      </c>
      <c r="U406" s="6">
        <v>2039</v>
      </c>
      <c r="V406" s="6">
        <v>2040</v>
      </c>
      <c r="W406" s="6">
        <v>2041</v>
      </c>
      <c r="X406" s="6">
        <v>2042</v>
      </c>
      <c r="Y406" s="6">
        <v>2043</v>
      </c>
      <c r="Z406" s="6">
        <v>2044</v>
      </c>
      <c r="AA406" s="6">
        <v>2045</v>
      </c>
      <c r="AB406" s="6">
        <v>2046</v>
      </c>
      <c r="AC406" s="6">
        <v>2047</v>
      </c>
      <c r="AD406" s="6">
        <v>2048</v>
      </c>
      <c r="AE406" s="6">
        <v>2049</v>
      </c>
      <c r="AF406" s="6">
        <v>2050</v>
      </c>
      <c r="AG406" s="6">
        <v>2051</v>
      </c>
    </row>
    <row r="407" spans="1:33" x14ac:dyDescent="0.45">
      <c r="B407" t="s">
        <v>80</v>
      </c>
      <c r="C407" s="28">
        <f>IFERROR(SUMIFS(Infrastructure[2021],Infrastructure[[variable_type]:[variable_type]],"CO2_transported",Infrastructure[[storage_site]:[storage_site]],"="&amp;$B407)/1000,"")</f>
        <v>0</v>
      </c>
      <c r="D407" s="28">
        <f>IFERROR(SUMIFS(Infrastructure[2022],Infrastructure[[variable_type]:[variable_type]],"CO2_transported",Infrastructure[[storage_site]:[storage_site]],"="&amp;$B407)/1000,"")</f>
        <v>0</v>
      </c>
      <c r="E407" s="28">
        <f>IFERROR(SUMIFS(Infrastructure[2023],Infrastructure[[variable_type]:[variable_type]],"CO2_transported",Infrastructure[[storage_site]:[storage_site]],"="&amp;$B407)/1000,"")</f>
        <v>0</v>
      </c>
      <c r="F407" s="28">
        <f>IFERROR(SUMIFS(Infrastructure[2024],Infrastructure[[variable_type]:[variable_type]],"CO2_transported",Infrastructure[[storage_site]:[storage_site]],"="&amp;$B407)/1000,"")</f>
        <v>0</v>
      </c>
      <c r="G407" s="28">
        <f>IFERROR(SUMIFS(Infrastructure[2025],Infrastructure[[variable_type]:[variable_type]],"CO2_transported",Infrastructure[[storage_site]:[storage_site]],"="&amp;$B407)/1000,"")</f>
        <v>0</v>
      </c>
      <c r="H407" s="28">
        <f>IFERROR(SUMIFS(Infrastructure[2026],Infrastructure[[variable_type]:[variable_type]],"CO2_transported",Infrastructure[[storage_site]:[storage_site]],"="&amp;$B407)/1000,"")</f>
        <v>0</v>
      </c>
      <c r="I407" s="28">
        <f>IFERROR(SUMIFS(Infrastructure[2027],Infrastructure[[variable_type]:[variable_type]],"CO2_transported",Infrastructure[[storage_site]:[storage_site]],"="&amp;$B407)/1000,"")</f>
        <v>0</v>
      </c>
      <c r="J407" s="28">
        <f>IFERROR(SUMIFS(Infrastructure[2028],Infrastructure[[variable_type]:[variable_type]],"CO2_transported",Infrastructure[[storage_site]:[storage_site]],"="&amp;$B407)/1000,"")</f>
        <v>0</v>
      </c>
      <c r="K407" s="28">
        <f>IFERROR(SUMIFS(Infrastructure[2029],Infrastructure[[variable_type]:[variable_type]],"CO2_transported",Infrastructure[[storage_site]:[storage_site]],"="&amp;$B407)/1000,"")</f>
        <v>0</v>
      </c>
      <c r="L407" s="28">
        <f>IFERROR(SUMIFS(Infrastructure[2030],Infrastructure[[variable_type]:[variable_type]],"CO2_transported",Infrastructure[[storage_site]:[storage_site]],"="&amp;$B407)/1000,"")</f>
        <v>0</v>
      </c>
      <c r="M407" s="28">
        <f>IFERROR(SUMIFS(Infrastructure[2031],Infrastructure[[variable_type]:[variable_type]],"CO2_transported",Infrastructure[[storage_site]:[storage_site]],"="&amp;$B407)/1000,"")</f>
        <v>0</v>
      </c>
      <c r="N407" s="28">
        <f>IFERROR(SUMIFS(Infrastructure[2032],Infrastructure[[variable_type]:[variable_type]],"CO2_transported",Infrastructure[[storage_site]:[storage_site]],"="&amp;$B407)/1000,"")</f>
        <v>0</v>
      </c>
      <c r="O407" s="28">
        <f>IFERROR(SUMIFS(Infrastructure[2033],Infrastructure[[variable_type]:[variable_type]],"CO2_transported",Infrastructure[[storage_site]:[storage_site]],"="&amp;$B407)/1000,"")</f>
        <v>0</v>
      </c>
      <c r="P407" s="28">
        <f>IFERROR(SUMIFS(Infrastructure[2034],Infrastructure[[variable_type]:[variable_type]],"CO2_transported",Infrastructure[[storage_site]:[storage_site]],"="&amp;$B407)/1000,"")</f>
        <v>0</v>
      </c>
      <c r="Q407" s="28">
        <f>IFERROR(SUMIFS(Infrastructure[2035],Infrastructure[[variable_type]:[variable_type]],"CO2_transported",Infrastructure[[storage_site]:[storage_site]],"="&amp;$B407)/1000,"")</f>
        <v>0</v>
      </c>
      <c r="R407" s="28">
        <f>IFERROR(SUMIFS(Infrastructure[2036],Infrastructure[[variable_type]:[variable_type]],"CO2_transported",Infrastructure[[storage_site]:[storage_site]],"="&amp;$B407)/1000,"")</f>
        <v>0</v>
      </c>
      <c r="S407" s="28">
        <f>IFERROR(SUMIFS(Infrastructure[2037],Infrastructure[[variable_type]:[variable_type]],"CO2_transported",Infrastructure[[storage_site]:[storage_site]],"="&amp;$B407)/1000,"")</f>
        <v>0</v>
      </c>
      <c r="T407" s="28">
        <f>IFERROR(SUMIFS(Infrastructure[2038],Infrastructure[[variable_type]:[variable_type]],"CO2_transported",Infrastructure[[storage_site]:[storage_site]],"="&amp;$B407)/1000,"")</f>
        <v>0</v>
      </c>
      <c r="U407" s="28">
        <f>IFERROR(SUMIFS(Infrastructure[2039],Infrastructure[[variable_type]:[variable_type]],"CO2_transported",Infrastructure[[storage_site]:[storage_site]],"="&amp;$B407)/1000,"")</f>
        <v>0</v>
      </c>
      <c r="V407" s="28">
        <f>IFERROR(SUMIFS(Infrastructure[2040],Infrastructure[[variable_type]:[variable_type]],"CO2_transported",Infrastructure[[storage_site]:[storage_site]],"="&amp;$B407)/1000,"")</f>
        <v>0</v>
      </c>
      <c r="W407" s="28">
        <f>IFERROR(SUMIFS(Infrastructure[2041],Infrastructure[[variable_type]:[variable_type]],"CO2_transported",Infrastructure[[storage_site]:[storage_site]],"="&amp;$B407)/1000,"")</f>
        <v>0</v>
      </c>
      <c r="X407" s="28">
        <f>IFERROR(SUMIFS(Infrastructure[2042],Infrastructure[[variable_type]:[variable_type]],"CO2_transported",Infrastructure[[storage_site]:[storage_site]],"="&amp;$B407)/1000,"")</f>
        <v>0</v>
      </c>
      <c r="Y407" s="28">
        <f>IFERROR(SUMIFS(Infrastructure[2043],Infrastructure[[variable_type]:[variable_type]],"CO2_transported",Infrastructure[[storage_site]:[storage_site]],"="&amp;$B407)/1000,"")</f>
        <v>0</v>
      </c>
      <c r="Z407" s="28">
        <f>IFERROR(SUMIFS(Infrastructure[2044],Infrastructure[[variable_type]:[variable_type]],"CO2_transported",Infrastructure[[storage_site]:[storage_site]],"="&amp;$B407)/1000,"")</f>
        <v>0</v>
      </c>
      <c r="AA407" s="28">
        <f>IFERROR(SUMIFS(Infrastructure[2045],Infrastructure[[variable_type]:[variable_type]],"CO2_transported",Infrastructure[[storage_site]:[storage_site]],"="&amp;$B407)/1000,"")</f>
        <v>0</v>
      </c>
      <c r="AB407" s="28">
        <f>IFERROR(SUMIFS(Infrastructure[2046],Infrastructure[[variable_type]:[variable_type]],"CO2_transported",Infrastructure[[storage_site]:[storage_site]],"="&amp;$B407)/1000,"")</f>
        <v>0</v>
      </c>
      <c r="AC407" s="28">
        <f>IFERROR(SUMIFS(Infrastructure[2047],Infrastructure[[variable_type]:[variable_type]],"CO2_transported",Infrastructure[[storage_site]:[storage_site]],"="&amp;$B407)/1000,"")</f>
        <v>0</v>
      </c>
      <c r="AD407" s="28">
        <f>IFERROR(SUMIFS(Infrastructure[2048],Infrastructure[[variable_type]:[variable_type]],"CO2_transported",Infrastructure[[storage_site]:[storage_site]],"="&amp;$B407)/1000,"")</f>
        <v>0</v>
      </c>
      <c r="AE407" s="28">
        <f>IFERROR(SUMIFS(Infrastructure[2049],Infrastructure[[variable_type]:[variable_type]],"CO2_transported",Infrastructure[[storage_site]:[storage_site]],"="&amp;$B407)/1000,"")</f>
        <v>0</v>
      </c>
      <c r="AF407" s="28">
        <f>IFERROR(SUMIFS(Infrastructure[2050],Infrastructure[[variable_type]:[variable_type]],"CO2_transported",Infrastructure[[storage_site]:[storage_site]],"="&amp;$B407)/1000,"")</f>
        <v>0</v>
      </c>
      <c r="AG407" s="28">
        <f>IFERROR(SUMIFS(Infrastructure[2051],Infrastructure[[variable_type]:[variable_type]],"CO2_transported",Infrastructure[[storage_site]:[storage_site]],"="&amp;$B407)/1000,"")</f>
        <v>0</v>
      </c>
    </row>
    <row r="408" spans="1:33" x14ac:dyDescent="0.45">
      <c r="B408" t="s">
        <v>81</v>
      </c>
      <c r="C408" s="28">
        <f>IFERROR(SUMIFS(Infrastructure[2021],Infrastructure[[variable_type]:[variable_type]],"CO2_transported",Infrastructure[[storage_site]:[storage_site]],"="&amp;$B408)/1000,"")</f>
        <v>0</v>
      </c>
      <c r="D408" s="28">
        <f>IFERROR(SUMIFS(Infrastructure[2022],Infrastructure[[variable_type]:[variable_type]],"CO2_transported",Infrastructure[[storage_site]:[storage_site]],"="&amp;$B408)/1000,"")</f>
        <v>0</v>
      </c>
      <c r="E408" s="28">
        <f>IFERROR(SUMIFS(Infrastructure[2023],Infrastructure[[variable_type]:[variable_type]],"CO2_transported",Infrastructure[[storage_site]:[storage_site]],"="&amp;$B408)/1000,"")</f>
        <v>0</v>
      </c>
      <c r="F408" s="28">
        <f>IFERROR(SUMIFS(Infrastructure[2024],Infrastructure[[variable_type]:[variable_type]],"CO2_transported",Infrastructure[[storage_site]:[storage_site]],"="&amp;$B408)/1000,"")</f>
        <v>0</v>
      </c>
      <c r="G408" s="28">
        <f>IFERROR(SUMIFS(Infrastructure[2025],Infrastructure[[variable_type]:[variable_type]],"CO2_transported",Infrastructure[[storage_site]:[storage_site]],"="&amp;$B408)/1000,"")</f>
        <v>0</v>
      </c>
      <c r="H408" s="28">
        <f>IFERROR(SUMIFS(Infrastructure[2026],Infrastructure[[variable_type]:[variable_type]],"CO2_transported",Infrastructure[[storage_site]:[storage_site]],"="&amp;$B408)/1000,"")</f>
        <v>0</v>
      </c>
      <c r="I408" s="28">
        <f>IFERROR(SUMIFS(Infrastructure[2027],Infrastructure[[variable_type]:[variable_type]],"CO2_transported",Infrastructure[[storage_site]:[storage_site]],"="&amp;$B408)/1000,"")</f>
        <v>0</v>
      </c>
      <c r="J408" s="28">
        <f>IFERROR(SUMIFS(Infrastructure[2028],Infrastructure[[variable_type]:[variable_type]],"CO2_transported",Infrastructure[[storage_site]:[storage_site]],"="&amp;$B408)/1000,"")</f>
        <v>0</v>
      </c>
      <c r="K408" s="28">
        <f>IFERROR(SUMIFS(Infrastructure[2029],Infrastructure[[variable_type]:[variable_type]],"CO2_transported",Infrastructure[[storage_site]:[storage_site]],"="&amp;$B408)/1000,"")</f>
        <v>0</v>
      </c>
      <c r="L408" s="28">
        <f>IFERROR(SUMIFS(Infrastructure[2030],Infrastructure[[variable_type]:[variable_type]],"CO2_transported",Infrastructure[[storage_site]:[storage_site]],"="&amp;$B408)/1000,"")</f>
        <v>0</v>
      </c>
      <c r="M408" s="28">
        <f>IFERROR(SUMIFS(Infrastructure[2031],Infrastructure[[variable_type]:[variable_type]],"CO2_transported",Infrastructure[[storage_site]:[storage_site]],"="&amp;$B408)/1000,"")</f>
        <v>0</v>
      </c>
      <c r="N408" s="28">
        <f>IFERROR(SUMIFS(Infrastructure[2032],Infrastructure[[variable_type]:[variable_type]],"CO2_transported",Infrastructure[[storage_site]:[storage_site]],"="&amp;$B408)/1000,"")</f>
        <v>0</v>
      </c>
      <c r="O408" s="28">
        <f>IFERROR(SUMIFS(Infrastructure[2033],Infrastructure[[variable_type]:[variable_type]],"CO2_transported",Infrastructure[[storage_site]:[storage_site]],"="&amp;$B408)/1000,"")</f>
        <v>0</v>
      </c>
      <c r="P408" s="28">
        <f>IFERROR(SUMIFS(Infrastructure[2034],Infrastructure[[variable_type]:[variable_type]],"CO2_transported",Infrastructure[[storage_site]:[storage_site]],"="&amp;$B408)/1000,"")</f>
        <v>0</v>
      </c>
      <c r="Q408" s="28">
        <f>IFERROR(SUMIFS(Infrastructure[2035],Infrastructure[[variable_type]:[variable_type]],"CO2_transported",Infrastructure[[storage_site]:[storage_site]],"="&amp;$B408)/1000,"")</f>
        <v>0</v>
      </c>
      <c r="R408" s="28">
        <f>IFERROR(SUMIFS(Infrastructure[2036],Infrastructure[[variable_type]:[variable_type]],"CO2_transported",Infrastructure[[storage_site]:[storage_site]],"="&amp;$B408)/1000,"")</f>
        <v>0</v>
      </c>
      <c r="S408" s="28">
        <f>IFERROR(SUMIFS(Infrastructure[2037],Infrastructure[[variable_type]:[variable_type]],"CO2_transported",Infrastructure[[storage_site]:[storage_site]],"="&amp;$B408)/1000,"")</f>
        <v>0</v>
      </c>
      <c r="T408" s="28">
        <f>IFERROR(SUMIFS(Infrastructure[2038],Infrastructure[[variable_type]:[variable_type]],"CO2_transported",Infrastructure[[storage_site]:[storage_site]],"="&amp;$B408)/1000,"")</f>
        <v>0</v>
      </c>
      <c r="U408" s="28">
        <f>IFERROR(SUMIFS(Infrastructure[2039],Infrastructure[[variable_type]:[variable_type]],"CO2_transported",Infrastructure[[storage_site]:[storage_site]],"="&amp;$B408)/1000,"")</f>
        <v>0</v>
      </c>
      <c r="V408" s="28">
        <f>IFERROR(SUMIFS(Infrastructure[2040],Infrastructure[[variable_type]:[variable_type]],"CO2_transported",Infrastructure[[storage_site]:[storage_site]],"="&amp;$B408)/1000,"")</f>
        <v>0</v>
      </c>
      <c r="W408" s="28">
        <f>IFERROR(SUMIFS(Infrastructure[2041],Infrastructure[[variable_type]:[variable_type]],"CO2_transported",Infrastructure[[storage_site]:[storage_site]],"="&amp;$B408)/1000,"")</f>
        <v>0</v>
      </c>
      <c r="X408" s="28">
        <f>IFERROR(SUMIFS(Infrastructure[2042],Infrastructure[[variable_type]:[variable_type]],"CO2_transported",Infrastructure[[storage_site]:[storage_site]],"="&amp;$B408)/1000,"")</f>
        <v>0</v>
      </c>
      <c r="Y408" s="28">
        <f>IFERROR(SUMIFS(Infrastructure[2043],Infrastructure[[variable_type]:[variable_type]],"CO2_transported",Infrastructure[[storage_site]:[storage_site]],"="&amp;$B408)/1000,"")</f>
        <v>0</v>
      </c>
      <c r="Z408" s="28">
        <f>IFERROR(SUMIFS(Infrastructure[2044],Infrastructure[[variable_type]:[variable_type]],"CO2_transported",Infrastructure[[storage_site]:[storage_site]],"="&amp;$B408)/1000,"")</f>
        <v>0</v>
      </c>
      <c r="AA408" s="28">
        <f>IFERROR(SUMIFS(Infrastructure[2045],Infrastructure[[variable_type]:[variable_type]],"CO2_transported",Infrastructure[[storage_site]:[storage_site]],"="&amp;$B408)/1000,"")</f>
        <v>0</v>
      </c>
      <c r="AB408" s="28">
        <f>IFERROR(SUMIFS(Infrastructure[2046],Infrastructure[[variable_type]:[variable_type]],"CO2_transported",Infrastructure[[storage_site]:[storage_site]],"="&amp;$B408)/1000,"")</f>
        <v>0</v>
      </c>
      <c r="AC408" s="28">
        <f>IFERROR(SUMIFS(Infrastructure[2047],Infrastructure[[variable_type]:[variable_type]],"CO2_transported",Infrastructure[[storage_site]:[storage_site]],"="&amp;$B408)/1000,"")</f>
        <v>0</v>
      </c>
      <c r="AD408" s="28">
        <f>IFERROR(SUMIFS(Infrastructure[2048],Infrastructure[[variable_type]:[variable_type]],"CO2_transported",Infrastructure[[storage_site]:[storage_site]],"="&amp;$B408)/1000,"")</f>
        <v>0</v>
      </c>
      <c r="AE408" s="28">
        <f>IFERROR(SUMIFS(Infrastructure[2049],Infrastructure[[variable_type]:[variable_type]],"CO2_transported",Infrastructure[[storage_site]:[storage_site]],"="&amp;$B408)/1000,"")</f>
        <v>0</v>
      </c>
      <c r="AF408" s="28">
        <f>IFERROR(SUMIFS(Infrastructure[2050],Infrastructure[[variable_type]:[variable_type]],"CO2_transported",Infrastructure[[storage_site]:[storage_site]],"="&amp;$B408)/1000,"")</f>
        <v>0</v>
      </c>
      <c r="AG408" s="28">
        <f>IFERROR(SUMIFS(Infrastructure[2051],Infrastructure[[variable_type]:[variable_type]],"CO2_transported",Infrastructure[[storage_site]:[storage_site]],"="&amp;$B408)/1000,"")</f>
        <v>0</v>
      </c>
    </row>
    <row r="409" spans="1:33" x14ac:dyDescent="0.45">
      <c r="B409" t="s">
        <v>79</v>
      </c>
      <c r="C409" s="28">
        <f>IFERROR(SUMIFS(Infrastructure[2021],Infrastructure[[variable_type]:[variable_type]],"CO2_transported",Infrastructure[[storage_site]:[storage_site]],"="&amp;$B409)/1000,"")</f>
        <v>0</v>
      </c>
      <c r="D409" s="28">
        <f>IFERROR(SUMIFS(Infrastructure[2022],Infrastructure[[variable_type]:[variable_type]],"CO2_transported",Infrastructure[[storage_site]:[storage_site]],"="&amp;$B409)/1000,"")</f>
        <v>0</v>
      </c>
      <c r="E409" s="28">
        <f>IFERROR(SUMIFS(Infrastructure[2023],Infrastructure[[variable_type]:[variable_type]],"CO2_transported",Infrastructure[[storage_site]:[storage_site]],"="&amp;$B409)/1000,"")</f>
        <v>0</v>
      </c>
      <c r="F409" s="28">
        <f>IFERROR(SUMIFS(Infrastructure[2024],Infrastructure[[variable_type]:[variable_type]],"CO2_transported",Infrastructure[[storage_site]:[storage_site]],"="&amp;$B409)/1000,"")</f>
        <v>0</v>
      </c>
      <c r="G409" s="28">
        <f>IFERROR(SUMIFS(Infrastructure[2025],Infrastructure[[variable_type]:[variable_type]],"CO2_transported",Infrastructure[[storage_site]:[storage_site]],"="&amp;$B409)/1000,"")</f>
        <v>0</v>
      </c>
      <c r="H409" s="28">
        <f>IFERROR(SUMIFS(Infrastructure[2026],Infrastructure[[variable_type]:[variable_type]],"CO2_transported",Infrastructure[[storage_site]:[storage_site]],"="&amp;$B409)/1000,"")</f>
        <v>0</v>
      </c>
      <c r="I409" s="28">
        <f>IFERROR(SUMIFS(Infrastructure[2027],Infrastructure[[variable_type]:[variable_type]],"CO2_transported",Infrastructure[[storage_site]:[storage_site]],"="&amp;$B409)/1000,"")</f>
        <v>0</v>
      </c>
      <c r="J409" s="28">
        <f>IFERROR(SUMIFS(Infrastructure[2028],Infrastructure[[variable_type]:[variable_type]],"CO2_transported",Infrastructure[[storage_site]:[storage_site]],"="&amp;$B409)/1000,"")</f>
        <v>0</v>
      </c>
      <c r="K409" s="28">
        <f>IFERROR(SUMIFS(Infrastructure[2029],Infrastructure[[variable_type]:[variable_type]],"CO2_transported",Infrastructure[[storage_site]:[storage_site]],"="&amp;$B409)/1000,"")</f>
        <v>0</v>
      </c>
      <c r="L409" s="28">
        <f>IFERROR(SUMIFS(Infrastructure[2030],Infrastructure[[variable_type]:[variable_type]],"CO2_transported",Infrastructure[[storage_site]:[storage_site]],"="&amp;$B409)/1000,"")</f>
        <v>0</v>
      </c>
      <c r="M409" s="28">
        <f>IFERROR(SUMIFS(Infrastructure[2031],Infrastructure[[variable_type]:[variable_type]],"CO2_transported",Infrastructure[[storage_site]:[storage_site]],"="&amp;$B409)/1000,"")</f>
        <v>0</v>
      </c>
      <c r="N409" s="28">
        <f>IFERROR(SUMIFS(Infrastructure[2032],Infrastructure[[variable_type]:[variable_type]],"CO2_transported",Infrastructure[[storage_site]:[storage_site]],"="&amp;$B409)/1000,"")</f>
        <v>0</v>
      </c>
      <c r="O409" s="28">
        <f>IFERROR(SUMIFS(Infrastructure[2033],Infrastructure[[variable_type]:[variable_type]],"CO2_transported",Infrastructure[[storage_site]:[storage_site]],"="&amp;$B409)/1000,"")</f>
        <v>0</v>
      </c>
      <c r="P409" s="28">
        <f>IFERROR(SUMIFS(Infrastructure[2034],Infrastructure[[variable_type]:[variable_type]],"CO2_transported",Infrastructure[[storage_site]:[storage_site]],"="&amp;$B409)/1000,"")</f>
        <v>0</v>
      </c>
      <c r="Q409" s="28">
        <f>IFERROR(SUMIFS(Infrastructure[2035],Infrastructure[[variable_type]:[variable_type]],"CO2_transported",Infrastructure[[storage_site]:[storage_site]],"="&amp;$B409)/1000,"")</f>
        <v>0</v>
      </c>
      <c r="R409" s="28">
        <f>IFERROR(SUMIFS(Infrastructure[2036],Infrastructure[[variable_type]:[variable_type]],"CO2_transported",Infrastructure[[storage_site]:[storage_site]],"="&amp;$B409)/1000,"")</f>
        <v>0</v>
      </c>
      <c r="S409" s="28">
        <f>IFERROR(SUMIFS(Infrastructure[2037],Infrastructure[[variable_type]:[variable_type]],"CO2_transported",Infrastructure[[storage_site]:[storage_site]],"="&amp;$B409)/1000,"")</f>
        <v>0</v>
      </c>
      <c r="T409" s="28">
        <f>IFERROR(SUMIFS(Infrastructure[2038],Infrastructure[[variable_type]:[variable_type]],"CO2_transported",Infrastructure[[storage_site]:[storage_site]],"="&amp;$B409)/1000,"")</f>
        <v>0</v>
      </c>
      <c r="U409" s="28">
        <f>IFERROR(SUMIFS(Infrastructure[2039],Infrastructure[[variable_type]:[variable_type]],"CO2_transported",Infrastructure[[storage_site]:[storage_site]],"="&amp;$B409)/1000,"")</f>
        <v>0</v>
      </c>
      <c r="V409" s="28">
        <f>IFERROR(SUMIFS(Infrastructure[2040],Infrastructure[[variable_type]:[variable_type]],"CO2_transported",Infrastructure[[storage_site]:[storage_site]],"="&amp;$B409)/1000,"")</f>
        <v>0</v>
      </c>
      <c r="W409" s="28">
        <f>IFERROR(SUMIFS(Infrastructure[2041],Infrastructure[[variable_type]:[variable_type]],"CO2_transported",Infrastructure[[storage_site]:[storage_site]],"="&amp;$B409)/1000,"")</f>
        <v>0</v>
      </c>
      <c r="X409" s="28">
        <f>IFERROR(SUMIFS(Infrastructure[2042],Infrastructure[[variable_type]:[variable_type]],"CO2_transported",Infrastructure[[storage_site]:[storage_site]],"="&amp;$B409)/1000,"")</f>
        <v>0</v>
      </c>
      <c r="Y409" s="28">
        <f>IFERROR(SUMIFS(Infrastructure[2043],Infrastructure[[variable_type]:[variable_type]],"CO2_transported",Infrastructure[[storage_site]:[storage_site]],"="&amp;$B409)/1000,"")</f>
        <v>0</v>
      </c>
      <c r="Z409" s="28">
        <f>IFERROR(SUMIFS(Infrastructure[2044],Infrastructure[[variable_type]:[variable_type]],"CO2_transported",Infrastructure[[storage_site]:[storage_site]],"="&amp;$B409)/1000,"")</f>
        <v>0</v>
      </c>
      <c r="AA409" s="28">
        <f>IFERROR(SUMIFS(Infrastructure[2045],Infrastructure[[variable_type]:[variable_type]],"CO2_transported",Infrastructure[[storage_site]:[storage_site]],"="&amp;$B409)/1000,"")</f>
        <v>0</v>
      </c>
      <c r="AB409" s="28">
        <f>IFERROR(SUMIFS(Infrastructure[2046],Infrastructure[[variable_type]:[variable_type]],"CO2_transported",Infrastructure[[storage_site]:[storage_site]],"="&amp;$B409)/1000,"")</f>
        <v>0</v>
      </c>
      <c r="AC409" s="28">
        <f>IFERROR(SUMIFS(Infrastructure[2047],Infrastructure[[variable_type]:[variable_type]],"CO2_transported",Infrastructure[[storage_site]:[storage_site]],"="&amp;$B409)/1000,"")</f>
        <v>0</v>
      </c>
      <c r="AD409" s="28">
        <f>IFERROR(SUMIFS(Infrastructure[2048],Infrastructure[[variable_type]:[variable_type]],"CO2_transported",Infrastructure[[storage_site]:[storage_site]],"="&amp;$B409)/1000,"")</f>
        <v>0</v>
      </c>
      <c r="AE409" s="28">
        <f>IFERROR(SUMIFS(Infrastructure[2049],Infrastructure[[variable_type]:[variable_type]],"CO2_transported",Infrastructure[[storage_site]:[storage_site]],"="&amp;$B409)/1000,"")</f>
        <v>0</v>
      </c>
      <c r="AF409" s="28">
        <f>IFERROR(SUMIFS(Infrastructure[2050],Infrastructure[[variable_type]:[variable_type]],"CO2_transported",Infrastructure[[storage_site]:[storage_site]],"="&amp;$B409)/1000,"")</f>
        <v>0</v>
      </c>
      <c r="AG409" s="28">
        <f>IFERROR(SUMIFS(Infrastructure[2051],Infrastructure[[variable_type]:[variable_type]],"CO2_transported",Infrastructure[[storage_site]:[storage_site]],"="&amp;$B409)/1000,"")</f>
        <v>0</v>
      </c>
    </row>
    <row r="410" spans="1:33" ht="14.65" thickBot="1" x14ac:dyDescent="0.5">
      <c r="B410" s="29" t="s">
        <v>124</v>
      </c>
      <c r="C410" s="31">
        <f ca="1">IF(C105&lt;&gt;"",SUM(C407:C409),"")</f>
        <v>0</v>
      </c>
      <c r="D410" s="31">
        <f t="shared" ref="D410:AG410" ca="1" si="70">IF(D105&lt;&gt;"",SUM(D407:D409),"")</f>
        <v>0</v>
      </c>
      <c r="E410" s="31">
        <f t="shared" ca="1" si="70"/>
        <v>0</v>
      </c>
      <c r="F410" s="31">
        <f t="shared" ca="1" si="70"/>
        <v>0</v>
      </c>
      <c r="G410" s="31">
        <f t="shared" ca="1" si="70"/>
        <v>0</v>
      </c>
      <c r="H410" s="31">
        <f t="shared" ca="1" si="70"/>
        <v>0</v>
      </c>
      <c r="I410" s="31">
        <f t="shared" ca="1" si="70"/>
        <v>0</v>
      </c>
      <c r="J410" s="31">
        <f t="shared" ca="1" si="70"/>
        <v>0</v>
      </c>
      <c r="K410" s="31">
        <f t="shared" ca="1" si="70"/>
        <v>0</v>
      </c>
      <c r="L410" s="31">
        <f t="shared" ca="1" si="70"/>
        <v>0</v>
      </c>
      <c r="M410" s="31">
        <f t="shared" ca="1" si="70"/>
        <v>0</v>
      </c>
      <c r="N410" s="31">
        <f t="shared" ca="1" si="70"/>
        <v>0</v>
      </c>
      <c r="O410" s="31">
        <f t="shared" ca="1" si="70"/>
        <v>0</v>
      </c>
      <c r="P410" s="31">
        <f t="shared" ca="1" si="70"/>
        <v>0</v>
      </c>
      <c r="Q410" s="31">
        <f t="shared" ca="1" si="70"/>
        <v>0</v>
      </c>
      <c r="R410" s="31">
        <f t="shared" ca="1" si="70"/>
        <v>0</v>
      </c>
      <c r="S410" s="31">
        <f t="shared" ca="1" si="70"/>
        <v>0</v>
      </c>
      <c r="T410" s="31">
        <f t="shared" ca="1" si="70"/>
        <v>0</v>
      </c>
      <c r="U410" s="31">
        <f t="shared" ca="1" si="70"/>
        <v>0</v>
      </c>
      <c r="V410" s="31">
        <f t="shared" ca="1" si="70"/>
        <v>0</v>
      </c>
      <c r="W410" s="31">
        <f t="shared" ca="1" si="70"/>
        <v>0</v>
      </c>
      <c r="X410" s="31">
        <f t="shared" ca="1" si="70"/>
        <v>0</v>
      </c>
      <c r="Y410" s="31">
        <f t="shared" ca="1" si="70"/>
        <v>0</v>
      </c>
      <c r="Z410" s="31">
        <f t="shared" ca="1" si="70"/>
        <v>0</v>
      </c>
      <c r="AA410" s="31">
        <f t="shared" ca="1" si="70"/>
        <v>0</v>
      </c>
      <c r="AB410" s="31">
        <f t="shared" ca="1" si="70"/>
        <v>0</v>
      </c>
      <c r="AC410" s="31">
        <f t="shared" ca="1" si="70"/>
        <v>0</v>
      </c>
      <c r="AD410" s="31">
        <f t="shared" ca="1" si="70"/>
        <v>0</v>
      </c>
      <c r="AE410" s="31">
        <f t="shared" ca="1" si="70"/>
        <v>0</v>
      </c>
      <c r="AF410" s="31">
        <f t="shared" ca="1" si="70"/>
        <v>0</v>
      </c>
      <c r="AG410" s="31">
        <f t="shared" ca="1" si="70"/>
        <v>0</v>
      </c>
    </row>
    <row r="411" spans="1:33" ht="14.65" thickTop="1" x14ac:dyDescent="0.45">
      <c r="B411" s="6"/>
    </row>
    <row r="412" spans="1:33" ht="18" x14ac:dyDescent="0.55000000000000004">
      <c r="A412" s="5" t="s">
        <v>105</v>
      </c>
      <c r="B412" s="25" t="s">
        <v>100</v>
      </c>
    </row>
    <row r="413" spans="1:33" x14ac:dyDescent="0.45">
      <c r="A413" t="s">
        <v>106</v>
      </c>
      <c r="B413" s="14"/>
    </row>
    <row r="414" spans="1:33" x14ac:dyDescent="0.45">
      <c r="B414" s="6"/>
      <c r="C414" s="6">
        <v>2021</v>
      </c>
      <c r="D414" s="6">
        <v>2022</v>
      </c>
      <c r="E414" s="6">
        <v>2023</v>
      </c>
      <c r="F414" s="6">
        <v>2024</v>
      </c>
      <c r="G414" s="6">
        <v>2025</v>
      </c>
      <c r="H414" s="6">
        <v>2026</v>
      </c>
      <c r="I414" s="6">
        <v>2027</v>
      </c>
      <c r="J414" s="6">
        <v>2028</v>
      </c>
      <c r="K414" s="6">
        <v>2029</v>
      </c>
      <c r="L414" s="6">
        <v>2030</v>
      </c>
      <c r="M414" s="6">
        <v>2031</v>
      </c>
      <c r="N414" s="6">
        <v>2032</v>
      </c>
      <c r="O414" s="6">
        <v>2033</v>
      </c>
      <c r="P414" s="6">
        <v>2034</v>
      </c>
      <c r="Q414" s="6">
        <v>2035</v>
      </c>
      <c r="R414" s="6">
        <v>2036</v>
      </c>
      <c r="S414" s="6">
        <v>2037</v>
      </c>
      <c r="T414" s="6">
        <v>2038</v>
      </c>
      <c r="U414" s="6">
        <v>2039</v>
      </c>
      <c r="V414" s="6">
        <v>2040</v>
      </c>
      <c r="W414" s="6">
        <v>2041</v>
      </c>
      <c r="X414" s="6">
        <v>2042</v>
      </c>
      <c r="Y414" s="6">
        <v>2043</v>
      </c>
      <c r="Z414" s="6">
        <v>2044</v>
      </c>
      <c r="AA414" s="6">
        <v>2045</v>
      </c>
      <c r="AB414" s="6">
        <v>2046</v>
      </c>
      <c r="AC414" s="6">
        <v>2047</v>
      </c>
      <c r="AD414" s="6">
        <v>2048</v>
      </c>
      <c r="AE414" s="6">
        <v>2049</v>
      </c>
      <c r="AF414" s="6">
        <v>2050</v>
      </c>
      <c r="AG414" s="6">
        <v>2051</v>
      </c>
    </row>
    <row r="415" spans="1:33" x14ac:dyDescent="0.45">
      <c r="B415" s="6" t="s">
        <v>70</v>
      </c>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row>
    <row r="416" spans="1:33" x14ac:dyDescent="0.45">
      <c r="B416" s="24" t="s">
        <v>80</v>
      </c>
      <c r="C416" s="41">
        <f>IFERROR(SUMIFS(Infrastructure[2021],Infrastructure[[variable_type]:[variable_type]],"CO2_transported",Infrastructure[[storage_site]:[storage_site]],"="&amp;$B416,Infrastructure[[cluster]:[cluster]],"="&amp;$B$415)/1000,"")</f>
        <v>0</v>
      </c>
      <c r="D416" s="41">
        <f>IFERROR(SUMIFS(Infrastructure[2022],Infrastructure[[variable_type]:[variable_type]],"CO2_transported",Infrastructure[[storage_site]:[storage_site]],"="&amp;$B416,Infrastructure[[cluster]:[cluster]],"="&amp;$B$415)/1000,"")</f>
        <v>0</v>
      </c>
      <c r="E416" s="41">
        <f>IFERROR(SUMIFS(Infrastructure[2023],Infrastructure[[variable_type]:[variable_type]],"CO2_transported",Infrastructure[[storage_site]:[storage_site]],"="&amp;$B416,Infrastructure[[cluster]:[cluster]],"="&amp;$B$415)/1000,"")</f>
        <v>0</v>
      </c>
      <c r="F416" s="41">
        <f>IFERROR(SUMIFS(Infrastructure[2024],Infrastructure[[variable_type]:[variable_type]],"CO2_transported",Infrastructure[[storage_site]:[storage_site]],"="&amp;$B416,Infrastructure[[cluster]:[cluster]],"="&amp;$B$415)/1000,"")</f>
        <v>0</v>
      </c>
      <c r="G416" s="41">
        <f>IFERROR(SUMIFS(Infrastructure[2025],Infrastructure[[variable_type]:[variable_type]],"CO2_transported",Infrastructure[[storage_site]:[storage_site]],"="&amp;$B416,Infrastructure[[cluster]:[cluster]],"="&amp;$B$415)/1000,"")</f>
        <v>0</v>
      </c>
      <c r="H416" s="41">
        <f>IFERROR(SUMIFS(Infrastructure[2026],Infrastructure[[variable_type]:[variable_type]],"CO2_transported",Infrastructure[[storage_site]:[storage_site]],"="&amp;$B416,Infrastructure[[cluster]:[cluster]],"="&amp;$B$415)/1000,"")</f>
        <v>0</v>
      </c>
      <c r="I416" s="41">
        <f>IFERROR(SUMIFS(Infrastructure[2027],Infrastructure[[variable_type]:[variable_type]],"CO2_transported",Infrastructure[[storage_site]:[storage_site]],"="&amp;$B416,Infrastructure[[cluster]:[cluster]],"="&amp;$B$415)/1000,"")</f>
        <v>0</v>
      </c>
      <c r="J416" s="41">
        <f>IFERROR(SUMIFS(Infrastructure[2028],Infrastructure[[variable_type]:[variable_type]],"CO2_transported",Infrastructure[[storage_site]:[storage_site]],"="&amp;$B416,Infrastructure[[cluster]:[cluster]],"="&amp;$B$415)/1000,"")</f>
        <v>0</v>
      </c>
      <c r="K416" s="41">
        <f>IFERROR(SUMIFS(Infrastructure[2029],Infrastructure[[variable_type]:[variable_type]],"CO2_transported",Infrastructure[[storage_site]:[storage_site]],"="&amp;$B416,Infrastructure[[cluster]:[cluster]],"="&amp;$B$415)/1000,"")</f>
        <v>0</v>
      </c>
      <c r="L416" s="41">
        <f>IFERROR(SUMIFS(Infrastructure[2030],Infrastructure[[variable_type]:[variable_type]],"CO2_transported",Infrastructure[[storage_site]:[storage_site]],"="&amp;$B416,Infrastructure[[cluster]:[cluster]],"="&amp;$B$415)/1000,"")</f>
        <v>0</v>
      </c>
      <c r="M416" s="41">
        <f>IFERROR(SUMIFS(Infrastructure[2031],Infrastructure[[variable_type]:[variable_type]],"CO2_transported",Infrastructure[[storage_site]:[storage_site]],"="&amp;$B416,Infrastructure[[cluster]:[cluster]],"="&amp;$B$415)/1000,"")</f>
        <v>0</v>
      </c>
      <c r="N416" s="41">
        <f>IFERROR(SUMIFS(Infrastructure[2032],Infrastructure[[variable_type]:[variable_type]],"CO2_transported",Infrastructure[[storage_site]:[storage_site]],"="&amp;$B416,Infrastructure[[cluster]:[cluster]],"="&amp;$B$415)/1000,"")</f>
        <v>0</v>
      </c>
      <c r="O416" s="41">
        <f>IFERROR(SUMIFS(Infrastructure[2033],Infrastructure[[variable_type]:[variable_type]],"CO2_transported",Infrastructure[[storage_site]:[storage_site]],"="&amp;$B416,Infrastructure[[cluster]:[cluster]],"="&amp;$B$415)/1000,"")</f>
        <v>0</v>
      </c>
      <c r="P416" s="41">
        <f>IFERROR(SUMIFS(Infrastructure[2034],Infrastructure[[variable_type]:[variable_type]],"CO2_transported",Infrastructure[[storage_site]:[storage_site]],"="&amp;$B416,Infrastructure[[cluster]:[cluster]],"="&amp;$B$415)/1000,"")</f>
        <v>0</v>
      </c>
      <c r="Q416" s="41">
        <f>IFERROR(SUMIFS(Infrastructure[2035],Infrastructure[[variable_type]:[variable_type]],"CO2_transported",Infrastructure[[storage_site]:[storage_site]],"="&amp;$B416,Infrastructure[[cluster]:[cluster]],"="&amp;$B$415)/1000,"")</f>
        <v>0</v>
      </c>
      <c r="R416" s="41">
        <f>IFERROR(SUMIFS(Infrastructure[2036],Infrastructure[[variable_type]:[variable_type]],"CO2_transported",Infrastructure[[storage_site]:[storage_site]],"="&amp;$B416,Infrastructure[[cluster]:[cluster]],"="&amp;$B$415)/1000,"")</f>
        <v>0</v>
      </c>
      <c r="S416" s="41">
        <f>IFERROR(SUMIFS(Infrastructure[2037],Infrastructure[[variable_type]:[variable_type]],"CO2_transported",Infrastructure[[storage_site]:[storage_site]],"="&amp;$B416,Infrastructure[[cluster]:[cluster]],"="&amp;$B$415)/1000,"")</f>
        <v>0</v>
      </c>
      <c r="T416" s="41">
        <f>IFERROR(SUMIFS(Infrastructure[2038],Infrastructure[[variable_type]:[variable_type]],"CO2_transported",Infrastructure[[storage_site]:[storage_site]],"="&amp;$B416,Infrastructure[[cluster]:[cluster]],"="&amp;$B$415)/1000,"")</f>
        <v>0</v>
      </c>
      <c r="U416" s="41">
        <f>IFERROR(SUMIFS(Infrastructure[2039],Infrastructure[[variable_type]:[variable_type]],"CO2_transported",Infrastructure[[storage_site]:[storage_site]],"="&amp;$B416,Infrastructure[[cluster]:[cluster]],"="&amp;$B$415)/1000,"")</f>
        <v>0</v>
      </c>
      <c r="V416" s="41">
        <f>IFERROR(SUMIFS(Infrastructure[2040],Infrastructure[[variable_type]:[variable_type]],"CO2_transported",Infrastructure[[storage_site]:[storage_site]],"="&amp;$B416,Infrastructure[[cluster]:[cluster]],"="&amp;$B$415)/1000,"")</f>
        <v>0</v>
      </c>
      <c r="W416" s="41">
        <f>IFERROR(SUMIFS(Infrastructure[2041],Infrastructure[[variable_type]:[variable_type]],"CO2_transported",Infrastructure[[storage_site]:[storage_site]],"="&amp;$B416,Infrastructure[[cluster]:[cluster]],"="&amp;$B$415)/1000,"")</f>
        <v>0</v>
      </c>
      <c r="X416" s="41">
        <f>IFERROR(SUMIFS(Infrastructure[2042],Infrastructure[[variable_type]:[variable_type]],"CO2_transported",Infrastructure[[storage_site]:[storage_site]],"="&amp;$B416,Infrastructure[[cluster]:[cluster]],"="&amp;$B$415)/1000,"")</f>
        <v>0</v>
      </c>
      <c r="Y416" s="41">
        <f>IFERROR(SUMIFS(Infrastructure[2043],Infrastructure[[variable_type]:[variable_type]],"CO2_transported",Infrastructure[[storage_site]:[storage_site]],"="&amp;$B416,Infrastructure[[cluster]:[cluster]],"="&amp;$B$415)/1000,"")</f>
        <v>0</v>
      </c>
      <c r="Z416" s="41">
        <f>IFERROR(SUMIFS(Infrastructure[2044],Infrastructure[[variable_type]:[variable_type]],"CO2_transported",Infrastructure[[storage_site]:[storage_site]],"="&amp;$B416,Infrastructure[[cluster]:[cluster]],"="&amp;$B$415)/1000,"")</f>
        <v>0</v>
      </c>
      <c r="AA416" s="41">
        <f>IFERROR(SUMIFS(Infrastructure[2045],Infrastructure[[variable_type]:[variable_type]],"CO2_transported",Infrastructure[[storage_site]:[storage_site]],"="&amp;$B416,Infrastructure[[cluster]:[cluster]],"="&amp;$B$415)/1000,"")</f>
        <v>0</v>
      </c>
      <c r="AB416" s="41">
        <f>IFERROR(SUMIFS(Infrastructure[2046],Infrastructure[[variable_type]:[variable_type]],"CO2_transported",Infrastructure[[storage_site]:[storage_site]],"="&amp;$B416,Infrastructure[[cluster]:[cluster]],"="&amp;$B$415)/1000,"")</f>
        <v>0</v>
      </c>
      <c r="AC416" s="41">
        <f>IFERROR(SUMIFS(Infrastructure[2047],Infrastructure[[variable_type]:[variable_type]],"CO2_transported",Infrastructure[[storage_site]:[storage_site]],"="&amp;$B416,Infrastructure[[cluster]:[cluster]],"="&amp;$B$415)/1000,"")</f>
        <v>0</v>
      </c>
      <c r="AD416" s="41">
        <f>IFERROR(SUMIFS(Infrastructure[2048],Infrastructure[[variable_type]:[variable_type]],"CO2_transported",Infrastructure[[storage_site]:[storage_site]],"="&amp;$B416,Infrastructure[[cluster]:[cluster]],"="&amp;$B$415)/1000,"")</f>
        <v>0</v>
      </c>
      <c r="AE416" s="41">
        <f>IFERROR(SUMIFS(Infrastructure[2049],Infrastructure[[variable_type]:[variable_type]],"CO2_transported",Infrastructure[[storage_site]:[storage_site]],"="&amp;$B416,Infrastructure[[cluster]:[cluster]],"="&amp;$B$415)/1000,"")</f>
        <v>0</v>
      </c>
      <c r="AF416" s="41">
        <f>IFERROR(SUMIFS(Infrastructure[2050],Infrastructure[[variable_type]:[variable_type]],"CO2_transported",Infrastructure[[storage_site]:[storage_site]],"="&amp;$B416,Infrastructure[[cluster]:[cluster]],"="&amp;$B$415)/1000,"")</f>
        <v>0</v>
      </c>
      <c r="AG416" s="41">
        <f>IFERROR(SUMIFS(Infrastructure[2051],Infrastructure[[variable_type]:[variable_type]],"CO2_transported",Infrastructure[[storage_site]:[storage_site]],"="&amp;$B416,Infrastructure[[cluster]:[cluster]],"="&amp;$B$415)/1000,"")</f>
        <v>0</v>
      </c>
    </row>
    <row r="417" spans="2:33" x14ac:dyDescent="0.45">
      <c r="B417" s="24" t="s">
        <v>81</v>
      </c>
      <c r="C417" s="41">
        <f>IFERROR(SUMIFS(Infrastructure[2021],Infrastructure[[variable_type]:[variable_type]],"CO2_transported",Infrastructure[[storage_site]:[storage_site]],"="&amp;$B417,Infrastructure[[cluster]:[cluster]],"="&amp;$B$415)/1000,"")</f>
        <v>0</v>
      </c>
      <c r="D417" s="41">
        <f>IFERROR(SUMIFS(Infrastructure[2022],Infrastructure[[variable_type]:[variable_type]],"CO2_transported",Infrastructure[[storage_site]:[storage_site]],"="&amp;$B417,Infrastructure[[cluster]:[cluster]],"="&amp;$B$415)/1000,"")</f>
        <v>0</v>
      </c>
      <c r="E417" s="41">
        <f>IFERROR(SUMIFS(Infrastructure[2023],Infrastructure[[variable_type]:[variable_type]],"CO2_transported",Infrastructure[[storage_site]:[storage_site]],"="&amp;$B417,Infrastructure[[cluster]:[cluster]],"="&amp;$B$415)/1000,"")</f>
        <v>0</v>
      </c>
      <c r="F417" s="41">
        <f>IFERROR(SUMIFS(Infrastructure[2024],Infrastructure[[variable_type]:[variable_type]],"CO2_transported",Infrastructure[[storage_site]:[storage_site]],"="&amp;$B417,Infrastructure[[cluster]:[cluster]],"="&amp;$B$415)/1000,"")</f>
        <v>0</v>
      </c>
      <c r="G417" s="41">
        <f>IFERROR(SUMIFS(Infrastructure[2025],Infrastructure[[variable_type]:[variable_type]],"CO2_transported",Infrastructure[[storage_site]:[storage_site]],"="&amp;$B417,Infrastructure[[cluster]:[cluster]],"="&amp;$B$415)/1000,"")</f>
        <v>0</v>
      </c>
      <c r="H417" s="41">
        <f>IFERROR(SUMIFS(Infrastructure[2026],Infrastructure[[variable_type]:[variable_type]],"CO2_transported",Infrastructure[[storage_site]:[storage_site]],"="&amp;$B417,Infrastructure[[cluster]:[cluster]],"="&amp;$B$415)/1000,"")</f>
        <v>0</v>
      </c>
      <c r="I417" s="41">
        <f>IFERROR(SUMIFS(Infrastructure[2027],Infrastructure[[variable_type]:[variable_type]],"CO2_transported",Infrastructure[[storage_site]:[storage_site]],"="&amp;$B417,Infrastructure[[cluster]:[cluster]],"="&amp;$B$415)/1000,"")</f>
        <v>0</v>
      </c>
      <c r="J417" s="41">
        <f>IFERROR(SUMIFS(Infrastructure[2028],Infrastructure[[variable_type]:[variable_type]],"CO2_transported",Infrastructure[[storage_site]:[storage_site]],"="&amp;$B417,Infrastructure[[cluster]:[cluster]],"="&amp;$B$415)/1000,"")</f>
        <v>0</v>
      </c>
      <c r="K417" s="41">
        <f>IFERROR(SUMIFS(Infrastructure[2029],Infrastructure[[variable_type]:[variable_type]],"CO2_transported",Infrastructure[[storage_site]:[storage_site]],"="&amp;$B417,Infrastructure[[cluster]:[cluster]],"="&amp;$B$415)/1000,"")</f>
        <v>0</v>
      </c>
      <c r="L417" s="41">
        <f>IFERROR(SUMIFS(Infrastructure[2030],Infrastructure[[variable_type]:[variable_type]],"CO2_transported",Infrastructure[[storage_site]:[storage_site]],"="&amp;$B417,Infrastructure[[cluster]:[cluster]],"="&amp;$B$415)/1000,"")</f>
        <v>0</v>
      </c>
      <c r="M417" s="41">
        <f>IFERROR(SUMIFS(Infrastructure[2031],Infrastructure[[variable_type]:[variable_type]],"CO2_transported",Infrastructure[[storage_site]:[storage_site]],"="&amp;$B417,Infrastructure[[cluster]:[cluster]],"="&amp;$B$415)/1000,"")</f>
        <v>0</v>
      </c>
      <c r="N417" s="41">
        <f>IFERROR(SUMIFS(Infrastructure[2032],Infrastructure[[variable_type]:[variable_type]],"CO2_transported",Infrastructure[[storage_site]:[storage_site]],"="&amp;$B417,Infrastructure[[cluster]:[cluster]],"="&amp;$B$415)/1000,"")</f>
        <v>0</v>
      </c>
      <c r="O417" s="41">
        <f>IFERROR(SUMIFS(Infrastructure[2033],Infrastructure[[variable_type]:[variable_type]],"CO2_transported",Infrastructure[[storage_site]:[storage_site]],"="&amp;$B417,Infrastructure[[cluster]:[cluster]],"="&amp;$B$415)/1000,"")</f>
        <v>0</v>
      </c>
      <c r="P417" s="41">
        <f>IFERROR(SUMIFS(Infrastructure[2034],Infrastructure[[variable_type]:[variable_type]],"CO2_transported",Infrastructure[[storage_site]:[storage_site]],"="&amp;$B417,Infrastructure[[cluster]:[cluster]],"="&amp;$B$415)/1000,"")</f>
        <v>0</v>
      </c>
      <c r="Q417" s="41">
        <f>IFERROR(SUMIFS(Infrastructure[2035],Infrastructure[[variable_type]:[variable_type]],"CO2_transported",Infrastructure[[storage_site]:[storage_site]],"="&amp;$B417,Infrastructure[[cluster]:[cluster]],"="&amp;$B$415)/1000,"")</f>
        <v>0</v>
      </c>
      <c r="R417" s="41">
        <f>IFERROR(SUMIFS(Infrastructure[2036],Infrastructure[[variable_type]:[variable_type]],"CO2_transported",Infrastructure[[storage_site]:[storage_site]],"="&amp;$B417,Infrastructure[[cluster]:[cluster]],"="&amp;$B$415)/1000,"")</f>
        <v>0</v>
      </c>
      <c r="S417" s="41">
        <f>IFERROR(SUMIFS(Infrastructure[2037],Infrastructure[[variable_type]:[variable_type]],"CO2_transported",Infrastructure[[storage_site]:[storage_site]],"="&amp;$B417,Infrastructure[[cluster]:[cluster]],"="&amp;$B$415)/1000,"")</f>
        <v>0</v>
      </c>
      <c r="T417" s="41">
        <f>IFERROR(SUMIFS(Infrastructure[2038],Infrastructure[[variable_type]:[variable_type]],"CO2_transported",Infrastructure[[storage_site]:[storage_site]],"="&amp;$B417,Infrastructure[[cluster]:[cluster]],"="&amp;$B$415)/1000,"")</f>
        <v>0</v>
      </c>
      <c r="U417" s="41">
        <f>IFERROR(SUMIFS(Infrastructure[2039],Infrastructure[[variable_type]:[variable_type]],"CO2_transported",Infrastructure[[storage_site]:[storage_site]],"="&amp;$B417,Infrastructure[[cluster]:[cluster]],"="&amp;$B$415)/1000,"")</f>
        <v>0</v>
      </c>
      <c r="V417" s="41">
        <f>IFERROR(SUMIFS(Infrastructure[2040],Infrastructure[[variable_type]:[variable_type]],"CO2_transported",Infrastructure[[storage_site]:[storage_site]],"="&amp;$B417,Infrastructure[[cluster]:[cluster]],"="&amp;$B$415)/1000,"")</f>
        <v>0</v>
      </c>
      <c r="W417" s="41">
        <f>IFERROR(SUMIFS(Infrastructure[2041],Infrastructure[[variable_type]:[variable_type]],"CO2_transported",Infrastructure[[storage_site]:[storage_site]],"="&amp;$B417,Infrastructure[[cluster]:[cluster]],"="&amp;$B$415)/1000,"")</f>
        <v>0</v>
      </c>
      <c r="X417" s="41">
        <f>IFERROR(SUMIFS(Infrastructure[2042],Infrastructure[[variable_type]:[variable_type]],"CO2_transported",Infrastructure[[storage_site]:[storage_site]],"="&amp;$B417,Infrastructure[[cluster]:[cluster]],"="&amp;$B$415)/1000,"")</f>
        <v>0</v>
      </c>
      <c r="Y417" s="41">
        <f>IFERROR(SUMIFS(Infrastructure[2043],Infrastructure[[variable_type]:[variable_type]],"CO2_transported",Infrastructure[[storage_site]:[storage_site]],"="&amp;$B417,Infrastructure[[cluster]:[cluster]],"="&amp;$B$415)/1000,"")</f>
        <v>0</v>
      </c>
      <c r="Z417" s="41">
        <f>IFERROR(SUMIFS(Infrastructure[2044],Infrastructure[[variable_type]:[variable_type]],"CO2_transported",Infrastructure[[storage_site]:[storage_site]],"="&amp;$B417,Infrastructure[[cluster]:[cluster]],"="&amp;$B$415)/1000,"")</f>
        <v>0</v>
      </c>
      <c r="AA417" s="41">
        <f>IFERROR(SUMIFS(Infrastructure[2045],Infrastructure[[variable_type]:[variable_type]],"CO2_transported",Infrastructure[[storage_site]:[storage_site]],"="&amp;$B417,Infrastructure[[cluster]:[cluster]],"="&amp;$B$415)/1000,"")</f>
        <v>0</v>
      </c>
      <c r="AB417" s="41">
        <f>IFERROR(SUMIFS(Infrastructure[2046],Infrastructure[[variable_type]:[variable_type]],"CO2_transported",Infrastructure[[storage_site]:[storage_site]],"="&amp;$B417,Infrastructure[[cluster]:[cluster]],"="&amp;$B$415)/1000,"")</f>
        <v>0</v>
      </c>
      <c r="AC417" s="41">
        <f>IFERROR(SUMIFS(Infrastructure[2047],Infrastructure[[variable_type]:[variable_type]],"CO2_transported",Infrastructure[[storage_site]:[storage_site]],"="&amp;$B417,Infrastructure[[cluster]:[cluster]],"="&amp;$B$415)/1000,"")</f>
        <v>0</v>
      </c>
      <c r="AD417" s="41">
        <f>IFERROR(SUMIFS(Infrastructure[2048],Infrastructure[[variable_type]:[variable_type]],"CO2_transported",Infrastructure[[storage_site]:[storage_site]],"="&amp;$B417,Infrastructure[[cluster]:[cluster]],"="&amp;$B$415)/1000,"")</f>
        <v>0</v>
      </c>
      <c r="AE417" s="41">
        <f>IFERROR(SUMIFS(Infrastructure[2049],Infrastructure[[variable_type]:[variable_type]],"CO2_transported",Infrastructure[[storage_site]:[storage_site]],"="&amp;$B417,Infrastructure[[cluster]:[cluster]],"="&amp;$B$415)/1000,"")</f>
        <v>0</v>
      </c>
      <c r="AF417" s="41">
        <f>IFERROR(SUMIFS(Infrastructure[2050],Infrastructure[[variable_type]:[variable_type]],"CO2_transported",Infrastructure[[storage_site]:[storage_site]],"="&amp;$B417,Infrastructure[[cluster]:[cluster]],"="&amp;$B$415)/1000,"")</f>
        <v>0</v>
      </c>
      <c r="AG417" s="41">
        <f>IFERROR(SUMIFS(Infrastructure[2051],Infrastructure[[variable_type]:[variable_type]],"CO2_transported",Infrastructure[[storage_site]:[storage_site]],"="&amp;$B417,Infrastructure[[cluster]:[cluster]],"="&amp;$B$415)/1000,"")</f>
        <v>0</v>
      </c>
    </row>
    <row r="418" spans="2:33" x14ac:dyDescent="0.45">
      <c r="B418" s="24" t="s">
        <v>79</v>
      </c>
      <c r="C418" s="41">
        <f>IFERROR(SUMIFS(Infrastructure[2021],Infrastructure[[variable_type]:[variable_type]],"CO2_transported",Infrastructure[[storage_site]:[storage_site]],"="&amp;$B418,Infrastructure[[cluster]:[cluster]],"="&amp;$B$415)/1000,"")</f>
        <v>0</v>
      </c>
      <c r="D418" s="41">
        <f>IFERROR(SUMIFS(Infrastructure[2022],Infrastructure[[variable_type]:[variable_type]],"CO2_transported",Infrastructure[[storage_site]:[storage_site]],"="&amp;$B418,Infrastructure[[cluster]:[cluster]],"="&amp;$B$415)/1000,"")</f>
        <v>0</v>
      </c>
      <c r="E418" s="41">
        <f>IFERROR(SUMIFS(Infrastructure[2023],Infrastructure[[variable_type]:[variable_type]],"CO2_transported",Infrastructure[[storage_site]:[storage_site]],"="&amp;$B418,Infrastructure[[cluster]:[cluster]],"="&amp;$B$415)/1000,"")</f>
        <v>0</v>
      </c>
      <c r="F418" s="41">
        <f>IFERROR(SUMIFS(Infrastructure[2024],Infrastructure[[variable_type]:[variable_type]],"CO2_transported",Infrastructure[[storage_site]:[storage_site]],"="&amp;$B418,Infrastructure[[cluster]:[cluster]],"="&amp;$B$415)/1000,"")</f>
        <v>0</v>
      </c>
      <c r="G418" s="41">
        <f>IFERROR(SUMIFS(Infrastructure[2025],Infrastructure[[variable_type]:[variable_type]],"CO2_transported",Infrastructure[[storage_site]:[storage_site]],"="&amp;$B418,Infrastructure[[cluster]:[cluster]],"="&amp;$B$415)/1000,"")</f>
        <v>0</v>
      </c>
      <c r="H418" s="41">
        <f>IFERROR(SUMIFS(Infrastructure[2026],Infrastructure[[variable_type]:[variable_type]],"CO2_transported",Infrastructure[[storage_site]:[storage_site]],"="&amp;$B418,Infrastructure[[cluster]:[cluster]],"="&amp;$B$415)/1000,"")</f>
        <v>0</v>
      </c>
      <c r="I418" s="41">
        <f>IFERROR(SUMIFS(Infrastructure[2027],Infrastructure[[variable_type]:[variable_type]],"CO2_transported",Infrastructure[[storage_site]:[storage_site]],"="&amp;$B418,Infrastructure[[cluster]:[cluster]],"="&amp;$B$415)/1000,"")</f>
        <v>0</v>
      </c>
      <c r="J418" s="41">
        <f>IFERROR(SUMIFS(Infrastructure[2028],Infrastructure[[variable_type]:[variable_type]],"CO2_transported",Infrastructure[[storage_site]:[storage_site]],"="&amp;$B418,Infrastructure[[cluster]:[cluster]],"="&amp;$B$415)/1000,"")</f>
        <v>0</v>
      </c>
      <c r="K418" s="41">
        <f>IFERROR(SUMIFS(Infrastructure[2029],Infrastructure[[variable_type]:[variable_type]],"CO2_transported",Infrastructure[[storage_site]:[storage_site]],"="&amp;$B418,Infrastructure[[cluster]:[cluster]],"="&amp;$B$415)/1000,"")</f>
        <v>0</v>
      </c>
      <c r="L418" s="41">
        <f>IFERROR(SUMIFS(Infrastructure[2030],Infrastructure[[variable_type]:[variable_type]],"CO2_transported",Infrastructure[[storage_site]:[storage_site]],"="&amp;$B418,Infrastructure[[cluster]:[cluster]],"="&amp;$B$415)/1000,"")</f>
        <v>0</v>
      </c>
      <c r="M418" s="41">
        <f>IFERROR(SUMIFS(Infrastructure[2031],Infrastructure[[variable_type]:[variable_type]],"CO2_transported",Infrastructure[[storage_site]:[storage_site]],"="&amp;$B418,Infrastructure[[cluster]:[cluster]],"="&amp;$B$415)/1000,"")</f>
        <v>0</v>
      </c>
      <c r="N418" s="41">
        <f>IFERROR(SUMIFS(Infrastructure[2032],Infrastructure[[variable_type]:[variable_type]],"CO2_transported",Infrastructure[[storage_site]:[storage_site]],"="&amp;$B418,Infrastructure[[cluster]:[cluster]],"="&amp;$B$415)/1000,"")</f>
        <v>0</v>
      </c>
      <c r="O418" s="41">
        <f>IFERROR(SUMIFS(Infrastructure[2033],Infrastructure[[variable_type]:[variable_type]],"CO2_transported",Infrastructure[[storage_site]:[storage_site]],"="&amp;$B418,Infrastructure[[cluster]:[cluster]],"="&amp;$B$415)/1000,"")</f>
        <v>0</v>
      </c>
      <c r="P418" s="41">
        <f>IFERROR(SUMIFS(Infrastructure[2034],Infrastructure[[variable_type]:[variable_type]],"CO2_transported",Infrastructure[[storage_site]:[storage_site]],"="&amp;$B418,Infrastructure[[cluster]:[cluster]],"="&amp;$B$415)/1000,"")</f>
        <v>0</v>
      </c>
      <c r="Q418" s="41">
        <f>IFERROR(SUMIFS(Infrastructure[2035],Infrastructure[[variable_type]:[variable_type]],"CO2_transported",Infrastructure[[storage_site]:[storage_site]],"="&amp;$B418,Infrastructure[[cluster]:[cluster]],"="&amp;$B$415)/1000,"")</f>
        <v>0</v>
      </c>
      <c r="R418" s="41">
        <f>IFERROR(SUMIFS(Infrastructure[2036],Infrastructure[[variable_type]:[variable_type]],"CO2_transported",Infrastructure[[storage_site]:[storage_site]],"="&amp;$B418,Infrastructure[[cluster]:[cluster]],"="&amp;$B$415)/1000,"")</f>
        <v>0</v>
      </c>
      <c r="S418" s="41">
        <f>IFERROR(SUMIFS(Infrastructure[2037],Infrastructure[[variable_type]:[variable_type]],"CO2_transported",Infrastructure[[storage_site]:[storage_site]],"="&amp;$B418,Infrastructure[[cluster]:[cluster]],"="&amp;$B$415)/1000,"")</f>
        <v>0</v>
      </c>
      <c r="T418" s="41">
        <f>IFERROR(SUMIFS(Infrastructure[2038],Infrastructure[[variable_type]:[variable_type]],"CO2_transported",Infrastructure[[storage_site]:[storage_site]],"="&amp;$B418,Infrastructure[[cluster]:[cluster]],"="&amp;$B$415)/1000,"")</f>
        <v>0</v>
      </c>
      <c r="U418" s="41">
        <f>IFERROR(SUMIFS(Infrastructure[2039],Infrastructure[[variable_type]:[variable_type]],"CO2_transported",Infrastructure[[storage_site]:[storage_site]],"="&amp;$B418,Infrastructure[[cluster]:[cluster]],"="&amp;$B$415)/1000,"")</f>
        <v>0</v>
      </c>
      <c r="V418" s="41">
        <f>IFERROR(SUMIFS(Infrastructure[2040],Infrastructure[[variable_type]:[variable_type]],"CO2_transported",Infrastructure[[storage_site]:[storage_site]],"="&amp;$B418,Infrastructure[[cluster]:[cluster]],"="&amp;$B$415)/1000,"")</f>
        <v>0</v>
      </c>
      <c r="W418" s="41">
        <f>IFERROR(SUMIFS(Infrastructure[2041],Infrastructure[[variable_type]:[variable_type]],"CO2_transported",Infrastructure[[storage_site]:[storage_site]],"="&amp;$B418,Infrastructure[[cluster]:[cluster]],"="&amp;$B$415)/1000,"")</f>
        <v>0</v>
      </c>
      <c r="X418" s="41">
        <f>IFERROR(SUMIFS(Infrastructure[2042],Infrastructure[[variable_type]:[variable_type]],"CO2_transported",Infrastructure[[storage_site]:[storage_site]],"="&amp;$B418,Infrastructure[[cluster]:[cluster]],"="&amp;$B$415)/1000,"")</f>
        <v>0</v>
      </c>
      <c r="Y418" s="41">
        <f>IFERROR(SUMIFS(Infrastructure[2043],Infrastructure[[variable_type]:[variable_type]],"CO2_transported",Infrastructure[[storage_site]:[storage_site]],"="&amp;$B418,Infrastructure[[cluster]:[cluster]],"="&amp;$B$415)/1000,"")</f>
        <v>0</v>
      </c>
      <c r="Z418" s="41">
        <f>IFERROR(SUMIFS(Infrastructure[2044],Infrastructure[[variable_type]:[variable_type]],"CO2_transported",Infrastructure[[storage_site]:[storage_site]],"="&amp;$B418,Infrastructure[[cluster]:[cluster]],"="&amp;$B$415)/1000,"")</f>
        <v>0</v>
      </c>
      <c r="AA418" s="41">
        <f>IFERROR(SUMIFS(Infrastructure[2045],Infrastructure[[variable_type]:[variable_type]],"CO2_transported",Infrastructure[[storage_site]:[storage_site]],"="&amp;$B418,Infrastructure[[cluster]:[cluster]],"="&amp;$B$415)/1000,"")</f>
        <v>0</v>
      </c>
      <c r="AB418" s="41">
        <f>IFERROR(SUMIFS(Infrastructure[2046],Infrastructure[[variable_type]:[variable_type]],"CO2_transported",Infrastructure[[storage_site]:[storage_site]],"="&amp;$B418,Infrastructure[[cluster]:[cluster]],"="&amp;$B$415)/1000,"")</f>
        <v>0</v>
      </c>
      <c r="AC418" s="41">
        <f>IFERROR(SUMIFS(Infrastructure[2047],Infrastructure[[variable_type]:[variable_type]],"CO2_transported",Infrastructure[[storage_site]:[storage_site]],"="&amp;$B418,Infrastructure[[cluster]:[cluster]],"="&amp;$B$415)/1000,"")</f>
        <v>0</v>
      </c>
      <c r="AD418" s="41">
        <f>IFERROR(SUMIFS(Infrastructure[2048],Infrastructure[[variable_type]:[variable_type]],"CO2_transported",Infrastructure[[storage_site]:[storage_site]],"="&amp;$B418,Infrastructure[[cluster]:[cluster]],"="&amp;$B$415)/1000,"")</f>
        <v>0</v>
      </c>
      <c r="AE418" s="41">
        <f>IFERROR(SUMIFS(Infrastructure[2049],Infrastructure[[variable_type]:[variable_type]],"CO2_transported",Infrastructure[[storage_site]:[storage_site]],"="&amp;$B418,Infrastructure[[cluster]:[cluster]],"="&amp;$B$415)/1000,"")</f>
        <v>0</v>
      </c>
      <c r="AF418" s="41">
        <f>IFERROR(SUMIFS(Infrastructure[2050],Infrastructure[[variable_type]:[variable_type]],"CO2_transported",Infrastructure[[storage_site]:[storage_site]],"="&amp;$B418,Infrastructure[[cluster]:[cluster]],"="&amp;$B$415)/1000,"")</f>
        <v>0</v>
      </c>
      <c r="AG418" s="41">
        <f>IFERROR(SUMIFS(Infrastructure[2051],Infrastructure[[variable_type]:[variable_type]],"CO2_transported",Infrastructure[[storage_site]:[storage_site]],"="&amp;$B418,Infrastructure[[cluster]:[cluster]],"="&amp;$B$415)/1000,"")</f>
        <v>0</v>
      </c>
    </row>
    <row r="419" spans="2:33" x14ac:dyDescent="0.45">
      <c r="B419" s="6" t="s">
        <v>52</v>
      </c>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row>
    <row r="420" spans="2:33" x14ac:dyDescent="0.45">
      <c r="B420" s="24" t="s">
        <v>80</v>
      </c>
      <c r="C420" s="41">
        <f>IFERROR(SUMIFS(Infrastructure[2021],Infrastructure[[variable_type]:[variable_type]],"CO2_transported",Infrastructure[[storage_site]:[storage_site]],"="&amp;$B420,Infrastructure[[cluster]:[cluster]],"="&amp;$B$419)/1000,"")</f>
        <v>0</v>
      </c>
      <c r="D420" s="41">
        <f>IFERROR(SUMIFS(Infrastructure[2022],Infrastructure[[variable_type]:[variable_type]],"CO2_transported",Infrastructure[[storage_site]:[storage_site]],"="&amp;$B420,Infrastructure[[cluster]:[cluster]],"="&amp;$B$419)/1000,"")</f>
        <v>0</v>
      </c>
      <c r="E420" s="41">
        <f>IFERROR(SUMIFS(Infrastructure[2023],Infrastructure[[variable_type]:[variable_type]],"CO2_transported",Infrastructure[[storage_site]:[storage_site]],"="&amp;$B420,Infrastructure[[cluster]:[cluster]],"="&amp;$B$419)/1000,"")</f>
        <v>0</v>
      </c>
      <c r="F420" s="41">
        <f>IFERROR(SUMIFS(Infrastructure[2024],Infrastructure[[variable_type]:[variable_type]],"CO2_transported",Infrastructure[[storage_site]:[storage_site]],"="&amp;$B420,Infrastructure[[cluster]:[cluster]],"="&amp;$B$419)/1000,"")</f>
        <v>0</v>
      </c>
      <c r="G420" s="41">
        <f>IFERROR(SUMIFS(Infrastructure[2025],Infrastructure[[variable_type]:[variable_type]],"CO2_transported",Infrastructure[[storage_site]:[storage_site]],"="&amp;$B420,Infrastructure[[cluster]:[cluster]],"="&amp;$B$419)/1000,"")</f>
        <v>0</v>
      </c>
      <c r="H420" s="41">
        <f>IFERROR(SUMIFS(Infrastructure[2026],Infrastructure[[variable_type]:[variable_type]],"CO2_transported",Infrastructure[[storage_site]:[storage_site]],"="&amp;$B420,Infrastructure[[cluster]:[cluster]],"="&amp;$B$419)/1000,"")</f>
        <v>0</v>
      </c>
      <c r="I420" s="41">
        <f>IFERROR(SUMIFS(Infrastructure[2027],Infrastructure[[variable_type]:[variable_type]],"CO2_transported",Infrastructure[[storage_site]:[storage_site]],"="&amp;$B420,Infrastructure[[cluster]:[cluster]],"="&amp;$B$419)/1000,"")</f>
        <v>0</v>
      </c>
      <c r="J420" s="41">
        <f>IFERROR(SUMIFS(Infrastructure[2028],Infrastructure[[variable_type]:[variable_type]],"CO2_transported",Infrastructure[[storage_site]:[storage_site]],"="&amp;$B420,Infrastructure[[cluster]:[cluster]],"="&amp;$B$419)/1000,"")</f>
        <v>0</v>
      </c>
      <c r="K420" s="41">
        <f>IFERROR(SUMIFS(Infrastructure[2029],Infrastructure[[variable_type]:[variable_type]],"CO2_transported",Infrastructure[[storage_site]:[storage_site]],"="&amp;$B420,Infrastructure[[cluster]:[cluster]],"="&amp;$B$419)/1000,"")</f>
        <v>0</v>
      </c>
      <c r="L420" s="41">
        <f>IFERROR(SUMIFS(Infrastructure[2030],Infrastructure[[variable_type]:[variable_type]],"CO2_transported",Infrastructure[[storage_site]:[storage_site]],"="&amp;$B420,Infrastructure[[cluster]:[cluster]],"="&amp;$B$419)/1000,"")</f>
        <v>0</v>
      </c>
      <c r="M420" s="41">
        <f>IFERROR(SUMIFS(Infrastructure[2031],Infrastructure[[variable_type]:[variable_type]],"CO2_transported",Infrastructure[[storage_site]:[storage_site]],"="&amp;$B420,Infrastructure[[cluster]:[cluster]],"="&amp;$B$419)/1000,"")</f>
        <v>0</v>
      </c>
      <c r="N420" s="41">
        <f>IFERROR(SUMIFS(Infrastructure[2032],Infrastructure[[variable_type]:[variable_type]],"CO2_transported",Infrastructure[[storage_site]:[storage_site]],"="&amp;$B420,Infrastructure[[cluster]:[cluster]],"="&amp;$B$419)/1000,"")</f>
        <v>0</v>
      </c>
      <c r="O420" s="41">
        <f>IFERROR(SUMIFS(Infrastructure[2033],Infrastructure[[variable_type]:[variable_type]],"CO2_transported",Infrastructure[[storage_site]:[storage_site]],"="&amp;$B420,Infrastructure[[cluster]:[cluster]],"="&amp;$B$419)/1000,"")</f>
        <v>0</v>
      </c>
      <c r="P420" s="41">
        <f>IFERROR(SUMIFS(Infrastructure[2034],Infrastructure[[variable_type]:[variable_type]],"CO2_transported",Infrastructure[[storage_site]:[storage_site]],"="&amp;$B420,Infrastructure[[cluster]:[cluster]],"="&amp;$B$419)/1000,"")</f>
        <v>0</v>
      </c>
      <c r="Q420" s="41">
        <f>IFERROR(SUMIFS(Infrastructure[2035],Infrastructure[[variable_type]:[variable_type]],"CO2_transported",Infrastructure[[storage_site]:[storage_site]],"="&amp;$B420,Infrastructure[[cluster]:[cluster]],"="&amp;$B$419)/1000,"")</f>
        <v>0</v>
      </c>
      <c r="R420" s="41">
        <f>IFERROR(SUMIFS(Infrastructure[2036],Infrastructure[[variable_type]:[variable_type]],"CO2_transported",Infrastructure[[storage_site]:[storage_site]],"="&amp;$B420,Infrastructure[[cluster]:[cluster]],"="&amp;$B$419)/1000,"")</f>
        <v>0</v>
      </c>
      <c r="S420" s="41">
        <f>IFERROR(SUMIFS(Infrastructure[2037],Infrastructure[[variable_type]:[variable_type]],"CO2_transported",Infrastructure[[storage_site]:[storage_site]],"="&amp;$B420,Infrastructure[[cluster]:[cluster]],"="&amp;$B$419)/1000,"")</f>
        <v>0</v>
      </c>
      <c r="T420" s="41">
        <f>IFERROR(SUMIFS(Infrastructure[2038],Infrastructure[[variable_type]:[variable_type]],"CO2_transported",Infrastructure[[storage_site]:[storage_site]],"="&amp;$B420,Infrastructure[[cluster]:[cluster]],"="&amp;$B$419)/1000,"")</f>
        <v>0</v>
      </c>
      <c r="U420" s="41">
        <f>IFERROR(SUMIFS(Infrastructure[2039],Infrastructure[[variable_type]:[variable_type]],"CO2_transported",Infrastructure[[storage_site]:[storage_site]],"="&amp;$B420,Infrastructure[[cluster]:[cluster]],"="&amp;$B$419)/1000,"")</f>
        <v>0</v>
      </c>
      <c r="V420" s="41">
        <f>IFERROR(SUMIFS(Infrastructure[2040],Infrastructure[[variable_type]:[variable_type]],"CO2_transported",Infrastructure[[storage_site]:[storage_site]],"="&amp;$B420,Infrastructure[[cluster]:[cluster]],"="&amp;$B$419)/1000,"")</f>
        <v>0</v>
      </c>
      <c r="W420" s="41">
        <f>IFERROR(SUMIFS(Infrastructure[2041],Infrastructure[[variable_type]:[variable_type]],"CO2_transported",Infrastructure[[storage_site]:[storage_site]],"="&amp;$B420,Infrastructure[[cluster]:[cluster]],"="&amp;$B$419)/1000,"")</f>
        <v>0</v>
      </c>
      <c r="X420" s="41">
        <f>IFERROR(SUMIFS(Infrastructure[2042],Infrastructure[[variable_type]:[variable_type]],"CO2_transported",Infrastructure[[storage_site]:[storage_site]],"="&amp;$B420,Infrastructure[[cluster]:[cluster]],"="&amp;$B$419)/1000,"")</f>
        <v>0</v>
      </c>
      <c r="Y420" s="41">
        <f>IFERROR(SUMIFS(Infrastructure[2043],Infrastructure[[variable_type]:[variable_type]],"CO2_transported",Infrastructure[[storage_site]:[storage_site]],"="&amp;$B420,Infrastructure[[cluster]:[cluster]],"="&amp;$B$419)/1000,"")</f>
        <v>0</v>
      </c>
      <c r="Z420" s="41">
        <f>IFERROR(SUMIFS(Infrastructure[2044],Infrastructure[[variable_type]:[variable_type]],"CO2_transported",Infrastructure[[storage_site]:[storage_site]],"="&amp;$B420,Infrastructure[[cluster]:[cluster]],"="&amp;$B$419)/1000,"")</f>
        <v>0</v>
      </c>
      <c r="AA420" s="41">
        <f>IFERROR(SUMIFS(Infrastructure[2045],Infrastructure[[variable_type]:[variable_type]],"CO2_transported",Infrastructure[[storage_site]:[storage_site]],"="&amp;$B420,Infrastructure[[cluster]:[cluster]],"="&amp;$B$419)/1000,"")</f>
        <v>0</v>
      </c>
      <c r="AB420" s="41">
        <f>IFERROR(SUMIFS(Infrastructure[2046],Infrastructure[[variable_type]:[variable_type]],"CO2_transported",Infrastructure[[storage_site]:[storage_site]],"="&amp;$B420,Infrastructure[[cluster]:[cluster]],"="&amp;$B$419)/1000,"")</f>
        <v>0</v>
      </c>
      <c r="AC420" s="41">
        <f>IFERROR(SUMIFS(Infrastructure[2047],Infrastructure[[variable_type]:[variable_type]],"CO2_transported",Infrastructure[[storage_site]:[storage_site]],"="&amp;$B420,Infrastructure[[cluster]:[cluster]],"="&amp;$B$419)/1000,"")</f>
        <v>0</v>
      </c>
      <c r="AD420" s="41">
        <f>IFERROR(SUMIFS(Infrastructure[2048],Infrastructure[[variable_type]:[variable_type]],"CO2_transported",Infrastructure[[storage_site]:[storage_site]],"="&amp;$B420,Infrastructure[[cluster]:[cluster]],"="&amp;$B$419)/1000,"")</f>
        <v>0</v>
      </c>
      <c r="AE420" s="41">
        <f>IFERROR(SUMIFS(Infrastructure[2049],Infrastructure[[variable_type]:[variable_type]],"CO2_transported",Infrastructure[[storage_site]:[storage_site]],"="&amp;$B420,Infrastructure[[cluster]:[cluster]],"="&amp;$B$419)/1000,"")</f>
        <v>0</v>
      </c>
      <c r="AF420" s="41">
        <f>IFERROR(SUMIFS(Infrastructure[2050],Infrastructure[[variable_type]:[variable_type]],"CO2_transported",Infrastructure[[storage_site]:[storage_site]],"="&amp;$B420,Infrastructure[[cluster]:[cluster]],"="&amp;$B$419)/1000,"")</f>
        <v>0</v>
      </c>
      <c r="AG420" s="41">
        <f>IFERROR(SUMIFS(Infrastructure[2051],Infrastructure[[variable_type]:[variable_type]],"CO2_transported",Infrastructure[[storage_site]:[storage_site]],"="&amp;$B420,Infrastructure[[cluster]:[cluster]],"="&amp;$B$419)/1000,"")</f>
        <v>0</v>
      </c>
    </row>
    <row r="421" spans="2:33" x14ac:dyDescent="0.45">
      <c r="B421" s="24" t="s">
        <v>81</v>
      </c>
      <c r="C421" s="41">
        <f>IFERROR(SUMIFS(Infrastructure[2021],Infrastructure[[variable_type]:[variable_type]],"CO2_transported",Infrastructure[[storage_site]:[storage_site]],"="&amp;$B421,Infrastructure[[cluster]:[cluster]],"="&amp;$B$419)/1000,"")</f>
        <v>0</v>
      </c>
      <c r="D421" s="41">
        <f>IFERROR(SUMIFS(Infrastructure[2022],Infrastructure[[variable_type]:[variable_type]],"CO2_transported",Infrastructure[[storage_site]:[storage_site]],"="&amp;$B421,Infrastructure[[cluster]:[cluster]],"="&amp;$B$419)/1000,"")</f>
        <v>0</v>
      </c>
      <c r="E421" s="41">
        <f>IFERROR(SUMIFS(Infrastructure[2023],Infrastructure[[variable_type]:[variable_type]],"CO2_transported",Infrastructure[[storage_site]:[storage_site]],"="&amp;$B421,Infrastructure[[cluster]:[cluster]],"="&amp;$B$419)/1000,"")</f>
        <v>0</v>
      </c>
      <c r="F421" s="41">
        <f>IFERROR(SUMIFS(Infrastructure[2024],Infrastructure[[variable_type]:[variable_type]],"CO2_transported",Infrastructure[[storage_site]:[storage_site]],"="&amp;$B421,Infrastructure[[cluster]:[cluster]],"="&amp;$B$419)/1000,"")</f>
        <v>0</v>
      </c>
      <c r="G421" s="41">
        <f>IFERROR(SUMIFS(Infrastructure[2025],Infrastructure[[variable_type]:[variable_type]],"CO2_transported",Infrastructure[[storage_site]:[storage_site]],"="&amp;$B421,Infrastructure[[cluster]:[cluster]],"="&amp;$B$419)/1000,"")</f>
        <v>0</v>
      </c>
      <c r="H421" s="41">
        <f>IFERROR(SUMIFS(Infrastructure[2026],Infrastructure[[variable_type]:[variable_type]],"CO2_transported",Infrastructure[[storage_site]:[storage_site]],"="&amp;$B421,Infrastructure[[cluster]:[cluster]],"="&amp;$B$419)/1000,"")</f>
        <v>0</v>
      </c>
      <c r="I421" s="41">
        <f>IFERROR(SUMIFS(Infrastructure[2027],Infrastructure[[variable_type]:[variable_type]],"CO2_transported",Infrastructure[[storage_site]:[storage_site]],"="&amp;$B421,Infrastructure[[cluster]:[cluster]],"="&amp;$B$419)/1000,"")</f>
        <v>0</v>
      </c>
      <c r="J421" s="41">
        <f>IFERROR(SUMIFS(Infrastructure[2028],Infrastructure[[variable_type]:[variable_type]],"CO2_transported",Infrastructure[[storage_site]:[storage_site]],"="&amp;$B421,Infrastructure[[cluster]:[cluster]],"="&amp;$B$419)/1000,"")</f>
        <v>0</v>
      </c>
      <c r="K421" s="41">
        <f>IFERROR(SUMIFS(Infrastructure[2029],Infrastructure[[variable_type]:[variable_type]],"CO2_transported",Infrastructure[[storage_site]:[storage_site]],"="&amp;$B421,Infrastructure[[cluster]:[cluster]],"="&amp;$B$419)/1000,"")</f>
        <v>0</v>
      </c>
      <c r="L421" s="41">
        <f>IFERROR(SUMIFS(Infrastructure[2030],Infrastructure[[variable_type]:[variable_type]],"CO2_transported",Infrastructure[[storage_site]:[storage_site]],"="&amp;$B421,Infrastructure[[cluster]:[cluster]],"="&amp;$B$419)/1000,"")</f>
        <v>0</v>
      </c>
      <c r="M421" s="41">
        <f>IFERROR(SUMIFS(Infrastructure[2031],Infrastructure[[variable_type]:[variable_type]],"CO2_transported",Infrastructure[[storage_site]:[storage_site]],"="&amp;$B421,Infrastructure[[cluster]:[cluster]],"="&amp;$B$419)/1000,"")</f>
        <v>0</v>
      </c>
      <c r="N421" s="41">
        <f>IFERROR(SUMIFS(Infrastructure[2032],Infrastructure[[variable_type]:[variable_type]],"CO2_transported",Infrastructure[[storage_site]:[storage_site]],"="&amp;$B421,Infrastructure[[cluster]:[cluster]],"="&amp;$B$419)/1000,"")</f>
        <v>0</v>
      </c>
      <c r="O421" s="41">
        <f>IFERROR(SUMIFS(Infrastructure[2033],Infrastructure[[variable_type]:[variable_type]],"CO2_transported",Infrastructure[[storage_site]:[storage_site]],"="&amp;$B421,Infrastructure[[cluster]:[cluster]],"="&amp;$B$419)/1000,"")</f>
        <v>0</v>
      </c>
      <c r="P421" s="41">
        <f>IFERROR(SUMIFS(Infrastructure[2034],Infrastructure[[variable_type]:[variable_type]],"CO2_transported",Infrastructure[[storage_site]:[storage_site]],"="&amp;$B421,Infrastructure[[cluster]:[cluster]],"="&amp;$B$419)/1000,"")</f>
        <v>0</v>
      </c>
      <c r="Q421" s="41">
        <f>IFERROR(SUMIFS(Infrastructure[2035],Infrastructure[[variable_type]:[variable_type]],"CO2_transported",Infrastructure[[storage_site]:[storage_site]],"="&amp;$B421,Infrastructure[[cluster]:[cluster]],"="&amp;$B$419)/1000,"")</f>
        <v>0</v>
      </c>
      <c r="R421" s="41">
        <f>IFERROR(SUMIFS(Infrastructure[2036],Infrastructure[[variable_type]:[variable_type]],"CO2_transported",Infrastructure[[storage_site]:[storage_site]],"="&amp;$B421,Infrastructure[[cluster]:[cluster]],"="&amp;$B$419)/1000,"")</f>
        <v>0</v>
      </c>
      <c r="S421" s="41">
        <f>IFERROR(SUMIFS(Infrastructure[2037],Infrastructure[[variable_type]:[variable_type]],"CO2_transported",Infrastructure[[storage_site]:[storage_site]],"="&amp;$B421,Infrastructure[[cluster]:[cluster]],"="&amp;$B$419)/1000,"")</f>
        <v>0</v>
      </c>
      <c r="T421" s="41">
        <f>IFERROR(SUMIFS(Infrastructure[2038],Infrastructure[[variable_type]:[variable_type]],"CO2_transported",Infrastructure[[storage_site]:[storage_site]],"="&amp;$B421,Infrastructure[[cluster]:[cluster]],"="&amp;$B$419)/1000,"")</f>
        <v>0</v>
      </c>
      <c r="U421" s="41">
        <f>IFERROR(SUMIFS(Infrastructure[2039],Infrastructure[[variable_type]:[variable_type]],"CO2_transported",Infrastructure[[storage_site]:[storage_site]],"="&amp;$B421,Infrastructure[[cluster]:[cluster]],"="&amp;$B$419)/1000,"")</f>
        <v>0</v>
      </c>
      <c r="V421" s="41">
        <f>IFERROR(SUMIFS(Infrastructure[2040],Infrastructure[[variable_type]:[variable_type]],"CO2_transported",Infrastructure[[storage_site]:[storage_site]],"="&amp;$B421,Infrastructure[[cluster]:[cluster]],"="&amp;$B$419)/1000,"")</f>
        <v>0</v>
      </c>
      <c r="W421" s="41">
        <f>IFERROR(SUMIFS(Infrastructure[2041],Infrastructure[[variable_type]:[variable_type]],"CO2_transported",Infrastructure[[storage_site]:[storage_site]],"="&amp;$B421,Infrastructure[[cluster]:[cluster]],"="&amp;$B$419)/1000,"")</f>
        <v>0</v>
      </c>
      <c r="X421" s="41">
        <f>IFERROR(SUMIFS(Infrastructure[2042],Infrastructure[[variable_type]:[variable_type]],"CO2_transported",Infrastructure[[storage_site]:[storage_site]],"="&amp;$B421,Infrastructure[[cluster]:[cluster]],"="&amp;$B$419)/1000,"")</f>
        <v>0</v>
      </c>
      <c r="Y421" s="41">
        <f>IFERROR(SUMIFS(Infrastructure[2043],Infrastructure[[variable_type]:[variable_type]],"CO2_transported",Infrastructure[[storage_site]:[storage_site]],"="&amp;$B421,Infrastructure[[cluster]:[cluster]],"="&amp;$B$419)/1000,"")</f>
        <v>0</v>
      </c>
      <c r="Z421" s="41">
        <f>IFERROR(SUMIFS(Infrastructure[2044],Infrastructure[[variable_type]:[variable_type]],"CO2_transported",Infrastructure[[storage_site]:[storage_site]],"="&amp;$B421,Infrastructure[[cluster]:[cluster]],"="&amp;$B$419)/1000,"")</f>
        <v>0</v>
      </c>
      <c r="AA421" s="41">
        <f>IFERROR(SUMIFS(Infrastructure[2045],Infrastructure[[variable_type]:[variable_type]],"CO2_transported",Infrastructure[[storage_site]:[storage_site]],"="&amp;$B421,Infrastructure[[cluster]:[cluster]],"="&amp;$B$419)/1000,"")</f>
        <v>0</v>
      </c>
      <c r="AB421" s="41">
        <f>IFERROR(SUMIFS(Infrastructure[2046],Infrastructure[[variable_type]:[variable_type]],"CO2_transported",Infrastructure[[storage_site]:[storage_site]],"="&amp;$B421,Infrastructure[[cluster]:[cluster]],"="&amp;$B$419)/1000,"")</f>
        <v>0</v>
      </c>
      <c r="AC421" s="41">
        <f>IFERROR(SUMIFS(Infrastructure[2047],Infrastructure[[variable_type]:[variable_type]],"CO2_transported",Infrastructure[[storage_site]:[storage_site]],"="&amp;$B421,Infrastructure[[cluster]:[cluster]],"="&amp;$B$419)/1000,"")</f>
        <v>0</v>
      </c>
      <c r="AD421" s="41">
        <f>IFERROR(SUMIFS(Infrastructure[2048],Infrastructure[[variable_type]:[variable_type]],"CO2_transported",Infrastructure[[storage_site]:[storage_site]],"="&amp;$B421,Infrastructure[[cluster]:[cluster]],"="&amp;$B$419)/1000,"")</f>
        <v>0</v>
      </c>
      <c r="AE421" s="41">
        <f>IFERROR(SUMIFS(Infrastructure[2049],Infrastructure[[variable_type]:[variable_type]],"CO2_transported",Infrastructure[[storage_site]:[storage_site]],"="&amp;$B421,Infrastructure[[cluster]:[cluster]],"="&amp;$B$419)/1000,"")</f>
        <v>0</v>
      </c>
      <c r="AF421" s="41">
        <f>IFERROR(SUMIFS(Infrastructure[2050],Infrastructure[[variable_type]:[variable_type]],"CO2_transported",Infrastructure[[storage_site]:[storage_site]],"="&amp;$B421,Infrastructure[[cluster]:[cluster]],"="&amp;$B$419)/1000,"")</f>
        <v>0</v>
      </c>
      <c r="AG421" s="41">
        <f>IFERROR(SUMIFS(Infrastructure[2051],Infrastructure[[variable_type]:[variable_type]],"CO2_transported",Infrastructure[[storage_site]:[storage_site]],"="&amp;$B421,Infrastructure[[cluster]:[cluster]],"="&amp;$B$419)/1000,"")</f>
        <v>0</v>
      </c>
    </row>
    <row r="422" spans="2:33" x14ac:dyDescent="0.45">
      <c r="B422" s="24" t="s">
        <v>79</v>
      </c>
      <c r="C422" s="41">
        <f>IFERROR(SUMIFS(Infrastructure[2021],Infrastructure[[variable_type]:[variable_type]],"CO2_transported",Infrastructure[[storage_site]:[storage_site]],"="&amp;$B422,Infrastructure[[cluster]:[cluster]],"="&amp;$B$419)/1000,"")</f>
        <v>0</v>
      </c>
      <c r="D422" s="41">
        <f>IFERROR(SUMIFS(Infrastructure[2022],Infrastructure[[variable_type]:[variable_type]],"CO2_transported",Infrastructure[[storage_site]:[storage_site]],"="&amp;$B422,Infrastructure[[cluster]:[cluster]],"="&amp;$B$419)/1000,"")</f>
        <v>0</v>
      </c>
      <c r="E422" s="41">
        <f>IFERROR(SUMIFS(Infrastructure[2023],Infrastructure[[variable_type]:[variable_type]],"CO2_transported",Infrastructure[[storage_site]:[storage_site]],"="&amp;$B422,Infrastructure[[cluster]:[cluster]],"="&amp;$B$419)/1000,"")</f>
        <v>0</v>
      </c>
      <c r="F422" s="41">
        <f>IFERROR(SUMIFS(Infrastructure[2024],Infrastructure[[variable_type]:[variable_type]],"CO2_transported",Infrastructure[[storage_site]:[storage_site]],"="&amp;$B422,Infrastructure[[cluster]:[cluster]],"="&amp;$B$419)/1000,"")</f>
        <v>0</v>
      </c>
      <c r="G422" s="41">
        <f>IFERROR(SUMIFS(Infrastructure[2025],Infrastructure[[variable_type]:[variable_type]],"CO2_transported",Infrastructure[[storage_site]:[storage_site]],"="&amp;$B422,Infrastructure[[cluster]:[cluster]],"="&amp;$B$419)/1000,"")</f>
        <v>0</v>
      </c>
      <c r="H422" s="41">
        <f>IFERROR(SUMIFS(Infrastructure[2026],Infrastructure[[variable_type]:[variable_type]],"CO2_transported",Infrastructure[[storage_site]:[storage_site]],"="&amp;$B422,Infrastructure[[cluster]:[cluster]],"="&amp;$B$419)/1000,"")</f>
        <v>0</v>
      </c>
      <c r="I422" s="41">
        <f>IFERROR(SUMIFS(Infrastructure[2027],Infrastructure[[variable_type]:[variable_type]],"CO2_transported",Infrastructure[[storage_site]:[storage_site]],"="&amp;$B422,Infrastructure[[cluster]:[cluster]],"="&amp;$B$419)/1000,"")</f>
        <v>0</v>
      </c>
      <c r="J422" s="41">
        <f>IFERROR(SUMIFS(Infrastructure[2028],Infrastructure[[variable_type]:[variable_type]],"CO2_transported",Infrastructure[[storage_site]:[storage_site]],"="&amp;$B422,Infrastructure[[cluster]:[cluster]],"="&amp;$B$419)/1000,"")</f>
        <v>0</v>
      </c>
      <c r="K422" s="41">
        <f>IFERROR(SUMIFS(Infrastructure[2029],Infrastructure[[variable_type]:[variable_type]],"CO2_transported",Infrastructure[[storage_site]:[storage_site]],"="&amp;$B422,Infrastructure[[cluster]:[cluster]],"="&amp;$B$419)/1000,"")</f>
        <v>0</v>
      </c>
      <c r="L422" s="41">
        <f>IFERROR(SUMIFS(Infrastructure[2030],Infrastructure[[variable_type]:[variable_type]],"CO2_transported",Infrastructure[[storage_site]:[storage_site]],"="&amp;$B422,Infrastructure[[cluster]:[cluster]],"="&amp;$B$419)/1000,"")</f>
        <v>0</v>
      </c>
      <c r="M422" s="41">
        <f>IFERROR(SUMIFS(Infrastructure[2031],Infrastructure[[variable_type]:[variable_type]],"CO2_transported",Infrastructure[[storage_site]:[storage_site]],"="&amp;$B422,Infrastructure[[cluster]:[cluster]],"="&amp;$B$419)/1000,"")</f>
        <v>0</v>
      </c>
      <c r="N422" s="41">
        <f>IFERROR(SUMIFS(Infrastructure[2032],Infrastructure[[variable_type]:[variable_type]],"CO2_transported",Infrastructure[[storage_site]:[storage_site]],"="&amp;$B422,Infrastructure[[cluster]:[cluster]],"="&amp;$B$419)/1000,"")</f>
        <v>0</v>
      </c>
      <c r="O422" s="41">
        <f>IFERROR(SUMIFS(Infrastructure[2033],Infrastructure[[variable_type]:[variable_type]],"CO2_transported",Infrastructure[[storage_site]:[storage_site]],"="&amp;$B422,Infrastructure[[cluster]:[cluster]],"="&amp;$B$419)/1000,"")</f>
        <v>0</v>
      </c>
      <c r="P422" s="41">
        <f>IFERROR(SUMIFS(Infrastructure[2034],Infrastructure[[variable_type]:[variable_type]],"CO2_transported",Infrastructure[[storage_site]:[storage_site]],"="&amp;$B422,Infrastructure[[cluster]:[cluster]],"="&amp;$B$419)/1000,"")</f>
        <v>0</v>
      </c>
      <c r="Q422" s="41">
        <f>IFERROR(SUMIFS(Infrastructure[2035],Infrastructure[[variable_type]:[variable_type]],"CO2_transported",Infrastructure[[storage_site]:[storage_site]],"="&amp;$B422,Infrastructure[[cluster]:[cluster]],"="&amp;$B$419)/1000,"")</f>
        <v>0</v>
      </c>
      <c r="R422" s="41">
        <f>IFERROR(SUMIFS(Infrastructure[2036],Infrastructure[[variable_type]:[variable_type]],"CO2_transported",Infrastructure[[storage_site]:[storage_site]],"="&amp;$B422,Infrastructure[[cluster]:[cluster]],"="&amp;$B$419)/1000,"")</f>
        <v>0</v>
      </c>
      <c r="S422" s="41">
        <f>IFERROR(SUMIFS(Infrastructure[2037],Infrastructure[[variable_type]:[variable_type]],"CO2_transported",Infrastructure[[storage_site]:[storage_site]],"="&amp;$B422,Infrastructure[[cluster]:[cluster]],"="&amp;$B$419)/1000,"")</f>
        <v>0</v>
      </c>
      <c r="T422" s="41">
        <f>IFERROR(SUMIFS(Infrastructure[2038],Infrastructure[[variable_type]:[variable_type]],"CO2_transported",Infrastructure[[storage_site]:[storage_site]],"="&amp;$B422,Infrastructure[[cluster]:[cluster]],"="&amp;$B$419)/1000,"")</f>
        <v>0</v>
      </c>
      <c r="U422" s="41">
        <f>IFERROR(SUMIFS(Infrastructure[2039],Infrastructure[[variable_type]:[variable_type]],"CO2_transported",Infrastructure[[storage_site]:[storage_site]],"="&amp;$B422,Infrastructure[[cluster]:[cluster]],"="&amp;$B$419)/1000,"")</f>
        <v>0</v>
      </c>
      <c r="V422" s="41">
        <f>IFERROR(SUMIFS(Infrastructure[2040],Infrastructure[[variable_type]:[variable_type]],"CO2_transported",Infrastructure[[storage_site]:[storage_site]],"="&amp;$B422,Infrastructure[[cluster]:[cluster]],"="&amp;$B$419)/1000,"")</f>
        <v>0</v>
      </c>
      <c r="W422" s="41">
        <f>IFERROR(SUMIFS(Infrastructure[2041],Infrastructure[[variable_type]:[variable_type]],"CO2_transported",Infrastructure[[storage_site]:[storage_site]],"="&amp;$B422,Infrastructure[[cluster]:[cluster]],"="&amp;$B$419)/1000,"")</f>
        <v>0</v>
      </c>
      <c r="X422" s="41">
        <f>IFERROR(SUMIFS(Infrastructure[2042],Infrastructure[[variable_type]:[variable_type]],"CO2_transported",Infrastructure[[storage_site]:[storage_site]],"="&amp;$B422,Infrastructure[[cluster]:[cluster]],"="&amp;$B$419)/1000,"")</f>
        <v>0</v>
      </c>
      <c r="Y422" s="41">
        <f>IFERROR(SUMIFS(Infrastructure[2043],Infrastructure[[variable_type]:[variable_type]],"CO2_transported",Infrastructure[[storage_site]:[storage_site]],"="&amp;$B422,Infrastructure[[cluster]:[cluster]],"="&amp;$B$419)/1000,"")</f>
        <v>0</v>
      </c>
      <c r="Z422" s="41">
        <f>IFERROR(SUMIFS(Infrastructure[2044],Infrastructure[[variable_type]:[variable_type]],"CO2_transported",Infrastructure[[storage_site]:[storage_site]],"="&amp;$B422,Infrastructure[[cluster]:[cluster]],"="&amp;$B$419)/1000,"")</f>
        <v>0</v>
      </c>
      <c r="AA422" s="41">
        <f>IFERROR(SUMIFS(Infrastructure[2045],Infrastructure[[variable_type]:[variable_type]],"CO2_transported",Infrastructure[[storage_site]:[storage_site]],"="&amp;$B422,Infrastructure[[cluster]:[cluster]],"="&amp;$B$419)/1000,"")</f>
        <v>0</v>
      </c>
      <c r="AB422" s="41">
        <f>IFERROR(SUMIFS(Infrastructure[2046],Infrastructure[[variable_type]:[variable_type]],"CO2_transported",Infrastructure[[storage_site]:[storage_site]],"="&amp;$B422,Infrastructure[[cluster]:[cluster]],"="&amp;$B$419)/1000,"")</f>
        <v>0</v>
      </c>
      <c r="AC422" s="41">
        <f>IFERROR(SUMIFS(Infrastructure[2047],Infrastructure[[variable_type]:[variable_type]],"CO2_transported",Infrastructure[[storage_site]:[storage_site]],"="&amp;$B422,Infrastructure[[cluster]:[cluster]],"="&amp;$B$419)/1000,"")</f>
        <v>0</v>
      </c>
      <c r="AD422" s="41">
        <f>IFERROR(SUMIFS(Infrastructure[2048],Infrastructure[[variable_type]:[variable_type]],"CO2_transported",Infrastructure[[storage_site]:[storage_site]],"="&amp;$B422,Infrastructure[[cluster]:[cluster]],"="&amp;$B$419)/1000,"")</f>
        <v>0</v>
      </c>
      <c r="AE422" s="41">
        <f>IFERROR(SUMIFS(Infrastructure[2049],Infrastructure[[variable_type]:[variable_type]],"CO2_transported",Infrastructure[[storage_site]:[storage_site]],"="&amp;$B422,Infrastructure[[cluster]:[cluster]],"="&amp;$B$419)/1000,"")</f>
        <v>0</v>
      </c>
      <c r="AF422" s="41">
        <f>IFERROR(SUMIFS(Infrastructure[2050],Infrastructure[[variable_type]:[variable_type]],"CO2_transported",Infrastructure[[storage_site]:[storage_site]],"="&amp;$B422,Infrastructure[[cluster]:[cluster]],"="&amp;$B$419)/1000,"")</f>
        <v>0</v>
      </c>
      <c r="AG422" s="41">
        <f>IFERROR(SUMIFS(Infrastructure[2051],Infrastructure[[variable_type]:[variable_type]],"CO2_transported",Infrastructure[[storage_site]:[storage_site]],"="&amp;$B422,Infrastructure[[cluster]:[cluster]],"="&amp;$B$419)/1000,"")</f>
        <v>0</v>
      </c>
    </row>
    <row r="423" spans="2:33" x14ac:dyDescent="0.45">
      <c r="B423" s="6" t="s">
        <v>71</v>
      </c>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row>
    <row r="424" spans="2:33" x14ac:dyDescent="0.45">
      <c r="B424" s="24" t="s">
        <v>80</v>
      </c>
      <c r="C424" s="41">
        <f>IFERROR(SUMIFS(Infrastructure[2021],Infrastructure[[variable_type]:[variable_type]],"CO2_transported",Infrastructure[[storage_site]:[storage_site]],"="&amp;$B424,Infrastructure[[cluster]:[cluster]],"="&amp;$B$423)/1000,"")</f>
        <v>0</v>
      </c>
      <c r="D424" s="41">
        <f>IFERROR(SUMIFS(Infrastructure[2022],Infrastructure[[variable_type]:[variable_type]],"CO2_transported",Infrastructure[[storage_site]:[storage_site]],"="&amp;$B424,Infrastructure[[cluster]:[cluster]],"="&amp;$B$423)/1000,"")</f>
        <v>0</v>
      </c>
      <c r="E424" s="41">
        <f>IFERROR(SUMIFS(Infrastructure[2023],Infrastructure[[variable_type]:[variable_type]],"CO2_transported",Infrastructure[[storage_site]:[storage_site]],"="&amp;$B424,Infrastructure[[cluster]:[cluster]],"="&amp;$B$423)/1000,"")</f>
        <v>0</v>
      </c>
      <c r="F424" s="41">
        <f>IFERROR(SUMIFS(Infrastructure[2024],Infrastructure[[variable_type]:[variable_type]],"CO2_transported",Infrastructure[[storage_site]:[storage_site]],"="&amp;$B424,Infrastructure[[cluster]:[cluster]],"="&amp;$B$423)/1000,"")</f>
        <v>0</v>
      </c>
      <c r="G424" s="41">
        <f>IFERROR(SUMIFS(Infrastructure[2025],Infrastructure[[variable_type]:[variable_type]],"CO2_transported",Infrastructure[[storage_site]:[storage_site]],"="&amp;$B424,Infrastructure[[cluster]:[cluster]],"="&amp;$B$423)/1000,"")</f>
        <v>0</v>
      </c>
      <c r="H424" s="41">
        <f>IFERROR(SUMIFS(Infrastructure[2026],Infrastructure[[variable_type]:[variable_type]],"CO2_transported",Infrastructure[[storage_site]:[storage_site]],"="&amp;$B424,Infrastructure[[cluster]:[cluster]],"="&amp;$B$423)/1000,"")</f>
        <v>0</v>
      </c>
      <c r="I424" s="41">
        <f>IFERROR(SUMIFS(Infrastructure[2027],Infrastructure[[variable_type]:[variable_type]],"CO2_transported",Infrastructure[[storage_site]:[storage_site]],"="&amp;$B424,Infrastructure[[cluster]:[cluster]],"="&amp;$B$423)/1000,"")</f>
        <v>0</v>
      </c>
      <c r="J424" s="41">
        <f>IFERROR(SUMIFS(Infrastructure[2028],Infrastructure[[variable_type]:[variable_type]],"CO2_transported",Infrastructure[[storage_site]:[storage_site]],"="&amp;$B424,Infrastructure[[cluster]:[cluster]],"="&amp;$B$423)/1000,"")</f>
        <v>0</v>
      </c>
      <c r="K424" s="41">
        <f>IFERROR(SUMIFS(Infrastructure[2029],Infrastructure[[variable_type]:[variable_type]],"CO2_transported",Infrastructure[[storage_site]:[storage_site]],"="&amp;$B424,Infrastructure[[cluster]:[cluster]],"="&amp;$B$423)/1000,"")</f>
        <v>0</v>
      </c>
      <c r="L424" s="41">
        <f>IFERROR(SUMIFS(Infrastructure[2030],Infrastructure[[variable_type]:[variable_type]],"CO2_transported",Infrastructure[[storage_site]:[storage_site]],"="&amp;$B424,Infrastructure[[cluster]:[cluster]],"="&amp;$B$423)/1000,"")</f>
        <v>0</v>
      </c>
      <c r="M424" s="41">
        <f>IFERROR(SUMIFS(Infrastructure[2031],Infrastructure[[variable_type]:[variable_type]],"CO2_transported",Infrastructure[[storage_site]:[storage_site]],"="&amp;$B424,Infrastructure[[cluster]:[cluster]],"="&amp;$B$423)/1000,"")</f>
        <v>0</v>
      </c>
      <c r="N424" s="41">
        <f>IFERROR(SUMIFS(Infrastructure[2032],Infrastructure[[variable_type]:[variable_type]],"CO2_transported",Infrastructure[[storage_site]:[storage_site]],"="&amp;$B424,Infrastructure[[cluster]:[cluster]],"="&amp;$B$423)/1000,"")</f>
        <v>0</v>
      </c>
      <c r="O424" s="41">
        <f>IFERROR(SUMIFS(Infrastructure[2033],Infrastructure[[variable_type]:[variable_type]],"CO2_transported",Infrastructure[[storage_site]:[storage_site]],"="&amp;$B424,Infrastructure[[cluster]:[cluster]],"="&amp;$B$423)/1000,"")</f>
        <v>0</v>
      </c>
      <c r="P424" s="41">
        <f>IFERROR(SUMIFS(Infrastructure[2034],Infrastructure[[variable_type]:[variable_type]],"CO2_transported",Infrastructure[[storage_site]:[storage_site]],"="&amp;$B424,Infrastructure[[cluster]:[cluster]],"="&amp;$B$423)/1000,"")</f>
        <v>0</v>
      </c>
      <c r="Q424" s="41">
        <f>IFERROR(SUMIFS(Infrastructure[2035],Infrastructure[[variable_type]:[variable_type]],"CO2_transported",Infrastructure[[storage_site]:[storage_site]],"="&amp;$B424,Infrastructure[[cluster]:[cluster]],"="&amp;$B$423)/1000,"")</f>
        <v>0</v>
      </c>
      <c r="R424" s="41">
        <f>IFERROR(SUMIFS(Infrastructure[2036],Infrastructure[[variable_type]:[variable_type]],"CO2_transported",Infrastructure[[storage_site]:[storage_site]],"="&amp;$B424,Infrastructure[[cluster]:[cluster]],"="&amp;$B$423)/1000,"")</f>
        <v>0</v>
      </c>
      <c r="S424" s="41">
        <f>IFERROR(SUMIFS(Infrastructure[2037],Infrastructure[[variable_type]:[variable_type]],"CO2_transported",Infrastructure[[storage_site]:[storage_site]],"="&amp;$B424,Infrastructure[[cluster]:[cluster]],"="&amp;$B$423)/1000,"")</f>
        <v>0</v>
      </c>
      <c r="T424" s="41">
        <f>IFERROR(SUMIFS(Infrastructure[2038],Infrastructure[[variable_type]:[variable_type]],"CO2_transported",Infrastructure[[storage_site]:[storage_site]],"="&amp;$B424,Infrastructure[[cluster]:[cluster]],"="&amp;$B$423)/1000,"")</f>
        <v>0</v>
      </c>
      <c r="U424" s="41">
        <f>IFERROR(SUMIFS(Infrastructure[2039],Infrastructure[[variable_type]:[variable_type]],"CO2_transported",Infrastructure[[storage_site]:[storage_site]],"="&amp;$B424,Infrastructure[[cluster]:[cluster]],"="&amp;$B$423)/1000,"")</f>
        <v>0</v>
      </c>
      <c r="V424" s="41">
        <f>IFERROR(SUMIFS(Infrastructure[2040],Infrastructure[[variable_type]:[variable_type]],"CO2_transported",Infrastructure[[storage_site]:[storage_site]],"="&amp;$B424,Infrastructure[[cluster]:[cluster]],"="&amp;$B$423)/1000,"")</f>
        <v>0</v>
      </c>
      <c r="W424" s="41">
        <f>IFERROR(SUMIFS(Infrastructure[2041],Infrastructure[[variable_type]:[variable_type]],"CO2_transported",Infrastructure[[storage_site]:[storage_site]],"="&amp;$B424,Infrastructure[[cluster]:[cluster]],"="&amp;$B$423)/1000,"")</f>
        <v>0</v>
      </c>
      <c r="X424" s="41">
        <f>IFERROR(SUMIFS(Infrastructure[2042],Infrastructure[[variable_type]:[variable_type]],"CO2_transported",Infrastructure[[storage_site]:[storage_site]],"="&amp;$B424,Infrastructure[[cluster]:[cluster]],"="&amp;$B$423)/1000,"")</f>
        <v>0</v>
      </c>
      <c r="Y424" s="41">
        <f>IFERROR(SUMIFS(Infrastructure[2043],Infrastructure[[variable_type]:[variable_type]],"CO2_transported",Infrastructure[[storage_site]:[storage_site]],"="&amp;$B424,Infrastructure[[cluster]:[cluster]],"="&amp;$B$423)/1000,"")</f>
        <v>0</v>
      </c>
      <c r="Z424" s="41">
        <f>IFERROR(SUMIFS(Infrastructure[2044],Infrastructure[[variable_type]:[variable_type]],"CO2_transported",Infrastructure[[storage_site]:[storage_site]],"="&amp;$B424,Infrastructure[[cluster]:[cluster]],"="&amp;$B$423)/1000,"")</f>
        <v>0</v>
      </c>
      <c r="AA424" s="41">
        <f>IFERROR(SUMIFS(Infrastructure[2045],Infrastructure[[variable_type]:[variable_type]],"CO2_transported",Infrastructure[[storage_site]:[storage_site]],"="&amp;$B424,Infrastructure[[cluster]:[cluster]],"="&amp;$B$423)/1000,"")</f>
        <v>0</v>
      </c>
      <c r="AB424" s="41">
        <f>IFERROR(SUMIFS(Infrastructure[2046],Infrastructure[[variable_type]:[variable_type]],"CO2_transported",Infrastructure[[storage_site]:[storage_site]],"="&amp;$B424,Infrastructure[[cluster]:[cluster]],"="&amp;$B$423)/1000,"")</f>
        <v>0</v>
      </c>
      <c r="AC424" s="41">
        <f>IFERROR(SUMIFS(Infrastructure[2047],Infrastructure[[variable_type]:[variable_type]],"CO2_transported",Infrastructure[[storage_site]:[storage_site]],"="&amp;$B424,Infrastructure[[cluster]:[cluster]],"="&amp;$B$423)/1000,"")</f>
        <v>0</v>
      </c>
      <c r="AD424" s="41">
        <f>IFERROR(SUMIFS(Infrastructure[2048],Infrastructure[[variable_type]:[variable_type]],"CO2_transported",Infrastructure[[storage_site]:[storage_site]],"="&amp;$B424,Infrastructure[[cluster]:[cluster]],"="&amp;$B$423)/1000,"")</f>
        <v>0</v>
      </c>
      <c r="AE424" s="41">
        <f>IFERROR(SUMIFS(Infrastructure[2049],Infrastructure[[variable_type]:[variable_type]],"CO2_transported",Infrastructure[[storage_site]:[storage_site]],"="&amp;$B424,Infrastructure[[cluster]:[cluster]],"="&amp;$B$423)/1000,"")</f>
        <v>0</v>
      </c>
      <c r="AF424" s="41">
        <f>IFERROR(SUMIFS(Infrastructure[2050],Infrastructure[[variable_type]:[variable_type]],"CO2_transported",Infrastructure[[storage_site]:[storage_site]],"="&amp;$B424,Infrastructure[[cluster]:[cluster]],"="&amp;$B$423)/1000,"")</f>
        <v>0</v>
      </c>
      <c r="AG424" s="41">
        <f>IFERROR(SUMIFS(Infrastructure[2051],Infrastructure[[variable_type]:[variable_type]],"CO2_transported",Infrastructure[[storage_site]:[storage_site]],"="&amp;$B424,Infrastructure[[cluster]:[cluster]],"="&amp;$B$423)/1000,"")</f>
        <v>0</v>
      </c>
    </row>
    <row r="425" spans="2:33" x14ac:dyDescent="0.45">
      <c r="B425" s="24" t="s">
        <v>81</v>
      </c>
      <c r="C425" s="41">
        <f>IFERROR(SUMIFS(Infrastructure[2021],Infrastructure[[variable_type]:[variable_type]],"CO2_transported",Infrastructure[[storage_site]:[storage_site]],"="&amp;$B425,Infrastructure[[cluster]:[cluster]],"="&amp;$B$423)/1000,"")</f>
        <v>0</v>
      </c>
      <c r="D425" s="41">
        <f>IFERROR(SUMIFS(Infrastructure[2022],Infrastructure[[variable_type]:[variable_type]],"CO2_transported",Infrastructure[[storage_site]:[storage_site]],"="&amp;$B425,Infrastructure[[cluster]:[cluster]],"="&amp;$B$423)/1000,"")</f>
        <v>0</v>
      </c>
      <c r="E425" s="41">
        <f>IFERROR(SUMIFS(Infrastructure[2023],Infrastructure[[variable_type]:[variable_type]],"CO2_transported",Infrastructure[[storage_site]:[storage_site]],"="&amp;$B425,Infrastructure[[cluster]:[cluster]],"="&amp;$B$423)/1000,"")</f>
        <v>0</v>
      </c>
      <c r="F425" s="41">
        <f>IFERROR(SUMIFS(Infrastructure[2024],Infrastructure[[variable_type]:[variable_type]],"CO2_transported",Infrastructure[[storage_site]:[storage_site]],"="&amp;$B425,Infrastructure[[cluster]:[cluster]],"="&amp;$B$423)/1000,"")</f>
        <v>0</v>
      </c>
      <c r="G425" s="41">
        <f>IFERROR(SUMIFS(Infrastructure[2025],Infrastructure[[variable_type]:[variable_type]],"CO2_transported",Infrastructure[[storage_site]:[storage_site]],"="&amp;$B425,Infrastructure[[cluster]:[cluster]],"="&amp;$B$423)/1000,"")</f>
        <v>0</v>
      </c>
      <c r="H425" s="41">
        <f>IFERROR(SUMIFS(Infrastructure[2026],Infrastructure[[variable_type]:[variable_type]],"CO2_transported",Infrastructure[[storage_site]:[storage_site]],"="&amp;$B425,Infrastructure[[cluster]:[cluster]],"="&amp;$B$423)/1000,"")</f>
        <v>0</v>
      </c>
      <c r="I425" s="41">
        <f>IFERROR(SUMIFS(Infrastructure[2027],Infrastructure[[variable_type]:[variable_type]],"CO2_transported",Infrastructure[[storage_site]:[storage_site]],"="&amp;$B425,Infrastructure[[cluster]:[cluster]],"="&amp;$B$423)/1000,"")</f>
        <v>0</v>
      </c>
      <c r="J425" s="41">
        <f>IFERROR(SUMIFS(Infrastructure[2028],Infrastructure[[variable_type]:[variable_type]],"CO2_transported",Infrastructure[[storage_site]:[storage_site]],"="&amp;$B425,Infrastructure[[cluster]:[cluster]],"="&amp;$B$423)/1000,"")</f>
        <v>0</v>
      </c>
      <c r="K425" s="41">
        <f>IFERROR(SUMIFS(Infrastructure[2029],Infrastructure[[variable_type]:[variable_type]],"CO2_transported",Infrastructure[[storage_site]:[storage_site]],"="&amp;$B425,Infrastructure[[cluster]:[cluster]],"="&amp;$B$423)/1000,"")</f>
        <v>0</v>
      </c>
      <c r="L425" s="41">
        <f>IFERROR(SUMIFS(Infrastructure[2030],Infrastructure[[variable_type]:[variable_type]],"CO2_transported",Infrastructure[[storage_site]:[storage_site]],"="&amp;$B425,Infrastructure[[cluster]:[cluster]],"="&amp;$B$423)/1000,"")</f>
        <v>0</v>
      </c>
      <c r="M425" s="41">
        <f>IFERROR(SUMIFS(Infrastructure[2031],Infrastructure[[variable_type]:[variable_type]],"CO2_transported",Infrastructure[[storage_site]:[storage_site]],"="&amp;$B425,Infrastructure[[cluster]:[cluster]],"="&amp;$B$423)/1000,"")</f>
        <v>0</v>
      </c>
      <c r="N425" s="41">
        <f>IFERROR(SUMIFS(Infrastructure[2032],Infrastructure[[variable_type]:[variable_type]],"CO2_transported",Infrastructure[[storage_site]:[storage_site]],"="&amp;$B425,Infrastructure[[cluster]:[cluster]],"="&amp;$B$423)/1000,"")</f>
        <v>0</v>
      </c>
      <c r="O425" s="41">
        <f>IFERROR(SUMIFS(Infrastructure[2033],Infrastructure[[variable_type]:[variable_type]],"CO2_transported",Infrastructure[[storage_site]:[storage_site]],"="&amp;$B425,Infrastructure[[cluster]:[cluster]],"="&amp;$B$423)/1000,"")</f>
        <v>0</v>
      </c>
      <c r="P425" s="41">
        <f>IFERROR(SUMIFS(Infrastructure[2034],Infrastructure[[variable_type]:[variable_type]],"CO2_transported",Infrastructure[[storage_site]:[storage_site]],"="&amp;$B425,Infrastructure[[cluster]:[cluster]],"="&amp;$B$423)/1000,"")</f>
        <v>0</v>
      </c>
      <c r="Q425" s="41">
        <f>IFERROR(SUMIFS(Infrastructure[2035],Infrastructure[[variable_type]:[variable_type]],"CO2_transported",Infrastructure[[storage_site]:[storage_site]],"="&amp;$B425,Infrastructure[[cluster]:[cluster]],"="&amp;$B$423)/1000,"")</f>
        <v>0</v>
      </c>
      <c r="R425" s="41">
        <f>IFERROR(SUMIFS(Infrastructure[2036],Infrastructure[[variable_type]:[variable_type]],"CO2_transported",Infrastructure[[storage_site]:[storage_site]],"="&amp;$B425,Infrastructure[[cluster]:[cluster]],"="&amp;$B$423)/1000,"")</f>
        <v>0</v>
      </c>
      <c r="S425" s="41">
        <f>IFERROR(SUMIFS(Infrastructure[2037],Infrastructure[[variable_type]:[variable_type]],"CO2_transported",Infrastructure[[storage_site]:[storage_site]],"="&amp;$B425,Infrastructure[[cluster]:[cluster]],"="&amp;$B$423)/1000,"")</f>
        <v>0</v>
      </c>
      <c r="T425" s="41">
        <f>IFERROR(SUMIFS(Infrastructure[2038],Infrastructure[[variable_type]:[variable_type]],"CO2_transported",Infrastructure[[storage_site]:[storage_site]],"="&amp;$B425,Infrastructure[[cluster]:[cluster]],"="&amp;$B$423)/1000,"")</f>
        <v>0</v>
      </c>
      <c r="U425" s="41">
        <f>IFERROR(SUMIFS(Infrastructure[2039],Infrastructure[[variable_type]:[variable_type]],"CO2_transported",Infrastructure[[storage_site]:[storage_site]],"="&amp;$B425,Infrastructure[[cluster]:[cluster]],"="&amp;$B$423)/1000,"")</f>
        <v>0</v>
      </c>
      <c r="V425" s="41">
        <f>IFERROR(SUMIFS(Infrastructure[2040],Infrastructure[[variable_type]:[variable_type]],"CO2_transported",Infrastructure[[storage_site]:[storage_site]],"="&amp;$B425,Infrastructure[[cluster]:[cluster]],"="&amp;$B$423)/1000,"")</f>
        <v>0</v>
      </c>
      <c r="W425" s="41">
        <f>IFERROR(SUMIFS(Infrastructure[2041],Infrastructure[[variable_type]:[variable_type]],"CO2_transported",Infrastructure[[storage_site]:[storage_site]],"="&amp;$B425,Infrastructure[[cluster]:[cluster]],"="&amp;$B$423)/1000,"")</f>
        <v>0</v>
      </c>
      <c r="X425" s="41">
        <f>IFERROR(SUMIFS(Infrastructure[2042],Infrastructure[[variable_type]:[variable_type]],"CO2_transported",Infrastructure[[storage_site]:[storage_site]],"="&amp;$B425,Infrastructure[[cluster]:[cluster]],"="&amp;$B$423)/1000,"")</f>
        <v>0</v>
      </c>
      <c r="Y425" s="41">
        <f>IFERROR(SUMIFS(Infrastructure[2043],Infrastructure[[variable_type]:[variable_type]],"CO2_transported",Infrastructure[[storage_site]:[storage_site]],"="&amp;$B425,Infrastructure[[cluster]:[cluster]],"="&amp;$B$423)/1000,"")</f>
        <v>0</v>
      </c>
      <c r="Z425" s="41">
        <f>IFERROR(SUMIFS(Infrastructure[2044],Infrastructure[[variable_type]:[variable_type]],"CO2_transported",Infrastructure[[storage_site]:[storage_site]],"="&amp;$B425,Infrastructure[[cluster]:[cluster]],"="&amp;$B$423)/1000,"")</f>
        <v>0</v>
      </c>
      <c r="AA425" s="41">
        <f>IFERROR(SUMIFS(Infrastructure[2045],Infrastructure[[variable_type]:[variable_type]],"CO2_transported",Infrastructure[[storage_site]:[storage_site]],"="&amp;$B425,Infrastructure[[cluster]:[cluster]],"="&amp;$B$423)/1000,"")</f>
        <v>0</v>
      </c>
      <c r="AB425" s="41">
        <f>IFERROR(SUMIFS(Infrastructure[2046],Infrastructure[[variable_type]:[variable_type]],"CO2_transported",Infrastructure[[storage_site]:[storage_site]],"="&amp;$B425,Infrastructure[[cluster]:[cluster]],"="&amp;$B$423)/1000,"")</f>
        <v>0</v>
      </c>
      <c r="AC425" s="41">
        <f>IFERROR(SUMIFS(Infrastructure[2047],Infrastructure[[variable_type]:[variable_type]],"CO2_transported",Infrastructure[[storage_site]:[storage_site]],"="&amp;$B425,Infrastructure[[cluster]:[cluster]],"="&amp;$B$423)/1000,"")</f>
        <v>0</v>
      </c>
      <c r="AD425" s="41">
        <f>IFERROR(SUMIFS(Infrastructure[2048],Infrastructure[[variable_type]:[variable_type]],"CO2_transported",Infrastructure[[storage_site]:[storage_site]],"="&amp;$B425,Infrastructure[[cluster]:[cluster]],"="&amp;$B$423)/1000,"")</f>
        <v>0</v>
      </c>
      <c r="AE425" s="41">
        <f>IFERROR(SUMIFS(Infrastructure[2049],Infrastructure[[variable_type]:[variable_type]],"CO2_transported",Infrastructure[[storage_site]:[storage_site]],"="&amp;$B425,Infrastructure[[cluster]:[cluster]],"="&amp;$B$423)/1000,"")</f>
        <v>0</v>
      </c>
      <c r="AF425" s="41">
        <f>IFERROR(SUMIFS(Infrastructure[2050],Infrastructure[[variable_type]:[variable_type]],"CO2_transported",Infrastructure[[storage_site]:[storage_site]],"="&amp;$B425,Infrastructure[[cluster]:[cluster]],"="&amp;$B$423)/1000,"")</f>
        <v>0</v>
      </c>
      <c r="AG425" s="41">
        <f>IFERROR(SUMIFS(Infrastructure[2051],Infrastructure[[variable_type]:[variable_type]],"CO2_transported",Infrastructure[[storage_site]:[storage_site]],"="&amp;$B425,Infrastructure[[cluster]:[cluster]],"="&amp;$B$423)/1000,"")</f>
        <v>0</v>
      </c>
    </row>
    <row r="426" spans="2:33" x14ac:dyDescent="0.45">
      <c r="B426" s="24" t="s">
        <v>79</v>
      </c>
      <c r="C426" s="41">
        <f>IFERROR(SUMIFS(Infrastructure[2021],Infrastructure[[variable_type]:[variable_type]],"CO2_transported",Infrastructure[[storage_site]:[storage_site]],"="&amp;$B426,Infrastructure[[cluster]:[cluster]],"="&amp;$B$423)/1000,"")</f>
        <v>0</v>
      </c>
      <c r="D426" s="41">
        <f>IFERROR(SUMIFS(Infrastructure[2022],Infrastructure[[variable_type]:[variable_type]],"CO2_transported",Infrastructure[[storage_site]:[storage_site]],"="&amp;$B426,Infrastructure[[cluster]:[cluster]],"="&amp;$B$423)/1000,"")</f>
        <v>0</v>
      </c>
      <c r="E426" s="41">
        <f>IFERROR(SUMIFS(Infrastructure[2023],Infrastructure[[variable_type]:[variable_type]],"CO2_transported",Infrastructure[[storage_site]:[storage_site]],"="&amp;$B426,Infrastructure[[cluster]:[cluster]],"="&amp;$B$423)/1000,"")</f>
        <v>0</v>
      </c>
      <c r="F426" s="41">
        <f>IFERROR(SUMIFS(Infrastructure[2024],Infrastructure[[variable_type]:[variable_type]],"CO2_transported",Infrastructure[[storage_site]:[storage_site]],"="&amp;$B426,Infrastructure[[cluster]:[cluster]],"="&amp;$B$423)/1000,"")</f>
        <v>0</v>
      </c>
      <c r="G426" s="41">
        <f>IFERROR(SUMIFS(Infrastructure[2025],Infrastructure[[variable_type]:[variable_type]],"CO2_transported",Infrastructure[[storage_site]:[storage_site]],"="&amp;$B426,Infrastructure[[cluster]:[cluster]],"="&amp;$B$423)/1000,"")</f>
        <v>0</v>
      </c>
      <c r="H426" s="41">
        <f>IFERROR(SUMIFS(Infrastructure[2026],Infrastructure[[variable_type]:[variable_type]],"CO2_transported",Infrastructure[[storage_site]:[storage_site]],"="&amp;$B426,Infrastructure[[cluster]:[cluster]],"="&amp;$B$423)/1000,"")</f>
        <v>0</v>
      </c>
      <c r="I426" s="41">
        <f>IFERROR(SUMIFS(Infrastructure[2027],Infrastructure[[variable_type]:[variable_type]],"CO2_transported",Infrastructure[[storage_site]:[storage_site]],"="&amp;$B426,Infrastructure[[cluster]:[cluster]],"="&amp;$B$423)/1000,"")</f>
        <v>0</v>
      </c>
      <c r="J426" s="41">
        <f>IFERROR(SUMIFS(Infrastructure[2028],Infrastructure[[variable_type]:[variable_type]],"CO2_transported",Infrastructure[[storage_site]:[storage_site]],"="&amp;$B426,Infrastructure[[cluster]:[cluster]],"="&amp;$B$423)/1000,"")</f>
        <v>0</v>
      </c>
      <c r="K426" s="41">
        <f>IFERROR(SUMIFS(Infrastructure[2029],Infrastructure[[variable_type]:[variable_type]],"CO2_transported",Infrastructure[[storage_site]:[storage_site]],"="&amp;$B426,Infrastructure[[cluster]:[cluster]],"="&amp;$B$423)/1000,"")</f>
        <v>0</v>
      </c>
      <c r="L426" s="41">
        <f>IFERROR(SUMIFS(Infrastructure[2030],Infrastructure[[variable_type]:[variable_type]],"CO2_transported",Infrastructure[[storage_site]:[storage_site]],"="&amp;$B426,Infrastructure[[cluster]:[cluster]],"="&amp;$B$423)/1000,"")</f>
        <v>0</v>
      </c>
      <c r="M426" s="41">
        <f>IFERROR(SUMIFS(Infrastructure[2031],Infrastructure[[variable_type]:[variable_type]],"CO2_transported",Infrastructure[[storage_site]:[storage_site]],"="&amp;$B426,Infrastructure[[cluster]:[cluster]],"="&amp;$B$423)/1000,"")</f>
        <v>0</v>
      </c>
      <c r="N426" s="41">
        <f>IFERROR(SUMIFS(Infrastructure[2032],Infrastructure[[variable_type]:[variable_type]],"CO2_transported",Infrastructure[[storage_site]:[storage_site]],"="&amp;$B426,Infrastructure[[cluster]:[cluster]],"="&amp;$B$423)/1000,"")</f>
        <v>0</v>
      </c>
      <c r="O426" s="41">
        <f>IFERROR(SUMIFS(Infrastructure[2033],Infrastructure[[variable_type]:[variable_type]],"CO2_transported",Infrastructure[[storage_site]:[storage_site]],"="&amp;$B426,Infrastructure[[cluster]:[cluster]],"="&amp;$B$423)/1000,"")</f>
        <v>0</v>
      </c>
      <c r="P426" s="41">
        <f>IFERROR(SUMIFS(Infrastructure[2034],Infrastructure[[variable_type]:[variable_type]],"CO2_transported",Infrastructure[[storage_site]:[storage_site]],"="&amp;$B426,Infrastructure[[cluster]:[cluster]],"="&amp;$B$423)/1000,"")</f>
        <v>0</v>
      </c>
      <c r="Q426" s="41">
        <f>IFERROR(SUMIFS(Infrastructure[2035],Infrastructure[[variable_type]:[variable_type]],"CO2_transported",Infrastructure[[storage_site]:[storage_site]],"="&amp;$B426,Infrastructure[[cluster]:[cluster]],"="&amp;$B$423)/1000,"")</f>
        <v>0</v>
      </c>
      <c r="R426" s="41">
        <f>IFERROR(SUMIFS(Infrastructure[2036],Infrastructure[[variable_type]:[variable_type]],"CO2_transported",Infrastructure[[storage_site]:[storage_site]],"="&amp;$B426,Infrastructure[[cluster]:[cluster]],"="&amp;$B$423)/1000,"")</f>
        <v>0</v>
      </c>
      <c r="S426" s="41">
        <f>IFERROR(SUMIFS(Infrastructure[2037],Infrastructure[[variable_type]:[variable_type]],"CO2_transported",Infrastructure[[storage_site]:[storage_site]],"="&amp;$B426,Infrastructure[[cluster]:[cluster]],"="&amp;$B$423)/1000,"")</f>
        <v>0</v>
      </c>
      <c r="T426" s="41">
        <f>IFERROR(SUMIFS(Infrastructure[2038],Infrastructure[[variable_type]:[variable_type]],"CO2_transported",Infrastructure[[storage_site]:[storage_site]],"="&amp;$B426,Infrastructure[[cluster]:[cluster]],"="&amp;$B$423)/1000,"")</f>
        <v>0</v>
      </c>
      <c r="U426" s="41">
        <f>IFERROR(SUMIFS(Infrastructure[2039],Infrastructure[[variable_type]:[variable_type]],"CO2_transported",Infrastructure[[storage_site]:[storage_site]],"="&amp;$B426,Infrastructure[[cluster]:[cluster]],"="&amp;$B$423)/1000,"")</f>
        <v>0</v>
      </c>
      <c r="V426" s="41">
        <f>IFERROR(SUMIFS(Infrastructure[2040],Infrastructure[[variable_type]:[variable_type]],"CO2_transported",Infrastructure[[storage_site]:[storage_site]],"="&amp;$B426,Infrastructure[[cluster]:[cluster]],"="&amp;$B$423)/1000,"")</f>
        <v>0</v>
      </c>
      <c r="W426" s="41">
        <f>IFERROR(SUMIFS(Infrastructure[2041],Infrastructure[[variable_type]:[variable_type]],"CO2_transported",Infrastructure[[storage_site]:[storage_site]],"="&amp;$B426,Infrastructure[[cluster]:[cluster]],"="&amp;$B$423)/1000,"")</f>
        <v>0</v>
      </c>
      <c r="X426" s="41">
        <f>IFERROR(SUMIFS(Infrastructure[2042],Infrastructure[[variable_type]:[variable_type]],"CO2_transported",Infrastructure[[storage_site]:[storage_site]],"="&amp;$B426,Infrastructure[[cluster]:[cluster]],"="&amp;$B$423)/1000,"")</f>
        <v>0</v>
      </c>
      <c r="Y426" s="41">
        <f>IFERROR(SUMIFS(Infrastructure[2043],Infrastructure[[variable_type]:[variable_type]],"CO2_transported",Infrastructure[[storage_site]:[storage_site]],"="&amp;$B426,Infrastructure[[cluster]:[cluster]],"="&amp;$B$423)/1000,"")</f>
        <v>0</v>
      </c>
      <c r="Z426" s="41">
        <f>IFERROR(SUMIFS(Infrastructure[2044],Infrastructure[[variable_type]:[variable_type]],"CO2_transported",Infrastructure[[storage_site]:[storage_site]],"="&amp;$B426,Infrastructure[[cluster]:[cluster]],"="&amp;$B$423)/1000,"")</f>
        <v>0</v>
      </c>
      <c r="AA426" s="41">
        <f>IFERROR(SUMIFS(Infrastructure[2045],Infrastructure[[variable_type]:[variable_type]],"CO2_transported",Infrastructure[[storage_site]:[storage_site]],"="&amp;$B426,Infrastructure[[cluster]:[cluster]],"="&amp;$B$423)/1000,"")</f>
        <v>0</v>
      </c>
      <c r="AB426" s="41">
        <f>IFERROR(SUMIFS(Infrastructure[2046],Infrastructure[[variable_type]:[variable_type]],"CO2_transported",Infrastructure[[storage_site]:[storage_site]],"="&amp;$B426,Infrastructure[[cluster]:[cluster]],"="&amp;$B$423)/1000,"")</f>
        <v>0</v>
      </c>
      <c r="AC426" s="41">
        <f>IFERROR(SUMIFS(Infrastructure[2047],Infrastructure[[variable_type]:[variable_type]],"CO2_transported",Infrastructure[[storage_site]:[storage_site]],"="&amp;$B426,Infrastructure[[cluster]:[cluster]],"="&amp;$B$423)/1000,"")</f>
        <v>0</v>
      </c>
      <c r="AD426" s="41">
        <f>IFERROR(SUMIFS(Infrastructure[2048],Infrastructure[[variable_type]:[variable_type]],"CO2_transported",Infrastructure[[storage_site]:[storage_site]],"="&amp;$B426,Infrastructure[[cluster]:[cluster]],"="&amp;$B$423)/1000,"")</f>
        <v>0</v>
      </c>
      <c r="AE426" s="41">
        <f>IFERROR(SUMIFS(Infrastructure[2049],Infrastructure[[variable_type]:[variable_type]],"CO2_transported",Infrastructure[[storage_site]:[storage_site]],"="&amp;$B426,Infrastructure[[cluster]:[cluster]],"="&amp;$B$423)/1000,"")</f>
        <v>0</v>
      </c>
      <c r="AF426" s="41">
        <f>IFERROR(SUMIFS(Infrastructure[2050],Infrastructure[[variable_type]:[variable_type]],"CO2_transported",Infrastructure[[storage_site]:[storage_site]],"="&amp;$B426,Infrastructure[[cluster]:[cluster]],"="&amp;$B$423)/1000,"")</f>
        <v>0</v>
      </c>
      <c r="AG426" s="41">
        <f>IFERROR(SUMIFS(Infrastructure[2051],Infrastructure[[variable_type]:[variable_type]],"CO2_transported",Infrastructure[[storage_site]:[storage_site]],"="&amp;$B426,Infrastructure[[cluster]:[cluster]],"="&amp;$B$423)/1000,"")</f>
        <v>0</v>
      </c>
    </row>
    <row r="427" spans="2:33" x14ac:dyDescent="0.45">
      <c r="B427" s="6" t="s">
        <v>72</v>
      </c>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row>
    <row r="428" spans="2:33" x14ac:dyDescent="0.45">
      <c r="B428" s="24" t="s">
        <v>80</v>
      </c>
      <c r="C428" s="41">
        <f>IFERROR(SUMIFS(Infrastructure[2021],Infrastructure[[variable_type]:[variable_type]],"CO2_transported",Infrastructure[[storage_site]:[storage_site]],"="&amp;$B428,Infrastructure[[cluster]:[cluster]],"="&amp;$B$427)/1000,"")</f>
        <v>0</v>
      </c>
      <c r="D428" s="41">
        <f>IFERROR(SUMIFS(Infrastructure[2022],Infrastructure[[variable_type]:[variable_type]],"CO2_transported",Infrastructure[[storage_site]:[storage_site]],"="&amp;$B428,Infrastructure[[cluster]:[cluster]],"="&amp;$B$427)/1000,"")</f>
        <v>0</v>
      </c>
      <c r="E428" s="41">
        <f>IFERROR(SUMIFS(Infrastructure[2023],Infrastructure[[variable_type]:[variable_type]],"CO2_transported",Infrastructure[[storage_site]:[storage_site]],"="&amp;$B428,Infrastructure[[cluster]:[cluster]],"="&amp;$B$427)/1000,"")</f>
        <v>0</v>
      </c>
      <c r="F428" s="41">
        <f>IFERROR(SUMIFS(Infrastructure[2024],Infrastructure[[variable_type]:[variable_type]],"CO2_transported",Infrastructure[[storage_site]:[storage_site]],"="&amp;$B428,Infrastructure[[cluster]:[cluster]],"="&amp;$B$427)/1000,"")</f>
        <v>0</v>
      </c>
      <c r="G428" s="41">
        <f>IFERROR(SUMIFS(Infrastructure[2025],Infrastructure[[variable_type]:[variable_type]],"CO2_transported",Infrastructure[[storage_site]:[storage_site]],"="&amp;$B428,Infrastructure[[cluster]:[cluster]],"="&amp;$B$427)/1000,"")</f>
        <v>0</v>
      </c>
      <c r="H428" s="41">
        <f>IFERROR(SUMIFS(Infrastructure[2026],Infrastructure[[variable_type]:[variable_type]],"CO2_transported",Infrastructure[[storage_site]:[storage_site]],"="&amp;$B428,Infrastructure[[cluster]:[cluster]],"="&amp;$B$427)/1000,"")</f>
        <v>0</v>
      </c>
      <c r="I428" s="41">
        <f>IFERROR(SUMIFS(Infrastructure[2027],Infrastructure[[variable_type]:[variable_type]],"CO2_transported",Infrastructure[[storage_site]:[storage_site]],"="&amp;$B428,Infrastructure[[cluster]:[cluster]],"="&amp;$B$427)/1000,"")</f>
        <v>0</v>
      </c>
      <c r="J428" s="41">
        <f>IFERROR(SUMIFS(Infrastructure[2028],Infrastructure[[variable_type]:[variable_type]],"CO2_transported",Infrastructure[[storage_site]:[storage_site]],"="&amp;$B428,Infrastructure[[cluster]:[cluster]],"="&amp;$B$427)/1000,"")</f>
        <v>0</v>
      </c>
      <c r="K428" s="41">
        <f>IFERROR(SUMIFS(Infrastructure[2029],Infrastructure[[variable_type]:[variable_type]],"CO2_transported",Infrastructure[[storage_site]:[storage_site]],"="&amp;$B428,Infrastructure[[cluster]:[cluster]],"="&amp;$B$427)/1000,"")</f>
        <v>0</v>
      </c>
      <c r="L428" s="41">
        <f>IFERROR(SUMIFS(Infrastructure[2030],Infrastructure[[variable_type]:[variable_type]],"CO2_transported",Infrastructure[[storage_site]:[storage_site]],"="&amp;$B428,Infrastructure[[cluster]:[cluster]],"="&amp;$B$427)/1000,"")</f>
        <v>0</v>
      </c>
      <c r="M428" s="41">
        <f>IFERROR(SUMIFS(Infrastructure[2031],Infrastructure[[variable_type]:[variable_type]],"CO2_transported",Infrastructure[[storage_site]:[storage_site]],"="&amp;$B428,Infrastructure[[cluster]:[cluster]],"="&amp;$B$427)/1000,"")</f>
        <v>0</v>
      </c>
      <c r="N428" s="41">
        <f>IFERROR(SUMIFS(Infrastructure[2032],Infrastructure[[variable_type]:[variable_type]],"CO2_transported",Infrastructure[[storage_site]:[storage_site]],"="&amp;$B428,Infrastructure[[cluster]:[cluster]],"="&amp;$B$427)/1000,"")</f>
        <v>0</v>
      </c>
      <c r="O428" s="41">
        <f>IFERROR(SUMIFS(Infrastructure[2033],Infrastructure[[variable_type]:[variable_type]],"CO2_transported",Infrastructure[[storage_site]:[storage_site]],"="&amp;$B428,Infrastructure[[cluster]:[cluster]],"="&amp;$B$427)/1000,"")</f>
        <v>0</v>
      </c>
      <c r="P428" s="41">
        <f>IFERROR(SUMIFS(Infrastructure[2034],Infrastructure[[variable_type]:[variable_type]],"CO2_transported",Infrastructure[[storage_site]:[storage_site]],"="&amp;$B428,Infrastructure[[cluster]:[cluster]],"="&amp;$B$427)/1000,"")</f>
        <v>0</v>
      </c>
      <c r="Q428" s="41">
        <f>IFERROR(SUMIFS(Infrastructure[2035],Infrastructure[[variable_type]:[variable_type]],"CO2_transported",Infrastructure[[storage_site]:[storage_site]],"="&amp;$B428,Infrastructure[[cluster]:[cluster]],"="&amp;$B$427)/1000,"")</f>
        <v>0</v>
      </c>
      <c r="R428" s="41">
        <f>IFERROR(SUMIFS(Infrastructure[2036],Infrastructure[[variable_type]:[variable_type]],"CO2_transported",Infrastructure[[storage_site]:[storage_site]],"="&amp;$B428,Infrastructure[[cluster]:[cluster]],"="&amp;$B$427)/1000,"")</f>
        <v>0</v>
      </c>
      <c r="S428" s="41">
        <f>IFERROR(SUMIFS(Infrastructure[2037],Infrastructure[[variable_type]:[variable_type]],"CO2_transported",Infrastructure[[storage_site]:[storage_site]],"="&amp;$B428,Infrastructure[[cluster]:[cluster]],"="&amp;$B$427)/1000,"")</f>
        <v>0</v>
      </c>
      <c r="T428" s="41">
        <f>IFERROR(SUMIFS(Infrastructure[2038],Infrastructure[[variable_type]:[variable_type]],"CO2_transported",Infrastructure[[storage_site]:[storage_site]],"="&amp;$B428,Infrastructure[[cluster]:[cluster]],"="&amp;$B$427)/1000,"")</f>
        <v>0</v>
      </c>
      <c r="U428" s="41">
        <f>IFERROR(SUMIFS(Infrastructure[2039],Infrastructure[[variable_type]:[variable_type]],"CO2_transported",Infrastructure[[storage_site]:[storage_site]],"="&amp;$B428,Infrastructure[[cluster]:[cluster]],"="&amp;$B$427)/1000,"")</f>
        <v>0</v>
      </c>
      <c r="V428" s="41">
        <f>IFERROR(SUMIFS(Infrastructure[2040],Infrastructure[[variable_type]:[variable_type]],"CO2_transported",Infrastructure[[storage_site]:[storage_site]],"="&amp;$B428,Infrastructure[[cluster]:[cluster]],"="&amp;$B$427)/1000,"")</f>
        <v>0</v>
      </c>
      <c r="W428" s="41">
        <f>IFERROR(SUMIFS(Infrastructure[2041],Infrastructure[[variable_type]:[variable_type]],"CO2_transported",Infrastructure[[storage_site]:[storage_site]],"="&amp;$B428,Infrastructure[[cluster]:[cluster]],"="&amp;$B$427)/1000,"")</f>
        <v>0</v>
      </c>
      <c r="X428" s="41">
        <f>IFERROR(SUMIFS(Infrastructure[2042],Infrastructure[[variable_type]:[variable_type]],"CO2_transported",Infrastructure[[storage_site]:[storage_site]],"="&amp;$B428,Infrastructure[[cluster]:[cluster]],"="&amp;$B$427)/1000,"")</f>
        <v>0</v>
      </c>
      <c r="Y428" s="41">
        <f>IFERROR(SUMIFS(Infrastructure[2043],Infrastructure[[variable_type]:[variable_type]],"CO2_transported",Infrastructure[[storage_site]:[storage_site]],"="&amp;$B428,Infrastructure[[cluster]:[cluster]],"="&amp;$B$427)/1000,"")</f>
        <v>0</v>
      </c>
      <c r="Z428" s="41">
        <f>IFERROR(SUMIFS(Infrastructure[2044],Infrastructure[[variable_type]:[variable_type]],"CO2_transported",Infrastructure[[storage_site]:[storage_site]],"="&amp;$B428,Infrastructure[[cluster]:[cluster]],"="&amp;$B$427)/1000,"")</f>
        <v>0</v>
      </c>
      <c r="AA428" s="41">
        <f>IFERROR(SUMIFS(Infrastructure[2045],Infrastructure[[variable_type]:[variable_type]],"CO2_transported",Infrastructure[[storage_site]:[storage_site]],"="&amp;$B428,Infrastructure[[cluster]:[cluster]],"="&amp;$B$427)/1000,"")</f>
        <v>0</v>
      </c>
      <c r="AB428" s="41">
        <f>IFERROR(SUMIFS(Infrastructure[2046],Infrastructure[[variable_type]:[variable_type]],"CO2_transported",Infrastructure[[storage_site]:[storage_site]],"="&amp;$B428,Infrastructure[[cluster]:[cluster]],"="&amp;$B$427)/1000,"")</f>
        <v>0</v>
      </c>
      <c r="AC428" s="41">
        <f>IFERROR(SUMIFS(Infrastructure[2047],Infrastructure[[variable_type]:[variable_type]],"CO2_transported",Infrastructure[[storage_site]:[storage_site]],"="&amp;$B428,Infrastructure[[cluster]:[cluster]],"="&amp;$B$427)/1000,"")</f>
        <v>0</v>
      </c>
      <c r="AD428" s="41">
        <f>IFERROR(SUMIFS(Infrastructure[2048],Infrastructure[[variable_type]:[variable_type]],"CO2_transported",Infrastructure[[storage_site]:[storage_site]],"="&amp;$B428,Infrastructure[[cluster]:[cluster]],"="&amp;$B$427)/1000,"")</f>
        <v>0</v>
      </c>
      <c r="AE428" s="41">
        <f>IFERROR(SUMIFS(Infrastructure[2049],Infrastructure[[variable_type]:[variable_type]],"CO2_transported",Infrastructure[[storage_site]:[storage_site]],"="&amp;$B428,Infrastructure[[cluster]:[cluster]],"="&amp;$B$427)/1000,"")</f>
        <v>0</v>
      </c>
      <c r="AF428" s="41">
        <f>IFERROR(SUMIFS(Infrastructure[2050],Infrastructure[[variable_type]:[variable_type]],"CO2_transported",Infrastructure[[storage_site]:[storage_site]],"="&amp;$B428,Infrastructure[[cluster]:[cluster]],"="&amp;$B$427)/1000,"")</f>
        <v>0</v>
      </c>
      <c r="AG428" s="41">
        <f>IFERROR(SUMIFS(Infrastructure[2051],Infrastructure[[variable_type]:[variable_type]],"CO2_transported",Infrastructure[[storage_site]:[storage_site]],"="&amp;$B428,Infrastructure[[cluster]:[cluster]],"="&amp;$B$427)/1000,"")</f>
        <v>0</v>
      </c>
    </row>
    <row r="429" spans="2:33" x14ac:dyDescent="0.45">
      <c r="B429" s="24" t="s">
        <v>81</v>
      </c>
      <c r="C429" s="41">
        <f>IFERROR(SUMIFS(Infrastructure[2021],Infrastructure[[variable_type]:[variable_type]],"CO2_transported",Infrastructure[[storage_site]:[storage_site]],"="&amp;$B429,Infrastructure[[cluster]:[cluster]],"="&amp;$B$427)/1000,"")</f>
        <v>0</v>
      </c>
      <c r="D429" s="41">
        <f>IFERROR(SUMIFS(Infrastructure[2022],Infrastructure[[variable_type]:[variable_type]],"CO2_transported",Infrastructure[[storage_site]:[storage_site]],"="&amp;$B429,Infrastructure[[cluster]:[cluster]],"="&amp;$B$427)/1000,"")</f>
        <v>0</v>
      </c>
      <c r="E429" s="41">
        <f>IFERROR(SUMIFS(Infrastructure[2023],Infrastructure[[variable_type]:[variable_type]],"CO2_transported",Infrastructure[[storage_site]:[storage_site]],"="&amp;$B429,Infrastructure[[cluster]:[cluster]],"="&amp;$B$427)/1000,"")</f>
        <v>0</v>
      </c>
      <c r="F429" s="41">
        <f>IFERROR(SUMIFS(Infrastructure[2024],Infrastructure[[variable_type]:[variable_type]],"CO2_transported",Infrastructure[[storage_site]:[storage_site]],"="&amp;$B429,Infrastructure[[cluster]:[cluster]],"="&amp;$B$427)/1000,"")</f>
        <v>0</v>
      </c>
      <c r="G429" s="41">
        <f>IFERROR(SUMIFS(Infrastructure[2025],Infrastructure[[variable_type]:[variable_type]],"CO2_transported",Infrastructure[[storage_site]:[storage_site]],"="&amp;$B429,Infrastructure[[cluster]:[cluster]],"="&amp;$B$427)/1000,"")</f>
        <v>0</v>
      </c>
      <c r="H429" s="41">
        <f>IFERROR(SUMIFS(Infrastructure[2026],Infrastructure[[variable_type]:[variable_type]],"CO2_transported",Infrastructure[[storage_site]:[storage_site]],"="&amp;$B429,Infrastructure[[cluster]:[cluster]],"="&amp;$B$427)/1000,"")</f>
        <v>0</v>
      </c>
      <c r="I429" s="41">
        <f>IFERROR(SUMIFS(Infrastructure[2027],Infrastructure[[variable_type]:[variable_type]],"CO2_transported",Infrastructure[[storage_site]:[storage_site]],"="&amp;$B429,Infrastructure[[cluster]:[cluster]],"="&amp;$B$427)/1000,"")</f>
        <v>0</v>
      </c>
      <c r="J429" s="41">
        <f>IFERROR(SUMIFS(Infrastructure[2028],Infrastructure[[variable_type]:[variable_type]],"CO2_transported",Infrastructure[[storage_site]:[storage_site]],"="&amp;$B429,Infrastructure[[cluster]:[cluster]],"="&amp;$B$427)/1000,"")</f>
        <v>0</v>
      </c>
      <c r="K429" s="41">
        <f>IFERROR(SUMIFS(Infrastructure[2029],Infrastructure[[variable_type]:[variable_type]],"CO2_transported",Infrastructure[[storage_site]:[storage_site]],"="&amp;$B429,Infrastructure[[cluster]:[cluster]],"="&amp;$B$427)/1000,"")</f>
        <v>0</v>
      </c>
      <c r="L429" s="41">
        <f>IFERROR(SUMIFS(Infrastructure[2030],Infrastructure[[variable_type]:[variable_type]],"CO2_transported",Infrastructure[[storage_site]:[storage_site]],"="&amp;$B429,Infrastructure[[cluster]:[cluster]],"="&amp;$B$427)/1000,"")</f>
        <v>0</v>
      </c>
      <c r="M429" s="41">
        <f>IFERROR(SUMIFS(Infrastructure[2031],Infrastructure[[variable_type]:[variable_type]],"CO2_transported",Infrastructure[[storage_site]:[storage_site]],"="&amp;$B429,Infrastructure[[cluster]:[cluster]],"="&amp;$B$427)/1000,"")</f>
        <v>0</v>
      </c>
      <c r="N429" s="41">
        <f>IFERROR(SUMIFS(Infrastructure[2032],Infrastructure[[variable_type]:[variable_type]],"CO2_transported",Infrastructure[[storage_site]:[storage_site]],"="&amp;$B429,Infrastructure[[cluster]:[cluster]],"="&amp;$B$427)/1000,"")</f>
        <v>0</v>
      </c>
      <c r="O429" s="41">
        <f>IFERROR(SUMIFS(Infrastructure[2033],Infrastructure[[variable_type]:[variable_type]],"CO2_transported",Infrastructure[[storage_site]:[storage_site]],"="&amp;$B429,Infrastructure[[cluster]:[cluster]],"="&amp;$B$427)/1000,"")</f>
        <v>0</v>
      </c>
      <c r="P429" s="41">
        <f>IFERROR(SUMIFS(Infrastructure[2034],Infrastructure[[variable_type]:[variable_type]],"CO2_transported",Infrastructure[[storage_site]:[storage_site]],"="&amp;$B429,Infrastructure[[cluster]:[cluster]],"="&amp;$B$427)/1000,"")</f>
        <v>0</v>
      </c>
      <c r="Q429" s="41">
        <f>IFERROR(SUMIFS(Infrastructure[2035],Infrastructure[[variable_type]:[variable_type]],"CO2_transported",Infrastructure[[storage_site]:[storage_site]],"="&amp;$B429,Infrastructure[[cluster]:[cluster]],"="&amp;$B$427)/1000,"")</f>
        <v>0</v>
      </c>
      <c r="R429" s="41">
        <f>IFERROR(SUMIFS(Infrastructure[2036],Infrastructure[[variable_type]:[variable_type]],"CO2_transported",Infrastructure[[storage_site]:[storage_site]],"="&amp;$B429,Infrastructure[[cluster]:[cluster]],"="&amp;$B$427)/1000,"")</f>
        <v>0</v>
      </c>
      <c r="S429" s="41">
        <f>IFERROR(SUMIFS(Infrastructure[2037],Infrastructure[[variable_type]:[variable_type]],"CO2_transported",Infrastructure[[storage_site]:[storage_site]],"="&amp;$B429,Infrastructure[[cluster]:[cluster]],"="&amp;$B$427)/1000,"")</f>
        <v>0</v>
      </c>
      <c r="T429" s="41">
        <f>IFERROR(SUMIFS(Infrastructure[2038],Infrastructure[[variable_type]:[variable_type]],"CO2_transported",Infrastructure[[storage_site]:[storage_site]],"="&amp;$B429,Infrastructure[[cluster]:[cluster]],"="&amp;$B$427)/1000,"")</f>
        <v>0</v>
      </c>
      <c r="U429" s="41">
        <f>IFERROR(SUMIFS(Infrastructure[2039],Infrastructure[[variable_type]:[variable_type]],"CO2_transported",Infrastructure[[storage_site]:[storage_site]],"="&amp;$B429,Infrastructure[[cluster]:[cluster]],"="&amp;$B$427)/1000,"")</f>
        <v>0</v>
      </c>
      <c r="V429" s="41">
        <f>IFERROR(SUMIFS(Infrastructure[2040],Infrastructure[[variable_type]:[variable_type]],"CO2_transported",Infrastructure[[storage_site]:[storage_site]],"="&amp;$B429,Infrastructure[[cluster]:[cluster]],"="&amp;$B$427)/1000,"")</f>
        <v>0</v>
      </c>
      <c r="W429" s="41">
        <f>IFERROR(SUMIFS(Infrastructure[2041],Infrastructure[[variable_type]:[variable_type]],"CO2_transported",Infrastructure[[storage_site]:[storage_site]],"="&amp;$B429,Infrastructure[[cluster]:[cluster]],"="&amp;$B$427)/1000,"")</f>
        <v>0</v>
      </c>
      <c r="X429" s="41">
        <f>IFERROR(SUMIFS(Infrastructure[2042],Infrastructure[[variable_type]:[variable_type]],"CO2_transported",Infrastructure[[storage_site]:[storage_site]],"="&amp;$B429,Infrastructure[[cluster]:[cluster]],"="&amp;$B$427)/1000,"")</f>
        <v>0</v>
      </c>
      <c r="Y429" s="41">
        <f>IFERROR(SUMIFS(Infrastructure[2043],Infrastructure[[variable_type]:[variable_type]],"CO2_transported",Infrastructure[[storage_site]:[storage_site]],"="&amp;$B429,Infrastructure[[cluster]:[cluster]],"="&amp;$B$427)/1000,"")</f>
        <v>0</v>
      </c>
      <c r="Z429" s="41">
        <f>IFERROR(SUMIFS(Infrastructure[2044],Infrastructure[[variable_type]:[variable_type]],"CO2_transported",Infrastructure[[storage_site]:[storage_site]],"="&amp;$B429,Infrastructure[[cluster]:[cluster]],"="&amp;$B$427)/1000,"")</f>
        <v>0</v>
      </c>
      <c r="AA429" s="41">
        <f>IFERROR(SUMIFS(Infrastructure[2045],Infrastructure[[variable_type]:[variable_type]],"CO2_transported",Infrastructure[[storage_site]:[storage_site]],"="&amp;$B429,Infrastructure[[cluster]:[cluster]],"="&amp;$B$427)/1000,"")</f>
        <v>0</v>
      </c>
      <c r="AB429" s="41">
        <f>IFERROR(SUMIFS(Infrastructure[2046],Infrastructure[[variable_type]:[variable_type]],"CO2_transported",Infrastructure[[storage_site]:[storage_site]],"="&amp;$B429,Infrastructure[[cluster]:[cluster]],"="&amp;$B$427)/1000,"")</f>
        <v>0</v>
      </c>
      <c r="AC429" s="41">
        <f>IFERROR(SUMIFS(Infrastructure[2047],Infrastructure[[variable_type]:[variable_type]],"CO2_transported",Infrastructure[[storage_site]:[storage_site]],"="&amp;$B429,Infrastructure[[cluster]:[cluster]],"="&amp;$B$427)/1000,"")</f>
        <v>0</v>
      </c>
      <c r="AD429" s="41">
        <f>IFERROR(SUMIFS(Infrastructure[2048],Infrastructure[[variable_type]:[variable_type]],"CO2_transported",Infrastructure[[storage_site]:[storage_site]],"="&amp;$B429,Infrastructure[[cluster]:[cluster]],"="&amp;$B$427)/1000,"")</f>
        <v>0</v>
      </c>
      <c r="AE429" s="41">
        <f>IFERROR(SUMIFS(Infrastructure[2049],Infrastructure[[variable_type]:[variable_type]],"CO2_transported",Infrastructure[[storage_site]:[storage_site]],"="&amp;$B429,Infrastructure[[cluster]:[cluster]],"="&amp;$B$427)/1000,"")</f>
        <v>0</v>
      </c>
      <c r="AF429" s="41">
        <f>IFERROR(SUMIFS(Infrastructure[2050],Infrastructure[[variable_type]:[variable_type]],"CO2_transported",Infrastructure[[storage_site]:[storage_site]],"="&amp;$B429,Infrastructure[[cluster]:[cluster]],"="&amp;$B$427)/1000,"")</f>
        <v>0</v>
      </c>
      <c r="AG429" s="41">
        <f>IFERROR(SUMIFS(Infrastructure[2051],Infrastructure[[variable_type]:[variable_type]],"CO2_transported",Infrastructure[[storage_site]:[storage_site]],"="&amp;$B429,Infrastructure[[cluster]:[cluster]],"="&amp;$B$427)/1000,"")</f>
        <v>0</v>
      </c>
    </row>
    <row r="430" spans="2:33" x14ac:dyDescent="0.45">
      <c r="B430" s="24" t="s">
        <v>79</v>
      </c>
      <c r="C430" s="41">
        <f>IFERROR(SUMIFS(Infrastructure[2021],Infrastructure[[variable_type]:[variable_type]],"CO2_transported",Infrastructure[[storage_site]:[storage_site]],"="&amp;$B430,Infrastructure[[cluster]:[cluster]],"="&amp;$B$427)/1000,"")</f>
        <v>0</v>
      </c>
      <c r="D430" s="41">
        <f>IFERROR(SUMIFS(Infrastructure[2022],Infrastructure[[variable_type]:[variable_type]],"CO2_transported",Infrastructure[[storage_site]:[storage_site]],"="&amp;$B430,Infrastructure[[cluster]:[cluster]],"="&amp;$B$427)/1000,"")</f>
        <v>0</v>
      </c>
      <c r="E430" s="41">
        <f>IFERROR(SUMIFS(Infrastructure[2023],Infrastructure[[variable_type]:[variable_type]],"CO2_transported",Infrastructure[[storage_site]:[storage_site]],"="&amp;$B430,Infrastructure[[cluster]:[cluster]],"="&amp;$B$427)/1000,"")</f>
        <v>0</v>
      </c>
      <c r="F430" s="41">
        <f>IFERROR(SUMIFS(Infrastructure[2024],Infrastructure[[variable_type]:[variable_type]],"CO2_transported",Infrastructure[[storage_site]:[storage_site]],"="&amp;$B430,Infrastructure[[cluster]:[cluster]],"="&amp;$B$427)/1000,"")</f>
        <v>0</v>
      </c>
      <c r="G430" s="41">
        <f>IFERROR(SUMIFS(Infrastructure[2025],Infrastructure[[variable_type]:[variable_type]],"CO2_transported",Infrastructure[[storage_site]:[storage_site]],"="&amp;$B430,Infrastructure[[cluster]:[cluster]],"="&amp;$B$427)/1000,"")</f>
        <v>0</v>
      </c>
      <c r="H430" s="41">
        <f>IFERROR(SUMIFS(Infrastructure[2026],Infrastructure[[variable_type]:[variable_type]],"CO2_transported",Infrastructure[[storage_site]:[storage_site]],"="&amp;$B430,Infrastructure[[cluster]:[cluster]],"="&amp;$B$427)/1000,"")</f>
        <v>0</v>
      </c>
      <c r="I430" s="41">
        <f>IFERROR(SUMIFS(Infrastructure[2027],Infrastructure[[variable_type]:[variable_type]],"CO2_transported",Infrastructure[[storage_site]:[storage_site]],"="&amp;$B430,Infrastructure[[cluster]:[cluster]],"="&amp;$B$427)/1000,"")</f>
        <v>0</v>
      </c>
      <c r="J430" s="41">
        <f>IFERROR(SUMIFS(Infrastructure[2028],Infrastructure[[variable_type]:[variable_type]],"CO2_transported",Infrastructure[[storage_site]:[storage_site]],"="&amp;$B430,Infrastructure[[cluster]:[cluster]],"="&amp;$B$427)/1000,"")</f>
        <v>0</v>
      </c>
      <c r="K430" s="41">
        <f>IFERROR(SUMIFS(Infrastructure[2029],Infrastructure[[variable_type]:[variable_type]],"CO2_transported",Infrastructure[[storage_site]:[storage_site]],"="&amp;$B430,Infrastructure[[cluster]:[cluster]],"="&amp;$B$427)/1000,"")</f>
        <v>0</v>
      </c>
      <c r="L430" s="41">
        <f>IFERROR(SUMIFS(Infrastructure[2030],Infrastructure[[variable_type]:[variable_type]],"CO2_transported",Infrastructure[[storage_site]:[storage_site]],"="&amp;$B430,Infrastructure[[cluster]:[cluster]],"="&amp;$B$427)/1000,"")</f>
        <v>0</v>
      </c>
      <c r="M430" s="41">
        <f>IFERROR(SUMIFS(Infrastructure[2031],Infrastructure[[variable_type]:[variable_type]],"CO2_transported",Infrastructure[[storage_site]:[storage_site]],"="&amp;$B430,Infrastructure[[cluster]:[cluster]],"="&amp;$B$427)/1000,"")</f>
        <v>0</v>
      </c>
      <c r="N430" s="41">
        <f>IFERROR(SUMIFS(Infrastructure[2032],Infrastructure[[variable_type]:[variable_type]],"CO2_transported",Infrastructure[[storage_site]:[storage_site]],"="&amp;$B430,Infrastructure[[cluster]:[cluster]],"="&amp;$B$427)/1000,"")</f>
        <v>0</v>
      </c>
      <c r="O430" s="41">
        <f>IFERROR(SUMIFS(Infrastructure[2033],Infrastructure[[variable_type]:[variable_type]],"CO2_transported",Infrastructure[[storage_site]:[storage_site]],"="&amp;$B430,Infrastructure[[cluster]:[cluster]],"="&amp;$B$427)/1000,"")</f>
        <v>0</v>
      </c>
      <c r="P430" s="41">
        <f>IFERROR(SUMIFS(Infrastructure[2034],Infrastructure[[variable_type]:[variable_type]],"CO2_transported",Infrastructure[[storage_site]:[storage_site]],"="&amp;$B430,Infrastructure[[cluster]:[cluster]],"="&amp;$B$427)/1000,"")</f>
        <v>0</v>
      </c>
      <c r="Q430" s="41">
        <f>IFERROR(SUMIFS(Infrastructure[2035],Infrastructure[[variable_type]:[variable_type]],"CO2_transported",Infrastructure[[storage_site]:[storage_site]],"="&amp;$B430,Infrastructure[[cluster]:[cluster]],"="&amp;$B$427)/1000,"")</f>
        <v>0</v>
      </c>
      <c r="R430" s="41">
        <f>IFERROR(SUMIFS(Infrastructure[2036],Infrastructure[[variable_type]:[variable_type]],"CO2_transported",Infrastructure[[storage_site]:[storage_site]],"="&amp;$B430,Infrastructure[[cluster]:[cluster]],"="&amp;$B$427)/1000,"")</f>
        <v>0</v>
      </c>
      <c r="S430" s="41">
        <f>IFERROR(SUMIFS(Infrastructure[2037],Infrastructure[[variable_type]:[variable_type]],"CO2_transported",Infrastructure[[storage_site]:[storage_site]],"="&amp;$B430,Infrastructure[[cluster]:[cluster]],"="&amp;$B$427)/1000,"")</f>
        <v>0</v>
      </c>
      <c r="T430" s="41">
        <f>IFERROR(SUMIFS(Infrastructure[2038],Infrastructure[[variable_type]:[variable_type]],"CO2_transported",Infrastructure[[storage_site]:[storage_site]],"="&amp;$B430,Infrastructure[[cluster]:[cluster]],"="&amp;$B$427)/1000,"")</f>
        <v>0</v>
      </c>
      <c r="U430" s="41">
        <f>IFERROR(SUMIFS(Infrastructure[2039],Infrastructure[[variable_type]:[variable_type]],"CO2_transported",Infrastructure[[storage_site]:[storage_site]],"="&amp;$B430,Infrastructure[[cluster]:[cluster]],"="&amp;$B$427)/1000,"")</f>
        <v>0</v>
      </c>
      <c r="V430" s="41">
        <f>IFERROR(SUMIFS(Infrastructure[2040],Infrastructure[[variable_type]:[variable_type]],"CO2_transported",Infrastructure[[storage_site]:[storage_site]],"="&amp;$B430,Infrastructure[[cluster]:[cluster]],"="&amp;$B$427)/1000,"")</f>
        <v>0</v>
      </c>
      <c r="W430" s="41">
        <f>IFERROR(SUMIFS(Infrastructure[2041],Infrastructure[[variable_type]:[variable_type]],"CO2_transported",Infrastructure[[storage_site]:[storage_site]],"="&amp;$B430,Infrastructure[[cluster]:[cluster]],"="&amp;$B$427)/1000,"")</f>
        <v>0</v>
      </c>
      <c r="X430" s="41">
        <f>IFERROR(SUMIFS(Infrastructure[2042],Infrastructure[[variable_type]:[variable_type]],"CO2_transported",Infrastructure[[storage_site]:[storage_site]],"="&amp;$B430,Infrastructure[[cluster]:[cluster]],"="&amp;$B$427)/1000,"")</f>
        <v>0</v>
      </c>
      <c r="Y430" s="41">
        <f>IFERROR(SUMIFS(Infrastructure[2043],Infrastructure[[variable_type]:[variable_type]],"CO2_transported",Infrastructure[[storage_site]:[storage_site]],"="&amp;$B430,Infrastructure[[cluster]:[cluster]],"="&amp;$B$427)/1000,"")</f>
        <v>0</v>
      </c>
      <c r="Z430" s="41">
        <f>IFERROR(SUMIFS(Infrastructure[2044],Infrastructure[[variable_type]:[variable_type]],"CO2_transported",Infrastructure[[storage_site]:[storage_site]],"="&amp;$B430,Infrastructure[[cluster]:[cluster]],"="&amp;$B$427)/1000,"")</f>
        <v>0</v>
      </c>
      <c r="AA430" s="41">
        <f>IFERROR(SUMIFS(Infrastructure[2045],Infrastructure[[variable_type]:[variable_type]],"CO2_transported",Infrastructure[[storage_site]:[storage_site]],"="&amp;$B430,Infrastructure[[cluster]:[cluster]],"="&amp;$B$427)/1000,"")</f>
        <v>0</v>
      </c>
      <c r="AB430" s="41">
        <f>IFERROR(SUMIFS(Infrastructure[2046],Infrastructure[[variable_type]:[variable_type]],"CO2_transported",Infrastructure[[storage_site]:[storage_site]],"="&amp;$B430,Infrastructure[[cluster]:[cluster]],"="&amp;$B$427)/1000,"")</f>
        <v>0</v>
      </c>
      <c r="AC430" s="41">
        <f>IFERROR(SUMIFS(Infrastructure[2047],Infrastructure[[variable_type]:[variable_type]],"CO2_transported",Infrastructure[[storage_site]:[storage_site]],"="&amp;$B430,Infrastructure[[cluster]:[cluster]],"="&amp;$B$427)/1000,"")</f>
        <v>0</v>
      </c>
      <c r="AD430" s="41">
        <f>IFERROR(SUMIFS(Infrastructure[2048],Infrastructure[[variable_type]:[variable_type]],"CO2_transported",Infrastructure[[storage_site]:[storage_site]],"="&amp;$B430,Infrastructure[[cluster]:[cluster]],"="&amp;$B$427)/1000,"")</f>
        <v>0</v>
      </c>
      <c r="AE430" s="41">
        <f>IFERROR(SUMIFS(Infrastructure[2049],Infrastructure[[variable_type]:[variable_type]],"CO2_transported",Infrastructure[[storage_site]:[storage_site]],"="&amp;$B430,Infrastructure[[cluster]:[cluster]],"="&amp;$B$427)/1000,"")</f>
        <v>0</v>
      </c>
      <c r="AF430" s="41">
        <f>IFERROR(SUMIFS(Infrastructure[2050],Infrastructure[[variable_type]:[variable_type]],"CO2_transported",Infrastructure[[storage_site]:[storage_site]],"="&amp;$B430,Infrastructure[[cluster]:[cluster]],"="&amp;$B$427)/1000,"")</f>
        <v>0</v>
      </c>
      <c r="AG430" s="41">
        <f>IFERROR(SUMIFS(Infrastructure[2051],Infrastructure[[variable_type]:[variable_type]],"CO2_transported",Infrastructure[[storage_site]:[storage_site]],"="&amp;$B430,Infrastructure[[cluster]:[cluster]],"="&amp;$B$427)/1000,"")</f>
        <v>0</v>
      </c>
    </row>
    <row r="431" spans="2:33" x14ac:dyDescent="0.45">
      <c r="B431" s="6" t="s">
        <v>73</v>
      </c>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row>
    <row r="432" spans="2:33" x14ac:dyDescent="0.45">
      <c r="B432" s="24" t="s">
        <v>80</v>
      </c>
      <c r="C432" s="41">
        <f>IFERROR(SUMIFS(Infrastructure[2021],Infrastructure[[variable_type]:[variable_type]],"CO2_transported",Infrastructure[[storage_site]:[storage_site]],"="&amp;$B432,Infrastructure[[cluster]:[cluster]],"="&amp;$B$431)/1000,"")</f>
        <v>0</v>
      </c>
      <c r="D432" s="41">
        <f>IFERROR(SUMIFS(Infrastructure[2022],Infrastructure[[variable_type]:[variable_type]],"CO2_transported",Infrastructure[[storage_site]:[storage_site]],"="&amp;$B432,Infrastructure[[cluster]:[cluster]],"="&amp;$B$431)/1000,"")</f>
        <v>0</v>
      </c>
      <c r="E432" s="41">
        <f>IFERROR(SUMIFS(Infrastructure[2023],Infrastructure[[variable_type]:[variable_type]],"CO2_transported",Infrastructure[[storage_site]:[storage_site]],"="&amp;$B432,Infrastructure[[cluster]:[cluster]],"="&amp;$B$431)/1000,"")</f>
        <v>0</v>
      </c>
      <c r="F432" s="41">
        <f>IFERROR(SUMIFS(Infrastructure[2024],Infrastructure[[variable_type]:[variable_type]],"CO2_transported",Infrastructure[[storage_site]:[storage_site]],"="&amp;$B432,Infrastructure[[cluster]:[cluster]],"="&amp;$B$431)/1000,"")</f>
        <v>0</v>
      </c>
      <c r="G432" s="41">
        <f>IFERROR(SUMIFS(Infrastructure[2025],Infrastructure[[variable_type]:[variable_type]],"CO2_transported",Infrastructure[[storage_site]:[storage_site]],"="&amp;$B432,Infrastructure[[cluster]:[cluster]],"="&amp;$B$431)/1000,"")</f>
        <v>0</v>
      </c>
      <c r="H432" s="41">
        <f>IFERROR(SUMIFS(Infrastructure[2026],Infrastructure[[variable_type]:[variable_type]],"CO2_transported",Infrastructure[[storage_site]:[storage_site]],"="&amp;$B432,Infrastructure[[cluster]:[cluster]],"="&amp;$B$431)/1000,"")</f>
        <v>0</v>
      </c>
      <c r="I432" s="41">
        <f>IFERROR(SUMIFS(Infrastructure[2027],Infrastructure[[variable_type]:[variable_type]],"CO2_transported",Infrastructure[[storage_site]:[storage_site]],"="&amp;$B432,Infrastructure[[cluster]:[cluster]],"="&amp;$B$431)/1000,"")</f>
        <v>0</v>
      </c>
      <c r="J432" s="41">
        <f>IFERROR(SUMIFS(Infrastructure[2028],Infrastructure[[variable_type]:[variable_type]],"CO2_transported",Infrastructure[[storage_site]:[storage_site]],"="&amp;$B432,Infrastructure[[cluster]:[cluster]],"="&amp;$B$431)/1000,"")</f>
        <v>0</v>
      </c>
      <c r="K432" s="41">
        <f>IFERROR(SUMIFS(Infrastructure[2029],Infrastructure[[variable_type]:[variable_type]],"CO2_transported",Infrastructure[[storage_site]:[storage_site]],"="&amp;$B432,Infrastructure[[cluster]:[cluster]],"="&amp;$B$431)/1000,"")</f>
        <v>0</v>
      </c>
      <c r="L432" s="41">
        <f>IFERROR(SUMIFS(Infrastructure[2030],Infrastructure[[variable_type]:[variable_type]],"CO2_transported",Infrastructure[[storage_site]:[storage_site]],"="&amp;$B432,Infrastructure[[cluster]:[cluster]],"="&amp;$B$431)/1000,"")</f>
        <v>0</v>
      </c>
      <c r="M432" s="41">
        <f>IFERROR(SUMIFS(Infrastructure[2031],Infrastructure[[variable_type]:[variable_type]],"CO2_transported",Infrastructure[[storage_site]:[storage_site]],"="&amp;$B432,Infrastructure[[cluster]:[cluster]],"="&amp;$B$431)/1000,"")</f>
        <v>0</v>
      </c>
      <c r="N432" s="41">
        <f>IFERROR(SUMIFS(Infrastructure[2032],Infrastructure[[variable_type]:[variable_type]],"CO2_transported",Infrastructure[[storage_site]:[storage_site]],"="&amp;$B432,Infrastructure[[cluster]:[cluster]],"="&amp;$B$431)/1000,"")</f>
        <v>0</v>
      </c>
      <c r="O432" s="41">
        <f>IFERROR(SUMIFS(Infrastructure[2033],Infrastructure[[variable_type]:[variable_type]],"CO2_transported",Infrastructure[[storage_site]:[storage_site]],"="&amp;$B432,Infrastructure[[cluster]:[cluster]],"="&amp;$B$431)/1000,"")</f>
        <v>0</v>
      </c>
      <c r="P432" s="41">
        <f>IFERROR(SUMIFS(Infrastructure[2034],Infrastructure[[variable_type]:[variable_type]],"CO2_transported",Infrastructure[[storage_site]:[storage_site]],"="&amp;$B432,Infrastructure[[cluster]:[cluster]],"="&amp;$B$431)/1000,"")</f>
        <v>0</v>
      </c>
      <c r="Q432" s="41">
        <f>IFERROR(SUMIFS(Infrastructure[2035],Infrastructure[[variable_type]:[variable_type]],"CO2_transported",Infrastructure[[storage_site]:[storage_site]],"="&amp;$B432,Infrastructure[[cluster]:[cluster]],"="&amp;$B$431)/1000,"")</f>
        <v>0</v>
      </c>
      <c r="R432" s="41">
        <f>IFERROR(SUMIFS(Infrastructure[2036],Infrastructure[[variable_type]:[variable_type]],"CO2_transported",Infrastructure[[storage_site]:[storage_site]],"="&amp;$B432,Infrastructure[[cluster]:[cluster]],"="&amp;$B$431)/1000,"")</f>
        <v>0</v>
      </c>
      <c r="S432" s="41">
        <f>IFERROR(SUMIFS(Infrastructure[2037],Infrastructure[[variable_type]:[variable_type]],"CO2_transported",Infrastructure[[storage_site]:[storage_site]],"="&amp;$B432,Infrastructure[[cluster]:[cluster]],"="&amp;$B$431)/1000,"")</f>
        <v>0</v>
      </c>
      <c r="T432" s="41">
        <f>IFERROR(SUMIFS(Infrastructure[2038],Infrastructure[[variable_type]:[variable_type]],"CO2_transported",Infrastructure[[storage_site]:[storage_site]],"="&amp;$B432,Infrastructure[[cluster]:[cluster]],"="&amp;$B$431)/1000,"")</f>
        <v>0</v>
      </c>
      <c r="U432" s="41">
        <f>IFERROR(SUMIFS(Infrastructure[2039],Infrastructure[[variable_type]:[variable_type]],"CO2_transported",Infrastructure[[storage_site]:[storage_site]],"="&amp;$B432,Infrastructure[[cluster]:[cluster]],"="&amp;$B$431)/1000,"")</f>
        <v>0</v>
      </c>
      <c r="V432" s="41">
        <f>IFERROR(SUMIFS(Infrastructure[2040],Infrastructure[[variable_type]:[variable_type]],"CO2_transported",Infrastructure[[storage_site]:[storage_site]],"="&amp;$B432,Infrastructure[[cluster]:[cluster]],"="&amp;$B$431)/1000,"")</f>
        <v>0</v>
      </c>
      <c r="W432" s="41">
        <f>IFERROR(SUMIFS(Infrastructure[2041],Infrastructure[[variable_type]:[variable_type]],"CO2_transported",Infrastructure[[storage_site]:[storage_site]],"="&amp;$B432,Infrastructure[[cluster]:[cluster]],"="&amp;$B$431)/1000,"")</f>
        <v>0</v>
      </c>
      <c r="X432" s="41">
        <f>IFERROR(SUMIFS(Infrastructure[2042],Infrastructure[[variable_type]:[variable_type]],"CO2_transported",Infrastructure[[storage_site]:[storage_site]],"="&amp;$B432,Infrastructure[[cluster]:[cluster]],"="&amp;$B$431)/1000,"")</f>
        <v>0</v>
      </c>
      <c r="Y432" s="41">
        <f>IFERROR(SUMIFS(Infrastructure[2043],Infrastructure[[variable_type]:[variable_type]],"CO2_transported",Infrastructure[[storage_site]:[storage_site]],"="&amp;$B432,Infrastructure[[cluster]:[cluster]],"="&amp;$B$431)/1000,"")</f>
        <v>0</v>
      </c>
      <c r="Z432" s="41">
        <f>IFERROR(SUMIFS(Infrastructure[2044],Infrastructure[[variable_type]:[variable_type]],"CO2_transported",Infrastructure[[storage_site]:[storage_site]],"="&amp;$B432,Infrastructure[[cluster]:[cluster]],"="&amp;$B$431)/1000,"")</f>
        <v>0</v>
      </c>
      <c r="AA432" s="41">
        <f>IFERROR(SUMIFS(Infrastructure[2045],Infrastructure[[variable_type]:[variable_type]],"CO2_transported",Infrastructure[[storage_site]:[storage_site]],"="&amp;$B432,Infrastructure[[cluster]:[cluster]],"="&amp;$B$431)/1000,"")</f>
        <v>0</v>
      </c>
      <c r="AB432" s="41">
        <f>IFERROR(SUMIFS(Infrastructure[2046],Infrastructure[[variable_type]:[variable_type]],"CO2_transported",Infrastructure[[storage_site]:[storage_site]],"="&amp;$B432,Infrastructure[[cluster]:[cluster]],"="&amp;$B$431)/1000,"")</f>
        <v>0</v>
      </c>
      <c r="AC432" s="41">
        <f>IFERROR(SUMIFS(Infrastructure[2047],Infrastructure[[variable_type]:[variable_type]],"CO2_transported",Infrastructure[[storage_site]:[storage_site]],"="&amp;$B432,Infrastructure[[cluster]:[cluster]],"="&amp;$B$431)/1000,"")</f>
        <v>0</v>
      </c>
      <c r="AD432" s="41">
        <f>IFERROR(SUMIFS(Infrastructure[2048],Infrastructure[[variable_type]:[variable_type]],"CO2_transported",Infrastructure[[storage_site]:[storage_site]],"="&amp;$B432,Infrastructure[[cluster]:[cluster]],"="&amp;$B$431)/1000,"")</f>
        <v>0</v>
      </c>
      <c r="AE432" s="41">
        <f>IFERROR(SUMIFS(Infrastructure[2049],Infrastructure[[variable_type]:[variable_type]],"CO2_transported",Infrastructure[[storage_site]:[storage_site]],"="&amp;$B432,Infrastructure[[cluster]:[cluster]],"="&amp;$B$431)/1000,"")</f>
        <v>0</v>
      </c>
      <c r="AF432" s="41">
        <f>IFERROR(SUMIFS(Infrastructure[2050],Infrastructure[[variable_type]:[variable_type]],"CO2_transported",Infrastructure[[storage_site]:[storage_site]],"="&amp;$B432,Infrastructure[[cluster]:[cluster]],"="&amp;$B$431)/1000,"")</f>
        <v>0</v>
      </c>
      <c r="AG432" s="41">
        <f>IFERROR(SUMIFS(Infrastructure[2051],Infrastructure[[variable_type]:[variable_type]],"CO2_transported",Infrastructure[[storage_site]:[storage_site]],"="&amp;$B432,Infrastructure[[cluster]:[cluster]],"="&amp;$B$431)/1000,"")</f>
        <v>0</v>
      </c>
    </row>
    <row r="433" spans="2:33" x14ac:dyDescent="0.45">
      <c r="B433" s="24" t="s">
        <v>81</v>
      </c>
      <c r="C433" s="41">
        <f>IFERROR(SUMIFS(Infrastructure[2021],Infrastructure[[variable_type]:[variable_type]],"CO2_transported",Infrastructure[[storage_site]:[storage_site]],"="&amp;$B433,Infrastructure[[cluster]:[cluster]],"="&amp;$B$431)/1000,"")</f>
        <v>0</v>
      </c>
      <c r="D433" s="41">
        <f>IFERROR(SUMIFS(Infrastructure[2022],Infrastructure[[variable_type]:[variable_type]],"CO2_transported",Infrastructure[[storage_site]:[storage_site]],"="&amp;$B433,Infrastructure[[cluster]:[cluster]],"="&amp;$B$431)/1000,"")</f>
        <v>0</v>
      </c>
      <c r="E433" s="41">
        <f>IFERROR(SUMIFS(Infrastructure[2023],Infrastructure[[variable_type]:[variable_type]],"CO2_transported",Infrastructure[[storage_site]:[storage_site]],"="&amp;$B433,Infrastructure[[cluster]:[cluster]],"="&amp;$B$431)/1000,"")</f>
        <v>0</v>
      </c>
      <c r="F433" s="41">
        <f>IFERROR(SUMIFS(Infrastructure[2024],Infrastructure[[variable_type]:[variable_type]],"CO2_transported",Infrastructure[[storage_site]:[storage_site]],"="&amp;$B433,Infrastructure[[cluster]:[cluster]],"="&amp;$B$431)/1000,"")</f>
        <v>0</v>
      </c>
      <c r="G433" s="41">
        <f>IFERROR(SUMIFS(Infrastructure[2025],Infrastructure[[variable_type]:[variable_type]],"CO2_transported",Infrastructure[[storage_site]:[storage_site]],"="&amp;$B433,Infrastructure[[cluster]:[cluster]],"="&amp;$B$431)/1000,"")</f>
        <v>0</v>
      </c>
      <c r="H433" s="41">
        <f>IFERROR(SUMIFS(Infrastructure[2026],Infrastructure[[variable_type]:[variable_type]],"CO2_transported",Infrastructure[[storage_site]:[storage_site]],"="&amp;$B433,Infrastructure[[cluster]:[cluster]],"="&amp;$B$431)/1000,"")</f>
        <v>0</v>
      </c>
      <c r="I433" s="41">
        <f>IFERROR(SUMIFS(Infrastructure[2027],Infrastructure[[variable_type]:[variable_type]],"CO2_transported",Infrastructure[[storage_site]:[storage_site]],"="&amp;$B433,Infrastructure[[cluster]:[cluster]],"="&amp;$B$431)/1000,"")</f>
        <v>0</v>
      </c>
      <c r="J433" s="41">
        <f>IFERROR(SUMIFS(Infrastructure[2028],Infrastructure[[variable_type]:[variable_type]],"CO2_transported",Infrastructure[[storage_site]:[storage_site]],"="&amp;$B433,Infrastructure[[cluster]:[cluster]],"="&amp;$B$431)/1000,"")</f>
        <v>0</v>
      </c>
      <c r="K433" s="41">
        <f>IFERROR(SUMIFS(Infrastructure[2029],Infrastructure[[variable_type]:[variable_type]],"CO2_transported",Infrastructure[[storage_site]:[storage_site]],"="&amp;$B433,Infrastructure[[cluster]:[cluster]],"="&amp;$B$431)/1000,"")</f>
        <v>0</v>
      </c>
      <c r="L433" s="41">
        <f>IFERROR(SUMIFS(Infrastructure[2030],Infrastructure[[variable_type]:[variable_type]],"CO2_transported",Infrastructure[[storage_site]:[storage_site]],"="&amp;$B433,Infrastructure[[cluster]:[cluster]],"="&amp;$B$431)/1000,"")</f>
        <v>0</v>
      </c>
      <c r="M433" s="41">
        <f>IFERROR(SUMIFS(Infrastructure[2031],Infrastructure[[variable_type]:[variable_type]],"CO2_transported",Infrastructure[[storage_site]:[storage_site]],"="&amp;$B433,Infrastructure[[cluster]:[cluster]],"="&amp;$B$431)/1000,"")</f>
        <v>0</v>
      </c>
      <c r="N433" s="41">
        <f>IFERROR(SUMIFS(Infrastructure[2032],Infrastructure[[variable_type]:[variable_type]],"CO2_transported",Infrastructure[[storage_site]:[storage_site]],"="&amp;$B433,Infrastructure[[cluster]:[cluster]],"="&amp;$B$431)/1000,"")</f>
        <v>0</v>
      </c>
      <c r="O433" s="41">
        <f>IFERROR(SUMIFS(Infrastructure[2033],Infrastructure[[variable_type]:[variable_type]],"CO2_transported",Infrastructure[[storage_site]:[storage_site]],"="&amp;$B433,Infrastructure[[cluster]:[cluster]],"="&amp;$B$431)/1000,"")</f>
        <v>0</v>
      </c>
      <c r="P433" s="41">
        <f>IFERROR(SUMIFS(Infrastructure[2034],Infrastructure[[variable_type]:[variable_type]],"CO2_transported",Infrastructure[[storage_site]:[storage_site]],"="&amp;$B433,Infrastructure[[cluster]:[cluster]],"="&amp;$B$431)/1000,"")</f>
        <v>0</v>
      </c>
      <c r="Q433" s="41">
        <f>IFERROR(SUMIFS(Infrastructure[2035],Infrastructure[[variable_type]:[variable_type]],"CO2_transported",Infrastructure[[storage_site]:[storage_site]],"="&amp;$B433,Infrastructure[[cluster]:[cluster]],"="&amp;$B$431)/1000,"")</f>
        <v>0</v>
      </c>
      <c r="R433" s="41">
        <f>IFERROR(SUMIFS(Infrastructure[2036],Infrastructure[[variable_type]:[variable_type]],"CO2_transported",Infrastructure[[storage_site]:[storage_site]],"="&amp;$B433,Infrastructure[[cluster]:[cluster]],"="&amp;$B$431)/1000,"")</f>
        <v>0</v>
      </c>
      <c r="S433" s="41">
        <f>IFERROR(SUMIFS(Infrastructure[2037],Infrastructure[[variable_type]:[variable_type]],"CO2_transported",Infrastructure[[storage_site]:[storage_site]],"="&amp;$B433,Infrastructure[[cluster]:[cluster]],"="&amp;$B$431)/1000,"")</f>
        <v>0</v>
      </c>
      <c r="T433" s="41">
        <f>IFERROR(SUMIFS(Infrastructure[2038],Infrastructure[[variable_type]:[variable_type]],"CO2_transported",Infrastructure[[storage_site]:[storage_site]],"="&amp;$B433,Infrastructure[[cluster]:[cluster]],"="&amp;$B$431)/1000,"")</f>
        <v>0</v>
      </c>
      <c r="U433" s="41">
        <f>IFERROR(SUMIFS(Infrastructure[2039],Infrastructure[[variable_type]:[variable_type]],"CO2_transported",Infrastructure[[storage_site]:[storage_site]],"="&amp;$B433,Infrastructure[[cluster]:[cluster]],"="&amp;$B$431)/1000,"")</f>
        <v>0</v>
      </c>
      <c r="V433" s="41">
        <f>IFERROR(SUMIFS(Infrastructure[2040],Infrastructure[[variable_type]:[variable_type]],"CO2_transported",Infrastructure[[storage_site]:[storage_site]],"="&amp;$B433,Infrastructure[[cluster]:[cluster]],"="&amp;$B$431)/1000,"")</f>
        <v>0</v>
      </c>
      <c r="W433" s="41">
        <f>IFERROR(SUMIFS(Infrastructure[2041],Infrastructure[[variable_type]:[variable_type]],"CO2_transported",Infrastructure[[storage_site]:[storage_site]],"="&amp;$B433,Infrastructure[[cluster]:[cluster]],"="&amp;$B$431)/1000,"")</f>
        <v>0</v>
      </c>
      <c r="X433" s="41">
        <f>IFERROR(SUMIFS(Infrastructure[2042],Infrastructure[[variable_type]:[variable_type]],"CO2_transported",Infrastructure[[storage_site]:[storage_site]],"="&amp;$B433,Infrastructure[[cluster]:[cluster]],"="&amp;$B$431)/1000,"")</f>
        <v>0</v>
      </c>
      <c r="Y433" s="41">
        <f>IFERROR(SUMIFS(Infrastructure[2043],Infrastructure[[variable_type]:[variable_type]],"CO2_transported",Infrastructure[[storage_site]:[storage_site]],"="&amp;$B433,Infrastructure[[cluster]:[cluster]],"="&amp;$B$431)/1000,"")</f>
        <v>0</v>
      </c>
      <c r="Z433" s="41">
        <f>IFERROR(SUMIFS(Infrastructure[2044],Infrastructure[[variable_type]:[variable_type]],"CO2_transported",Infrastructure[[storage_site]:[storage_site]],"="&amp;$B433,Infrastructure[[cluster]:[cluster]],"="&amp;$B$431)/1000,"")</f>
        <v>0</v>
      </c>
      <c r="AA433" s="41">
        <f>IFERROR(SUMIFS(Infrastructure[2045],Infrastructure[[variable_type]:[variable_type]],"CO2_transported",Infrastructure[[storage_site]:[storage_site]],"="&amp;$B433,Infrastructure[[cluster]:[cluster]],"="&amp;$B$431)/1000,"")</f>
        <v>0</v>
      </c>
      <c r="AB433" s="41">
        <f>IFERROR(SUMIFS(Infrastructure[2046],Infrastructure[[variable_type]:[variable_type]],"CO2_transported",Infrastructure[[storage_site]:[storage_site]],"="&amp;$B433,Infrastructure[[cluster]:[cluster]],"="&amp;$B$431)/1000,"")</f>
        <v>0</v>
      </c>
      <c r="AC433" s="41">
        <f>IFERROR(SUMIFS(Infrastructure[2047],Infrastructure[[variable_type]:[variable_type]],"CO2_transported",Infrastructure[[storage_site]:[storage_site]],"="&amp;$B433,Infrastructure[[cluster]:[cluster]],"="&amp;$B$431)/1000,"")</f>
        <v>0</v>
      </c>
      <c r="AD433" s="41">
        <f>IFERROR(SUMIFS(Infrastructure[2048],Infrastructure[[variable_type]:[variable_type]],"CO2_transported",Infrastructure[[storage_site]:[storage_site]],"="&amp;$B433,Infrastructure[[cluster]:[cluster]],"="&amp;$B$431)/1000,"")</f>
        <v>0</v>
      </c>
      <c r="AE433" s="41">
        <f>IFERROR(SUMIFS(Infrastructure[2049],Infrastructure[[variable_type]:[variable_type]],"CO2_transported",Infrastructure[[storage_site]:[storage_site]],"="&amp;$B433,Infrastructure[[cluster]:[cluster]],"="&amp;$B$431)/1000,"")</f>
        <v>0</v>
      </c>
      <c r="AF433" s="41">
        <f>IFERROR(SUMIFS(Infrastructure[2050],Infrastructure[[variable_type]:[variable_type]],"CO2_transported",Infrastructure[[storage_site]:[storage_site]],"="&amp;$B433,Infrastructure[[cluster]:[cluster]],"="&amp;$B$431)/1000,"")</f>
        <v>0</v>
      </c>
      <c r="AG433" s="41">
        <f>IFERROR(SUMIFS(Infrastructure[2051],Infrastructure[[variable_type]:[variable_type]],"CO2_transported",Infrastructure[[storage_site]:[storage_site]],"="&amp;$B433,Infrastructure[[cluster]:[cluster]],"="&amp;$B$431)/1000,"")</f>
        <v>0</v>
      </c>
    </row>
    <row r="434" spans="2:33" x14ac:dyDescent="0.45">
      <c r="B434" s="24" t="s">
        <v>79</v>
      </c>
      <c r="C434" s="41">
        <f>IFERROR(SUMIFS(Infrastructure[2021],Infrastructure[[variable_type]:[variable_type]],"CO2_transported",Infrastructure[[storage_site]:[storage_site]],"="&amp;$B434,Infrastructure[[cluster]:[cluster]],"="&amp;$B$431)/1000,"")</f>
        <v>0</v>
      </c>
      <c r="D434" s="41">
        <f>IFERROR(SUMIFS(Infrastructure[2022],Infrastructure[[variable_type]:[variable_type]],"CO2_transported",Infrastructure[[storage_site]:[storage_site]],"="&amp;$B434,Infrastructure[[cluster]:[cluster]],"="&amp;$B$431)/1000,"")</f>
        <v>0</v>
      </c>
      <c r="E434" s="41">
        <f>IFERROR(SUMIFS(Infrastructure[2023],Infrastructure[[variable_type]:[variable_type]],"CO2_transported",Infrastructure[[storage_site]:[storage_site]],"="&amp;$B434,Infrastructure[[cluster]:[cluster]],"="&amp;$B$431)/1000,"")</f>
        <v>0</v>
      </c>
      <c r="F434" s="41">
        <f>IFERROR(SUMIFS(Infrastructure[2024],Infrastructure[[variable_type]:[variable_type]],"CO2_transported",Infrastructure[[storage_site]:[storage_site]],"="&amp;$B434,Infrastructure[[cluster]:[cluster]],"="&amp;$B$431)/1000,"")</f>
        <v>0</v>
      </c>
      <c r="G434" s="41">
        <f>IFERROR(SUMIFS(Infrastructure[2025],Infrastructure[[variable_type]:[variable_type]],"CO2_transported",Infrastructure[[storage_site]:[storage_site]],"="&amp;$B434,Infrastructure[[cluster]:[cluster]],"="&amp;$B$431)/1000,"")</f>
        <v>0</v>
      </c>
      <c r="H434" s="41">
        <f>IFERROR(SUMIFS(Infrastructure[2026],Infrastructure[[variable_type]:[variable_type]],"CO2_transported",Infrastructure[[storage_site]:[storage_site]],"="&amp;$B434,Infrastructure[[cluster]:[cluster]],"="&amp;$B$431)/1000,"")</f>
        <v>0</v>
      </c>
      <c r="I434" s="41">
        <f>IFERROR(SUMIFS(Infrastructure[2027],Infrastructure[[variable_type]:[variable_type]],"CO2_transported",Infrastructure[[storage_site]:[storage_site]],"="&amp;$B434,Infrastructure[[cluster]:[cluster]],"="&amp;$B$431)/1000,"")</f>
        <v>0</v>
      </c>
      <c r="J434" s="41">
        <f>IFERROR(SUMIFS(Infrastructure[2028],Infrastructure[[variable_type]:[variable_type]],"CO2_transported",Infrastructure[[storage_site]:[storage_site]],"="&amp;$B434,Infrastructure[[cluster]:[cluster]],"="&amp;$B$431)/1000,"")</f>
        <v>0</v>
      </c>
      <c r="K434" s="41">
        <f>IFERROR(SUMIFS(Infrastructure[2029],Infrastructure[[variable_type]:[variable_type]],"CO2_transported",Infrastructure[[storage_site]:[storage_site]],"="&amp;$B434,Infrastructure[[cluster]:[cluster]],"="&amp;$B$431)/1000,"")</f>
        <v>0</v>
      </c>
      <c r="L434" s="41">
        <f>IFERROR(SUMIFS(Infrastructure[2030],Infrastructure[[variable_type]:[variable_type]],"CO2_transported",Infrastructure[[storage_site]:[storage_site]],"="&amp;$B434,Infrastructure[[cluster]:[cluster]],"="&amp;$B$431)/1000,"")</f>
        <v>0</v>
      </c>
      <c r="M434" s="41">
        <f>IFERROR(SUMIFS(Infrastructure[2031],Infrastructure[[variable_type]:[variable_type]],"CO2_transported",Infrastructure[[storage_site]:[storage_site]],"="&amp;$B434,Infrastructure[[cluster]:[cluster]],"="&amp;$B$431)/1000,"")</f>
        <v>0</v>
      </c>
      <c r="N434" s="41">
        <f>IFERROR(SUMIFS(Infrastructure[2032],Infrastructure[[variable_type]:[variable_type]],"CO2_transported",Infrastructure[[storage_site]:[storage_site]],"="&amp;$B434,Infrastructure[[cluster]:[cluster]],"="&amp;$B$431)/1000,"")</f>
        <v>0</v>
      </c>
      <c r="O434" s="41">
        <f>IFERROR(SUMIFS(Infrastructure[2033],Infrastructure[[variable_type]:[variable_type]],"CO2_transported",Infrastructure[[storage_site]:[storage_site]],"="&amp;$B434,Infrastructure[[cluster]:[cluster]],"="&amp;$B$431)/1000,"")</f>
        <v>0</v>
      </c>
      <c r="P434" s="41">
        <f>IFERROR(SUMIFS(Infrastructure[2034],Infrastructure[[variable_type]:[variable_type]],"CO2_transported",Infrastructure[[storage_site]:[storage_site]],"="&amp;$B434,Infrastructure[[cluster]:[cluster]],"="&amp;$B$431)/1000,"")</f>
        <v>0</v>
      </c>
      <c r="Q434" s="41">
        <f>IFERROR(SUMIFS(Infrastructure[2035],Infrastructure[[variable_type]:[variable_type]],"CO2_transported",Infrastructure[[storage_site]:[storage_site]],"="&amp;$B434,Infrastructure[[cluster]:[cluster]],"="&amp;$B$431)/1000,"")</f>
        <v>0</v>
      </c>
      <c r="R434" s="41">
        <f>IFERROR(SUMIFS(Infrastructure[2036],Infrastructure[[variable_type]:[variable_type]],"CO2_transported",Infrastructure[[storage_site]:[storage_site]],"="&amp;$B434,Infrastructure[[cluster]:[cluster]],"="&amp;$B$431)/1000,"")</f>
        <v>0</v>
      </c>
      <c r="S434" s="41">
        <f>IFERROR(SUMIFS(Infrastructure[2037],Infrastructure[[variable_type]:[variable_type]],"CO2_transported",Infrastructure[[storage_site]:[storage_site]],"="&amp;$B434,Infrastructure[[cluster]:[cluster]],"="&amp;$B$431)/1000,"")</f>
        <v>0</v>
      </c>
      <c r="T434" s="41">
        <f>IFERROR(SUMIFS(Infrastructure[2038],Infrastructure[[variable_type]:[variable_type]],"CO2_transported",Infrastructure[[storage_site]:[storage_site]],"="&amp;$B434,Infrastructure[[cluster]:[cluster]],"="&amp;$B$431)/1000,"")</f>
        <v>0</v>
      </c>
      <c r="U434" s="41">
        <f>IFERROR(SUMIFS(Infrastructure[2039],Infrastructure[[variable_type]:[variable_type]],"CO2_transported",Infrastructure[[storage_site]:[storage_site]],"="&amp;$B434,Infrastructure[[cluster]:[cluster]],"="&amp;$B$431)/1000,"")</f>
        <v>0</v>
      </c>
      <c r="V434" s="41">
        <f>IFERROR(SUMIFS(Infrastructure[2040],Infrastructure[[variable_type]:[variable_type]],"CO2_transported",Infrastructure[[storage_site]:[storage_site]],"="&amp;$B434,Infrastructure[[cluster]:[cluster]],"="&amp;$B$431)/1000,"")</f>
        <v>0</v>
      </c>
      <c r="W434" s="41">
        <f>IFERROR(SUMIFS(Infrastructure[2041],Infrastructure[[variable_type]:[variable_type]],"CO2_transported",Infrastructure[[storage_site]:[storage_site]],"="&amp;$B434,Infrastructure[[cluster]:[cluster]],"="&amp;$B$431)/1000,"")</f>
        <v>0</v>
      </c>
      <c r="X434" s="41">
        <f>IFERROR(SUMIFS(Infrastructure[2042],Infrastructure[[variable_type]:[variable_type]],"CO2_transported",Infrastructure[[storage_site]:[storage_site]],"="&amp;$B434,Infrastructure[[cluster]:[cluster]],"="&amp;$B$431)/1000,"")</f>
        <v>0</v>
      </c>
      <c r="Y434" s="41">
        <f>IFERROR(SUMIFS(Infrastructure[2043],Infrastructure[[variable_type]:[variable_type]],"CO2_transported",Infrastructure[[storage_site]:[storage_site]],"="&amp;$B434,Infrastructure[[cluster]:[cluster]],"="&amp;$B$431)/1000,"")</f>
        <v>0</v>
      </c>
      <c r="Z434" s="41">
        <f>IFERROR(SUMIFS(Infrastructure[2044],Infrastructure[[variable_type]:[variable_type]],"CO2_transported",Infrastructure[[storage_site]:[storage_site]],"="&amp;$B434,Infrastructure[[cluster]:[cluster]],"="&amp;$B$431)/1000,"")</f>
        <v>0</v>
      </c>
      <c r="AA434" s="41">
        <f>IFERROR(SUMIFS(Infrastructure[2045],Infrastructure[[variable_type]:[variable_type]],"CO2_transported",Infrastructure[[storage_site]:[storage_site]],"="&amp;$B434,Infrastructure[[cluster]:[cluster]],"="&amp;$B$431)/1000,"")</f>
        <v>0</v>
      </c>
      <c r="AB434" s="41">
        <f>IFERROR(SUMIFS(Infrastructure[2046],Infrastructure[[variable_type]:[variable_type]],"CO2_transported",Infrastructure[[storage_site]:[storage_site]],"="&amp;$B434,Infrastructure[[cluster]:[cluster]],"="&amp;$B$431)/1000,"")</f>
        <v>0</v>
      </c>
      <c r="AC434" s="41">
        <f>IFERROR(SUMIFS(Infrastructure[2047],Infrastructure[[variable_type]:[variable_type]],"CO2_transported",Infrastructure[[storage_site]:[storage_site]],"="&amp;$B434,Infrastructure[[cluster]:[cluster]],"="&amp;$B$431)/1000,"")</f>
        <v>0</v>
      </c>
      <c r="AD434" s="41">
        <f>IFERROR(SUMIFS(Infrastructure[2048],Infrastructure[[variable_type]:[variable_type]],"CO2_transported",Infrastructure[[storage_site]:[storage_site]],"="&amp;$B434,Infrastructure[[cluster]:[cluster]],"="&amp;$B$431)/1000,"")</f>
        <v>0</v>
      </c>
      <c r="AE434" s="41">
        <f>IFERROR(SUMIFS(Infrastructure[2049],Infrastructure[[variable_type]:[variable_type]],"CO2_transported",Infrastructure[[storage_site]:[storage_site]],"="&amp;$B434,Infrastructure[[cluster]:[cluster]],"="&amp;$B$431)/1000,"")</f>
        <v>0</v>
      </c>
      <c r="AF434" s="41">
        <f>IFERROR(SUMIFS(Infrastructure[2050],Infrastructure[[variable_type]:[variable_type]],"CO2_transported",Infrastructure[[storage_site]:[storage_site]],"="&amp;$B434,Infrastructure[[cluster]:[cluster]],"="&amp;$B$431)/1000,"")</f>
        <v>0</v>
      </c>
      <c r="AG434" s="41">
        <f>IFERROR(SUMIFS(Infrastructure[2051],Infrastructure[[variable_type]:[variable_type]],"CO2_transported",Infrastructure[[storage_site]:[storage_site]],"="&amp;$B434,Infrastructure[[cluster]:[cluster]],"="&amp;$B$431)/1000,"")</f>
        <v>0</v>
      </c>
    </row>
    <row r="435" spans="2:33" x14ac:dyDescent="0.45">
      <c r="B435" s="6" t="s">
        <v>74</v>
      </c>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row>
    <row r="436" spans="2:33" x14ac:dyDescent="0.45">
      <c r="B436" s="24" t="s">
        <v>80</v>
      </c>
      <c r="C436" s="41">
        <f>IFERROR(SUMIFS(Infrastructure[2021],Infrastructure[[variable_type]:[variable_type]],"CO2_transported",Infrastructure[[storage_site]:[storage_site]],"="&amp;$B436,Infrastructure[[cluster]:[cluster]],"="&amp;$B$435)/1000,"")</f>
        <v>0</v>
      </c>
      <c r="D436" s="41">
        <f>IFERROR(SUMIFS(Infrastructure[2022],Infrastructure[[variable_type]:[variable_type]],"CO2_transported",Infrastructure[[storage_site]:[storage_site]],"="&amp;$B436,Infrastructure[[cluster]:[cluster]],"="&amp;$B$435)/1000,"")</f>
        <v>0</v>
      </c>
      <c r="E436" s="41">
        <f>IFERROR(SUMIFS(Infrastructure[2023],Infrastructure[[variable_type]:[variable_type]],"CO2_transported",Infrastructure[[storage_site]:[storage_site]],"="&amp;$B436,Infrastructure[[cluster]:[cluster]],"="&amp;$B$435)/1000,"")</f>
        <v>0</v>
      </c>
      <c r="F436" s="41">
        <f>IFERROR(SUMIFS(Infrastructure[2024],Infrastructure[[variable_type]:[variable_type]],"CO2_transported",Infrastructure[[storage_site]:[storage_site]],"="&amp;$B436,Infrastructure[[cluster]:[cluster]],"="&amp;$B$435)/1000,"")</f>
        <v>0</v>
      </c>
      <c r="G436" s="41">
        <f>IFERROR(SUMIFS(Infrastructure[2025],Infrastructure[[variable_type]:[variable_type]],"CO2_transported",Infrastructure[[storage_site]:[storage_site]],"="&amp;$B436,Infrastructure[[cluster]:[cluster]],"="&amp;$B$435)/1000,"")</f>
        <v>0</v>
      </c>
      <c r="H436" s="41">
        <f>IFERROR(SUMIFS(Infrastructure[2026],Infrastructure[[variable_type]:[variable_type]],"CO2_transported",Infrastructure[[storage_site]:[storage_site]],"="&amp;$B436,Infrastructure[[cluster]:[cluster]],"="&amp;$B$435)/1000,"")</f>
        <v>0</v>
      </c>
      <c r="I436" s="41">
        <f>IFERROR(SUMIFS(Infrastructure[2027],Infrastructure[[variable_type]:[variable_type]],"CO2_transported",Infrastructure[[storage_site]:[storage_site]],"="&amp;$B436,Infrastructure[[cluster]:[cluster]],"="&amp;$B$435)/1000,"")</f>
        <v>0</v>
      </c>
      <c r="J436" s="41">
        <f>IFERROR(SUMIFS(Infrastructure[2028],Infrastructure[[variable_type]:[variable_type]],"CO2_transported",Infrastructure[[storage_site]:[storage_site]],"="&amp;$B436,Infrastructure[[cluster]:[cluster]],"="&amp;$B$435)/1000,"")</f>
        <v>0</v>
      </c>
      <c r="K436" s="41">
        <f>IFERROR(SUMIFS(Infrastructure[2029],Infrastructure[[variable_type]:[variable_type]],"CO2_transported",Infrastructure[[storage_site]:[storage_site]],"="&amp;$B436,Infrastructure[[cluster]:[cluster]],"="&amp;$B$435)/1000,"")</f>
        <v>0</v>
      </c>
      <c r="L436" s="41">
        <f>IFERROR(SUMIFS(Infrastructure[2030],Infrastructure[[variable_type]:[variable_type]],"CO2_transported",Infrastructure[[storage_site]:[storage_site]],"="&amp;$B436,Infrastructure[[cluster]:[cluster]],"="&amp;$B$435)/1000,"")</f>
        <v>0</v>
      </c>
      <c r="M436" s="41">
        <f>IFERROR(SUMIFS(Infrastructure[2031],Infrastructure[[variable_type]:[variable_type]],"CO2_transported",Infrastructure[[storage_site]:[storage_site]],"="&amp;$B436,Infrastructure[[cluster]:[cluster]],"="&amp;$B$435)/1000,"")</f>
        <v>0</v>
      </c>
      <c r="N436" s="41">
        <f>IFERROR(SUMIFS(Infrastructure[2032],Infrastructure[[variable_type]:[variable_type]],"CO2_transported",Infrastructure[[storage_site]:[storage_site]],"="&amp;$B436,Infrastructure[[cluster]:[cluster]],"="&amp;$B$435)/1000,"")</f>
        <v>0</v>
      </c>
      <c r="O436" s="41">
        <f>IFERROR(SUMIFS(Infrastructure[2033],Infrastructure[[variable_type]:[variable_type]],"CO2_transported",Infrastructure[[storage_site]:[storage_site]],"="&amp;$B436,Infrastructure[[cluster]:[cluster]],"="&amp;$B$435)/1000,"")</f>
        <v>0</v>
      </c>
      <c r="P436" s="41">
        <f>IFERROR(SUMIFS(Infrastructure[2034],Infrastructure[[variable_type]:[variable_type]],"CO2_transported",Infrastructure[[storage_site]:[storage_site]],"="&amp;$B436,Infrastructure[[cluster]:[cluster]],"="&amp;$B$435)/1000,"")</f>
        <v>0</v>
      </c>
      <c r="Q436" s="41">
        <f>IFERROR(SUMIFS(Infrastructure[2035],Infrastructure[[variable_type]:[variable_type]],"CO2_transported",Infrastructure[[storage_site]:[storage_site]],"="&amp;$B436,Infrastructure[[cluster]:[cluster]],"="&amp;$B$435)/1000,"")</f>
        <v>0</v>
      </c>
      <c r="R436" s="41">
        <f>IFERROR(SUMIFS(Infrastructure[2036],Infrastructure[[variable_type]:[variable_type]],"CO2_transported",Infrastructure[[storage_site]:[storage_site]],"="&amp;$B436,Infrastructure[[cluster]:[cluster]],"="&amp;$B$435)/1000,"")</f>
        <v>0</v>
      </c>
      <c r="S436" s="41">
        <f>IFERROR(SUMIFS(Infrastructure[2037],Infrastructure[[variable_type]:[variable_type]],"CO2_transported",Infrastructure[[storage_site]:[storage_site]],"="&amp;$B436,Infrastructure[[cluster]:[cluster]],"="&amp;$B$435)/1000,"")</f>
        <v>0</v>
      </c>
      <c r="T436" s="41">
        <f>IFERROR(SUMIFS(Infrastructure[2038],Infrastructure[[variable_type]:[variable_type]],"CO2_transported",Infrastructure[[storage_site]:[storage_site]],"="&amp;$B436,Infrastructure[[cluster]:[cluster]],"="&amp;$B$435)/1000,"")</f>
        <v>0</v>
      </c>
      <c r="U436" s="41">
        <f>IFERROR(SUMIFS(Infrastructure[2039],Infrastructure[[variable_type]:[variable_type]],"CO2_transported",Infrastructure[[storage_site]:[storage_site]],"="&amp;$B436,Infrastructure[[cluster]:[cluster]],"="&amp;$B$435)/1000,"")</f>
        <v>0</v>
      </c>
      <c r="V436" s="41">
        <f>IFERROR(SUMIFS(Infrastructure[2040],Infrastructure[[variable_type]:[variable_type]],"CO2_transported",Infrastructure[[storage_site]:[storage_site]],"="&amp;$B436,Infrastructure[[cluster]:[cluster]],"="&amp;$B$435)/1000,"")</f>
        <v>0</v>
      </c>
      <c r="W436" s="41">
        <f>IFERROR(SUMIFS(Infrastructure[2041],Infrastructure[[variable_type]:[variable_type]],"CO2_transported",Infrastructure[[storage_site]:[storage_site]],"="&amp;$B436,Infrastructure[[cluster]:[cluster]],"="&amp;$B$435)/1000,"")</f>
        <v>0</v>
      </c>
      <c r="X436" s="41">
        <f>IFERROR(SUMIFS(Infrastructure[2042],Infrastructure[[variable_type]:[variable_type]],"CO2_transported",Infrastructure[[storage_site]:[storage_site]],"="&amp;$B436,Infrastructure[[cluster]:[cluster]],"="&amp;$B$435)/1000,"")</f>
        <v>0</v>
      </c>
      <c r="Y436" s="41">
        <f>IFERROR(SUMIFS(Infrastructure[2043],Infrastructure[[variable_type]:[variable_type]],"CO2_transported",Infrastructure[[storage_site]:[storage_site]],"="&amp;$B436,Infrastructure[[cluster]:[cluster]],"="&amp;$B$435)/1000,"")</f>
        <v>0</v>
      </c>
      <c r="Z436" s="41">
        <f>IFERROR(SUMIFS(Infrastructure[2044],Infrastructure[[variable_type]:[variable_type]],"CO2_transported",Infrastructure[[storage_site]:[storage_site]],"="&amp;$B436,Infrastructure[[cluster]:[cluster]],"="&amp;$B$435)/1000,"")</f>
        <v>0</v>
      </c>
      <c r="AA436" s="41">
        <f>IFERROR(SUMIFS(Infrastructure[2045],Infrastructure[[variable_type]:[variable_type]],"CO2_transported",Infrastructure[[storage_site]:[storage_site]],"="&amp;$B436,Infrastructure[[cluster]:[cluster]],"="&amp;$B$435)/1000,"")</f>
        <v>0</v>
      </c>
      <c r="AB436" s="41">
        <f>IFERROR(SUMIFS(Infrastructure[2046],Infrastructure[[variable_type]:[variable_type]],"CO2_transported",Infrastructure[[storage_site]:[storage_site]],"="&amp;$B436,Infrastructure[[cluster]:[cluster]],"="&amp;$B$435)/1000,"")</f>
        <v>0</v>
      </c>
      <c r="AC436" s="41">
        <f>IFERROR(SUMIFS(Infrastructure[2047],Infrastructure[[variable_type]:[variable_type]],"CO2_transported",Infrastructure[[storage_site]:[storage_site]],"="&amp;$B436,Infrastructure[[cluster]:[cluster]],"="&amp;$B$435)/1000,"")</f>
        <v>0</v>
      </c>
      <c r="AD436" s="41">
        <f>IFERROR(SUMIFS(Infrastructure[2048],Infrastructure[[variable_type]:[variable_type]],"CO2_transported",Infrastructure[[storage_site]:[storage_site]],"="&amp;$B436,Infrastructure[[cluster]:[cluster]],"="&amp;$B$435)/1000,"")</f>
        <v>0</v>
      </c>
      <c r="AE436" s="41">
        <f>IFERROR(SUMIFS(Infrastructure[2049],Infrastructure[[variable_type]:[variable_type]],"CO2_transported",Infrastructure[[storage_site]:[storage_site]],"="&amp;$B436,Infrastructure[[cluster]:[cluster]],"="&amp;$B$435)/1000,"")</f>
        <v>0</v>
      </c>
      <c r="AF436" s="41">
        <f>IFERROR(SUMIFS(Infrastructure[2050],Infrastructure[[variable_type]:[variable_type]],"CO2_transported",Infrastructure[[storage_site]:[storage_site]],"="&amp;$B436,Infrastructure[[cluster]:[cluster]],"="&amp;$B$435)/1000,"")</f>
        <v>0</v>
      </c>
      <c r="AG436" s="41">
        <f>IFERROR(SUMIFS(Infrastructure[2051],Infrastructure[[variable_type]:[variable_type]],"CO2_transported",Infrastructure[[storage_site]:[storage_site]],"="&amp;$B436,Infrastructure[[cluster]:[cluster]],"="&amp;$B$435)/1000,"")</f>
        <v>0</v>
      </c>
    </row>
    <row r="437" spans="2:33" x14ac:dyDescent="0.45">
      <c r="B437" s="24" t="s">
        <v>81</v>
      </c>
      <c r="C437" s="41">
        <f>IFERROR(SUMIFS(Infrastructure[2021],Infrastructure[[variable_type]:[variable_type]],"CO2_transported",Infrastructure[[storage_site]:[storage_site]],"="&amp;$B437,Infrastructure[[cluster]:[cluster]],"="&amp;$B$435)/1000,"")</f>
        <v>0</v>
      </c>
      <c r="D437" s="41">
        <f>IFERROR(SUMIFS(Infrastructure[2022],Infrastructure[[variable_type]:[variable_type]],"CO2_transported",Infrastructure[[storage_site]:[storage_site]],"="&amp;$B437,Infrastructure[[cluster]:[cluster]],"="&amp;$B$435)/1000,"")</f>
        <v>0</v>
      </c>
      <c r="E437" s="41">
        <f>IFERROR(SUMIFS(Infrastructure[2023],Infrastructure[[variable_type]:[variable_type]],"CO2_transported",Infrastructure[[storage_site]:[storage_site]],"="&amp;$B437,Infrastructure[[cluster]:[cluster]],"="&amp;$B$435)/1000,"")</f>
        <v>0</v>
      </c>
      <c r="F437" s="41">
        <f>IFERROR(SUMIFS(Infrastructure[2024],Infrastructure[[variable_type]:[variable_type]],"CO2_transported",Infrastructure[[storage_site]:[storage_site]],"="&amp;$B437,Infrastructure[[cluster]:[cluster]],"="&amp;$B$435)/1000,"")</f>
        <v>0</v>
      </c>
      <c r="G437" s="41">
        <f>IFERROR(SUMIFS(Infrastructure[2025],Infrastructure[[variable_type]:[variable_type]],"CO2_transported",Infrastructure[[storage_site]:[storage_site]],"="&amp;$B437,Infrastructure[[cluster]:[cluster]],"="&amp;$B$435)/1000,"")</f>
        <v>0</v>
      </c>
      <c r="H437" s="41">
        <f>IFERROR(SUMIFS(Infrastructure[2026],Infrastructure[[variable_type]:[variable_type]],"CO2_transported",Infrastructure[[storage_site]:[storage_site]],"="&amp;$B437,Infrastructure[[cluster]:[cluster]],"="&amp;$B$435)/1000,"")</f>
        <v>0</v>
      </c>
      <c r="I437" s="41">
        <f>IFERROR(SUMIFS(Infrastructure[2027],Infrastructure[[variable_type]:[variable_type]],"CO2_transported",Infrastructure[[storage_site]:[storage_site]],"="&amp;$B437,Infrastructure[[cluster]:[cluster]],"="&amp;$B$435)/1000,"")</f>
        <v>0</v>
      </c>
      <c r="J437" s="41">
        <f>IFERROR(SUMIFS(Infrastructure[2028],Infrastructure[[variable_type]:[variable_type]],"CO2_transported",Infrastructure[[storage_site]:[storage_site]],"="&amp;$B437,Infrastructure[[cluster]:[cluster]],"="&amp;$B$435)/1000,"")</f>
        <v>0</v>
      </c>
      <c r="K437" s="41">
        <f>IFERROR(SUMIFS(Infrastructure[2029],Infrastructure[[variable_type]:[variable_type]],"CO2_transported",Infrastructure[[storage_site]:[storage_site]],"="&amp;$B437,Infrastructure[[cluster]:[cluster]],"="&amp;$B$435)/1000,"")</f>
        <v>0</v>
      </c>
      <c r="L437" s="41">
        <f>IFERROR(SUMIFS(Infrastructure[2030],Infrastructure[[variable_type]:[variable_type]],"CO2_transported",Infrastructure[[storage_site]:[storage_site]],"="&amp;$B437,Infrastructure[[cluster]:[cluster]],"="&amp;$B$435)/1000,"")</f>
        <v>0</v>
      </c>
      <c r="M437" s="41">
        <f>IFERROR(SUMIFS(Infrastructure[2031],Infrastructure[[variable_type]:[variable_type]],"CO2_transported",Infrastructure[[storage_site]:[storage_site]],"="&amp;$B437,Infrastructure[[cluster]:[cluster]],"="&amp;$B$435)/1000,"")</f>
        <v>0</v>
      </c>
      <c r="N437" s="41">
        <f>IFERROR(SUMIFS(Infrastructure[2032],Infrastructure[[variable_type]:[variable_type]],"CO2_transported",Infrastructure[[storage_site]:[storage_site]],"="&amp;$B437,Infrastructure[[cluster]:[cluster]],"="&amp;$B$435)/1000,"")</f>
        <v>0</v>
      </c>
      <c r="O437" s="41">
        <f>IFERROR(SUMIFS(Infrastructure[2033],Infrastructure[[variable_type]:[variable_type]],"CO2_transported",Infrastructure[[storage_site]:[storage_site]],"="&amp;$B437,Infrastructure[[cluster]:[cluster]],"="&amp;$B$435)/1000,"")</f>
        <v>0</v>
      </c>
      <c r="P437" s="41">
        <f>IFERROR(SUMIFS(Infrastructure[2034],Infrastructure[[variable_type]:[variable_type]],"CO2_transported",Infrastructure[[storage_site]:[storage_site]],"="&amp;$B437,Infrastructure[[cluster]:[cluster]],"="&amp;$B$435)/1000,"")</f>
        <v>0</v>
      </c>
      <c r="Q437" s="41">
        <f>IFERROR(SUMIFS(Infrastructure[2035],Infrastructure[[variable_type]:[variable_type]],"CO2_transported",Infrastructure[[storage_site]:[storage_site]],"="&amp;$B437,Infrastructure[[cluster]:[cluster]],"="&amp;$B$435)/1000,"")</f>
        <v>0</v>
      </c>
      <c r="R437" s="41">
        <f>IFERROR(SUMIFS(Infrastructure[2036],Infrastructure[[variable_type]:[variable_type]],"CO2_transported",Infrastructure[[storage_site]:[storage_site]],"="&amp;$B437,Infrastructure[[cluster]:[cluster]],"="&amp;$B$435)/1000,"")</f>
        <v>0</v>
      </c>
      <c r="S437" s="41">
        <f>IFERROR(SUMIFS(Infrastructure[2037],Infrastructure[[variable_type]:[variable_type]],"CO2_transported",Infrastructure[[storage_site]:[storage_site]],"="&amp;$B437,Infrastructure[[cluster]:[cluster]],"="&amp;$B$435)/1000,"")</f>
        <v>0</v>
      </c>
      <c r="T437" s="41">
        <f>IFERROR(SUMIFS(Infrastructure[2038],Infrastructure[[variable_type]:[variable_type]],"CO2_transported",Infrastructure[[storage_site]:[storage_site]],"="&amp;$B437,Infrastructure[[cluster]:[cluster]],"="&amp;$B$435)/1000,"")</f>
        <v>0</v>
      </c>
      <c r="U437" s="41">
        <f>IFERROR(SUMIFS(Infrastructure[2039],Infrastructure[[variable_type]:[variable_type]],"CO2_transported",Infrastructure[[storage_site]:[storage_site]],"="&amp;$B437,Infrastructure[[cluster]:[cluster]],"="&amp;$B$435)/1000,"")</f>
        <v>0</v>
      </c>
      <c r="V437" s="41">
        <f>IFERROR(SUMIFS(Infrastructure[2040],Infrastructure[[variable_type]:[variable_type]],"CO2_transported",Infrastructure[[storage_site]:[storage_site]],"="&amp;$B437,Infrastructure[[cluster]:[cluster]],"="&amp;$B$435)/1000,"")</f>
        <v>0</v>
      </c>
      <c r="W437" s="41">
        <f>IFERROR(SUMIFS(Infrastructure[2041],Infrastructure[[variable_type]:[variable_type]],"CO2_transported",Infrastructure[[storage_site]:[storage_site]],"="&amp;$B437,Infrastructure[[cluster]:[cluster]],"="&amp;$B$435)/1000,"")</f>
        <v>0</v>
      </c>
      <c r="X437" s="41">
        <f>IFERROR(SUMIFS(Infrastructure[2042],Infrastructure[[variable_type]:[variable_type]],"CO2_transported",Infrastructure[[storage_site]:[storage_site]],"="&amp;$B437,Infrastructure[[cluster]:[cluster]],"="&amp;$B$435)/1000,"")</f>
        <v>0</v>
      </c>
      <c r="Y437" s="41">
        <f>IFERROR(SUMIFS(Infrastructure[2043],Infrastructure[[variable_type]:[variable_type]],"CO2_transported",Infrastructure[[storage_site]:[storage_site]],"="&amp;$B437,Infrastructure[[cluster]:[cluster]],"="&amp;$B$435)/1000,"")</f>
        <v>0</v>
      </c>
      <c r="Z437" s="41">
        <f>IFERROR(SUMIFS(Infrastructure[2044],Infrastructure[[variable_type]:[variable_type]],"CO2_transported",Infrastructure[[storage_site]:[storage_site]],"="&amp;$B437,Infrastructure[[cluster]:[cluster]],"="&amp;$B$435)/1000,"")</f>
        <v>0</v>
      </c>
      <c r="AA437" s="41">
        <f>IFERROR(SUMIFS(Infrastructure[2045],Infrastructure[[variable_type]:[variable_type]],"CO2_transported",Infrastructure[[storage_site]:[storage_site]],"="&amp;$B437,Infrastructure[[cluster]:[cluster]],"="&amp;$B$435)/1000,"")</f>
        <v>0</v>
      </c>
      <c r="AB437" s="41">
        <f>IFERROR(SUMIFS(Infrastructure[2046],Infrastructure[[variable_type]:[variable_type]],"CO2_transported",Infrastructure[[storage_site]:[storage_site]],"="&amp;$B437,Infrastructure[[cluster]:[cluster]],"="&amp;$B$435)/1000,"")</f>
        <v>0</v>
      </c>
      <c r="AC437" s="41">
        <f>IFERROR(SUMIFS(Infrastructure[2047],Infrastructure[[variable_type]:[variable_type]],"CO2_transported",Infrastructure[[storage_site]:[storage_site]],"="&amp;$B437,Infrastructure[[cluster]:[cluster]],"="&amp;$B$435)/1000,"")</f>
        <v>0</v>
      </c>
      <c r="AD437" s="41">
        <f>IFERROR(SUMIFS(Infrastructure[2048],Infrastructure[[variable_type]:[variable_type]],"CO2_transported",Infrastructure[[storage_site]:[storage_site]],"="&amp;$B437,Infrastructure[[cluster]:[cluster]],"="&amp;$B$435)/1000,"")</f>
        <v>0</v>
      </c>
      <c r="AE437" s="41">
        <f>IFERROR(SUMIFS(Infrastructure[2049],Infrastructure[[variable_type]:[variable_type]],"CO2_transported",Infrastructure[[storage_site]:[storage_site]],"="&amp;$B437,Infrastructure[[cluster]:[cluster]],"="&amp;$B$435)/1000,"")</f>
        <v>0</v>
      </c>
      <c r="AF437" s="41">
        <f>IFERROR(SUMIFS(Infrastructure[2050],Infrastructure[[variable_type]:[variable_type]],"CO2_transported",Infrastructure[[storage_site]:[storage_site]],"="&amp;$B437,Infrastructure[[cluster]:[cluster]],"="&amp;$B$435)/1000,"")</f>
        <v>0</v>
      </c>
      <c r="AG437" s="41">
        <f>IFERROR(SUMIFS(Infrastructure[2051],Infrastructure[[variable_type]:[variable_type]],"CO2_transported",Infrastructure[[storage_site]:[storage_site]],"="&amp;$B437,Infrastructure[[cluster]:[cluster]],"="&amp;$B$435)/1000,"")</f>
        <v>0</v>
      </c>
    </row>
    <row r="438" spans="2:33" x14ac:dyDescent="0.45">
      <c r="B438" s="24" t="s">
        <v>79</v>
      </c>
      <c r="C438" s="41">
        <f>IFERROR(SUMIFS(Infrastructure[2021],Infrastructure[[variable_type]:[variable_type]],"CO2_transported",Infrastructure[[storage_site]:[storage_site]],"="&amp;$B438,Infrastructure[[cluster]:[cluster]],"="&amp;$B$435)/1000,"")</f>
        <v>0</v>
      </c>
      <c r="D438" s="41">
        <f>IFERROR(SUMIFS(Infrastructure[2022],Infrastructure[[variable_type]:[variable_type]],"CO2_transported",Infrastructure[[storage_site]:[storage_site]],"="&amp;$B438,Infrastructure[[cluster]:[cluster]],"="&amp;$B$435)/1000,"")</f>
        <v>0</v>
      </c>
      <c r="E438" s="41">
        <f>IFERROR(SUMIFS(Infrastructure[2023],Infrastructure[[variable_type]:[variable_type]],"CO2_transported",Infrastructure[[storage_site]:[storage_site]],"="&amp;$B438,Infrastructure[[cluster]:[cluster]],"="&amp;$B$435)/1000,"")</f>
        <v>0</v>
      </c>
      <c r="F438" s="41">
        <f>IFERROR(SUMIFS(Infrastructure[2024],Infrastructure[[variable_type]:[variable_type]],"CO2_transported",Infrastructure[[storage_site]:[storage_site]],"="&amp;$B438,Infrastructure[[cluster]:[cluster]],"="&amp;$B$435)/1000,"")</f>
        <v>0</v>
      </c>
      <c r="G438" s="41">
        <f>IFERROR(SUMIFS(Infrastructure[2025],Infrastructure[[variable_type]:[variable_type]],"CO2_transported",Infrastructure[[storage_site]:[storage_site]],"="&amp;$B438,Infrastructure[[cluster]:[cluster]],"="&amp;$B$435)/1000,"")</f>
        <v>0</v>
      </c>
      <c r="H438" s="41">
        <f>IFERROR(SUMIFS(Infrastructure[2026],Infrastructure[[variable_type]:[variable_type]],"CO2_transported",Infrastructure[[storage_site]:[storage_site]],"="&amp;$B438,Infrastructure[[cluster]:[cluster]],"="&amp;$B$435)/1000,"")</f>
        <v>0</v>
      </c>
      <c r="I438" s="41">
        <f>IFERROR(SUMIFS(Infrastructure[2027],Infrastructure[[variable_type]:[variable_type]],"CO2_transported",Infrastructure[[storage_site]:[storage_site]],"="&amp;$B438,Infrastructure[[cluster]:[cluster]],"="&amp;$B$435)/1000,"")</f>
        <v>0</v>
      </c>
      <c r="J438" s="41">
        <f>IFERROR(SUMIFS(Infrastructure[2028],Infrastructure[[variable_type]:[variable_type]],"CO2_transported",Infrastructure[[storage_site]:[storage_site]],"="&amp;$B438,Infrastructure[[cluster]:[cluster]],"="&amp;$B$435)/1000,"")</f>
        <v>0</v>
      </c>
      <c r="K438" s="41">
        <f>IFERROR(SUMIFS(Infrastructure[2029],Infrastructure[[variable_type]:[variable_type]],"CO2_transported",Infrastructure[[storage_site]:[storage_site]],"="&amp;$B438,Infrastructure[[cluster]:[cluster]],"="&amp;$B$435)/1000,"")</f>
        <v>0</v>
      </c>
      <c r="L438" s="41">
        <f>IFERROR(SUMIFS(Infrastructure[2030],Infrastructure[[variable_type]:[variable_type]],"CO2_transported",Infrastructure[[storage_site]:[storage_site]],"="&amp;$B438,Infrastructure[[cluster]:[cluster]],"="&amp;$B$435)/1000,"")</f>
        <v>0</v>
      </c>
      <c r="M438" s="41">
        <f>IFERROR(SUMIFS(Infrastructure[2031],Infrastructure[[variable_type]:[variable_type]],"CO2_transported",Infrastructure[[storage_site]:[storage_site]],"="&amp;$B438,Infrastructure[[cluster]:[cluster]],"="&amp;$B$435)/1000,"")</f>
        <v>0</v>
      </c>
      <c r="N438" s="41">
        <f>IFERROR(SUMIFS(Infrastructure[2032],Infrastructure[[variable_type]:[variable_type]],"CO2_transported",Infrastructure[[storage_site]:[storage_site]],"="&amp;$B438,Infrastructure[[cluster]:[cluster]],"="&amp;$B$435)/1000,"")</f>
        <v>0</v>
      </c>
      <c r="O438" s="41">
        <f>IFERROR(SUMIFS(Infrastructure[2033],Infrastructure[[variable_type]:[variable_type]],"CO2_transported",Infrastructure[[storage_site]:[storage_site]],"="&amp;$B438,Infrastructure[[cluster]:[cluster]],"="&amp;$B$435)/1000,"")</f>
        <v>0</v>
      </c>
      <c r="P438" s="41">
        <f>IFERROR(SUMIFS(Infrastructure[2034],Infrastructure[[variable_type]:[variable_type]],"CO2_transported",Infrastructure[[storage_site]:[storage_site]],"="&amp;$B438,Infrastructure[[cluster]:[cluster]],"="&amp;$B$435)/1000,"")</f>
        <v>0</v>
      </c>
      <c r="Q438" s="41">
        <f>IFERROR(SUMIFS(Infrastructure[2035],Infrastructure[[variable_type]:[variable_type]],"CO2_transported",Infrastructure[[storage_site]:[storage_site]],"="&amp;$B438,Infrastructure[[cluster]:[cluster]],"="&amp;$B$435)/1000,"")</f>
        <v>0</v>
      </c>
      <c r="R438" s="41">
        <f>IFERROR(SUMIFS(Infrastructure[2036],Infrastructure[[variable_type]:[variable_type]],"CO2_transported",Infrastructure[[storage_site]:[storage_site]],"="&amp;$B438,Infrastructure[[cluster]:[cluster]],"="&amp;$B$435)/1000,"")</f>
        <v>0</v>
      </c>
      <c r="S438" s="41">
        <f>IFERROR(SUMIFS(Infrastructure[2037],Infrastructure[[variable_type]:[variable_type]],"CO2_transported",Infrastructure[[storage_site]:[storage_site]],"="&amp;$B438,Infrastructure[[cluster]:[cluster]],"="&amp;$B$435)/1000,"")</f>
        <v>0</v>
      </c>
      <c r="T438" s="41">
        <f>IFERROR(SUMIFS(Infrastructure[2038],Infrastructure[[variable_type]:[variable_type]],"CO2_transported",Infrastructure[[storage_site]:[storage_site]],"="&amp;$B438,Infrastructure[[cluster]:[cluster]],"="&amp;$B$435)/1000,"")</f>
        <v>0</v>
      </c>
      <c r="U438" s="41">
        <f>IFERROR(SUMIFS(Infrastructure[2039],Infrastructure[[variable_type]:[variable_type]],"CO2_transported",Infrastructure[[storage_site]:[storage_site]],"="&amp;$B438,Infrastructure[[cluster]:[cluster]],"="&amp;$B$435)/1000,"")</f>
        <v>0</v>
      </c>
      <c r="V438" s="41">
        <f>IFERROR(SUMIFS(Infrastructure[2040],Infrastructure[[variable_type]:[variable_type]],"CO2_transported",Infrastructure[[storage_site]:[storage_site]],"="&amp;$B438,Infrastructure[[cluster]:[cluster]],"="&amp;$B$435)/1000,"")</f>
        <v>0</v>
      </c>
      <c r="W438" s="41">
        <f>IFERROR(SUMIFS(Infrastructure[2041],Infrastructure[[variable_type]:[variable_type]],"CO2_transported",Infrastructure[[storage_site]:[storage_site]],"="&amp;$B438,Infrastructure[[cluster]:[cluster]],"="&amp;$B$435)/1000,"")</f>
        <v>0</v>
      </c>
      <c r="X438" s="41">
        <f>IFERROR(SUMIFS(Infrastructure[2042],Infrastructure[[variable_type]:[variable_type]],"CO2_transported",Infrastructure[[storage_site]:[storage_site]],"="&amp;$B438,Infrastructure[[cluster]:[cluster]],"="&amp;$B$435)/1000,"")</f>
        <v>0</v>
      </c>
      <c r="Y438" s="41">
        <f>IFERROR(SUMIFS(Infrastructure[2043],Infrastructure[[variable_type]:[variable_type]],"CO2_transported",Infrastructure[[storage_site]:[storage_site]],"="&amp;$B438,Infrastructure[[cluster]:[cluster]],"="&amp;$B$435)/1000,"")</f>
        <v>0</v>
      </c>
      <c r="Z438" s="41">
        <f>IFERROR(SUMIFS(Infrastructure[2044],Infrastructure[[variable_type]:[variable_type]],"CO2_transported",Infrastructure[[storage_site]:[storage_site]],"="&amp;$B438,Infrastructure[[cluster]:[cluster]],"="&amp;$B$435)/1000,"")</f>
        <v>0</v>
      </c>
      <c r="AA438" s="41">
        <f>IFERROR(SUMIFS(Infrastructure[2045],Infrastructure[[variable_type]:[variable_type]],"CO2_transported",Infrastructure[[storage_site]:[storage_site]],"="&amp;$B438,Infrastructure[[cluster]:[cluster]],"="&amp;$B$435)/1000,"")</f>
        <v>0</v>
      </c>
      <c r="AB438" s="41">
        <f>IFERROR(SUMIFS(Infrastructure[2046],Infrastructure[[variable_type]:[variable_type]],"CO2_transported",Infrastructure[[storage_site]:[storage_site]],"="&amp;$B438,Infrastructure[[cluster]:[cluster]],"="&amp;$B$435)/1000,"")</f>
        <v>0</v>
      </c>
      <c r="AC438" s="41">
        <f>IFERROR(SUMIFS(Infrastructure[2047],Infrastructure[[variable_type]:[variable_type]],"CO2_transported",Infrastructure[[storage_site]:[storage_site]],"="&amp;$B438,Infrastructure[[cluster]:[cluster]],"="&amp;$B$435)/1000,"")</f>
        <v>0</v>
      </c>
      <c r="AD438" s="41">
        <f>IFERROR(SUMIFS(Infrastructure[2048],Infrastructure[[variable_type]:[variable_type]],"CO2_transported",Infrastructure[[storage_site]:[storage_site]],"="&amp;$B438,Infrastructure[[cluster]:[cluster]],"="&amp;$B$435)/1000,"")</f>
        <v>0</v>
      </c>
      <c r="AE438" s="41">
        <f>IFERROR(SUMIFS(Infrastructure[2049],Infrastructure[[variable_type]:[variable_type]],"CO2_transported",Infrastructure[[storage_site]:[storage_site]],"="&amp;$B438,Infrastructure[[cluster]:[cluster]],"="&amp;$B$435)/1000,"")</f>
        <v>0</v>
      </c>
      <c r="AF438" s="41">
        <f>IFERROR(SUMIFS(Infrastructure[2050],Infrastructure[[variable_type]:[variable_type]],"CO2_transported",Infrastructure[[storage_site]:[storage_site]],"="&amp;$B438,Infrastructure[[cluster]:[cluster]],"="&amp;$B$435)/1000,"")</f>
        <v>0</v>
      </c>
      <c r="AG438" s="41">
        <f>IFERROR(SUMIFS(Infrastructure[2051],Infrastructure[[variable_type]:[variable_type]],"CO2_transported",Infrastructure[[storage_site]:[storage_site]],"="&amp;$B438,Infrastructure[[cluster]:[cluster]],"="&amp;$B$435)/1000,"")</f>
        <v>0</v>
      </c>
    </row>
    <row r="439" spans="2:33" x14ac:dyDescent="0.45">
      <c r="B439" s="6" t="s">
        <v>75</v>
      </c>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row>
    <row r="440" spans="2:33" x14ac:dyDescent="0.45">
      <c r="B440" s="24" t="s">
        <v>80</v>
      </c>
      <c r="C440" s="41">
        <f>IFERROR(SUMIFS(Infrastructure[2021],Infrastructure[[variable_type]:[variable_type]],"CO2_transported",Infrastructure[[storage_site]:[storage_site]],"="&amp;$B440,Infrastructure[[cluster]:[cluster]],"="&amp;$B$439)/1000,"")</f>
        <v>0</v>
      </c>
      <c r="D440" s="41">
        <f>IFERROR(SUMIFS(Infrastructure[2022],Infrastructure[[variable_type]:[variable_type]],"CO2_transported",Infrastructure[[storage_site]:[storage_site]],"="&amp;$B440,Infrastructure[[cluster]:[cluster]],"="&amp;$B$439)/1000,"")</f>
        <v>0</v>
      </c>
      <c r="E440" s="41">
        <f>IFERROR(SUMIFS(Infrastructure[2023],Infrastructure[[variable_type]:[variable_type]],"CO2_transported",Infrastructure[[storage_site]:[storage_site]],"="&amp;$B440,Infrastructure[[cluster]:[cluster]],"="&amp;$B$439)/1000,"")</f>
        <v>0</v>
      </c>
      <c r="F440" s="41">
        <f>IFERROR(SUMIFS(Infrastructure[2024],Infrastructure[[variable_type]:[variable_type]],"CO2_transported",Infrastructure[[storage_site]:[storage_site]],"="&amp;$B440,Infrastructure[[cluster]:[cluster]],"="&amp;$B$439)/1000,"")</f>
        <v>0</v>
      </c>
      <c r="G440" s="41">
        <f>IFERROR(SUMIFS(Infrastructure[2025],Infrastructure[[variable_type]:[variable_type]],"CO2_transported",Infrastructure[[storage_site]:[storage_site]],"="&amp;$B440,Infrastructure[[cluster]:[cluster]],"="&amp;$B$439)/1000,"")</f>
        <v>0</v>
      </c>
      <c r="H440" s="41">
        <f>IFERROR(SUMIFS(Infrastructure[2026],Infrastructure[[variable_type]:[variable_type]],"CO2_transported",Infrastructure[[storage_site]:[storage_site]],"="&amp;$B440,Infrastructure[[cluster]:[cluster]],"="&amp;$B$439)/1000,"")</f>
        <v>0</v>
      </c>
      <c r="I440" s="41">
        <f>IFERROR(SUMIFS(Infrastructure[2027],Infrastructure[[variable_type]:[variable_type]],"CO2_transported",Infrastructure[[storage_site]:[storage_site]],"="&amp;$B440,Infrastructure[[cluster]:[cluster]],"="&amp;$B$439)/1000,"")</f>
        <v>0</v>
      </c>
      <c r="J440" s="41">
        <f>IFERROR(SUMIFS(Infrastructure[2028],Infrastructure[[variable_type]:[variable_type]],"CO2_transported",Infrastructure[[storage_site]:[storage_site]],"="&amp;$B440,Infrastructure[[cluster]:[cluster]],"="&amp;$B$439)/1000,"")</f>
        <v>0</v>
      </c>
      <c r="K440" s="41">
        <f>IFERROR(SUMIFS(Infrastructure[2029],Infrastructure[[variable_type]:[variable_type]],"CO2_transported",Infrastructure[[storage_site]:[storage_site]],"="&amp;$B440,Infrastructure[[cluster]:[cluster]],"="&amp;$B$439)/1000,"")</f>
        <v>0</v>
      </c>
      <c r="L440" s="41">
        <f>IFERROR(SUMIFS(Infrastructure[2030],Infrastructure[[variable_type]:[variable_type]],"CO2_transported",Infrastructure[[storage_site]:[storage_site]],"="&amp;$B440,Infrastructure[[cluster]:[cluster]],"="&amp;$B$439)/1000,"")</f>
        <v>0</v>
      </c>
      <c r="M440" s="41">
        <f>IFERROR(SUMIFS(Infrastructure[2031],Infrastructure[[variable_type]:[variable_type]],"CO2_transported",Infrastructure[[storage_site]:[storage_site]],"="&amp;$B440,Infrastructure[[cluster]:[cluster]],"="&amp;$B$439)/1000,"")</f>
        <v>0</v>
      </c>
      <c r="N440" s="41">
        <f>IFERROR(SUMIFS(Infrastructure[2032],Infrastructure[[variable_type]:[variable_type]],"CO2_transported",Infrastructure[[storage_site]:[storage_site]],"="&amp;$B440,Infrastructure[[cluster]:[cluster]],"="&amp;$B$439)/1000,"")</f>
        <v>0</v>
      </c>
      <c r="O440" s="41">
        <f>IFERROR(SUMIFS(Infrastructure[2033],Infrastructure[[variable_type]:[variable_type]],"CO2_transported",Infrastructure[[storage_site]:[storage_site]],"="&amp;$B440,Infrastructure[[cluster]:[cluster]],"="&amp;$B$439)/1000,"")</f>
        <v>0</v>
      </c>
      <c r="P440" s="41">
        <f>IFERROR(SUMIFS(Infrastructure[2034],Infrastructure[[variable_type]:[variable_type]],"CO2_transported",Infrastructure[[storage_site]:[storage_site]],"="&amp;$B440,Infrastructure[[cluster]:[cluster]],"="&amp;$B$439)/1000,"")</f>
        <v>0</v>
      </c>
      <c r="Q440" s="41">
        <f>IFERROR(SUMIFS(Infrastructure[2035],Infrastructure[[variable_type]:[variable_type]],"CO2_transported",Infrastructure[[storage_site]:[storage_site]],"="&amp;$B440,Infrastructure[[cluster]:[cluster]],"="&amp;$B$439)/1000,"")</f>
        <v>0</v>
      </c>
      <c r="R440" s="41">
        <f>IFERROR(SUMIFS(Infrastructure[2036],Infrastructure[[variable_type]:[variable_type]],"CO2_transported",Infrastructure[[storage_site]:[storage_site]],"="&amp;$B440,Infrastructure[[cluster]:[cluster]],"="&amp;$B$439)/1000,"")</f>
        <v>0</v>
      </c>
      <c r="S440" s="41">
        <f>IFERROR(SUMIFS(Infrastructure[2037],Infrastructure[[variable_type]:[variable_type]],"CO2_transported",Infrastructure[[storage_site]:[storage_site]],"="&amp;$B440,Infrastructure[[cluster]:[cluster]],"="&amp;$B$439)/1000,"")</f>
        <v>0</v>
      </c>
      <c r="T440" s="41">
        <f>IFERROR(SUMIFS(Infrastructure[2038],Infrastructure[[variable_type]:[variable_type]],"CO2_transported",Infrastructure[[storage_site]:[storage_site]],"="&amp;$B440,Infrastructure[[cluster]:[cluster]],"="&amp;$B$439)/1000,"")</f>
        <v>0</v>
      </c>
      <c r="U440" s="41">
        <f>IFERROR(SUMIFS(Infrastructure[2039],Infrastructure[[variable_type]:[variable_type]],"CO2_transported",Infrastructure[[storage_site]:[storage_site]],"="&amp;$B440,Infrastructure[[cluster]:[cluster]],"="&amp;$B$439)/1000,"")</f>
        <v>0</v>
      </c>
      <c r="V440" s="41">
        <f>IFERROR(SUMIFS(Infrastructure[2040],Infrastructure[[variable_type]:[variable_type]],"CO2_transported",Infrastructure[[storage_site]:[storage_site]],"="&amp;$B440,Infrastructure[[cluster]:[cluster]],"="&amp;$B$439)/1000,"")</f>
        <v>0</v>
      </c>
      <c r="W440" s="41">
        <f>IFERROR(SUMIFS(Infrastructure[2041],Infrastructure[[variable_type]:[variable_type]],"CO2_transported",Infrastructure[[storage_site]:[storage_site]],"="&amp;$B440,Infrastructure[[cluster]:[cluster]],"="&amp;$B$439)/1000,"")</f>
        <v>0</v>
      </c>
      <c r="X440" s="41">
        <f>IFERROR(SUMIFS(Infrastructure[2042],Infrastructure[[variable_type]:[variable_type]],"CO2_transported",Infrastructure[[storage_site]:[storage_site]],"="&amp;$B440,Infrastructure[[cluster]:[cluster]],"="&amp;$B$439)/1000,"")</f>
        <v>0</v>
      </c>
      <c r="Y440" s="41">
        <f>IFERROR(SUMIFS(Infrastructure[2043],Infrastructure[[variable_type]:[variable_type]],"CO2_transported",Infrastructure[[storage_site]:[storage_site]],"="&amp;$B440,Infrastructure[[cluster]:[cluster]],"="&amp;$B$439)/1000,"")</f>
        <v>0</v>
      </c>
      <c r="Z440" s="41">
        <f>IFERROR(SUMIFS(Infrastructure[2044],Infrastructure[[variable_type]:[variable_type]],"CO2_transported",Infrastructure[[storage_site]:[storage_site]],"="&amp;$B440,Infrastructure[[cluster]:[cluster]],"="&amp;$B$439)/1000,"")</f>
        <v>0</v>
      </c>
      <c r="AA440" s="41">
        <f>IFERROR(SUMIFS(Infrastructure[2045],Infrastructure[[variable_type]:[variable_type]],"CO2_transported",Infrastructure[[storage_site]:[storage_site]],"="&amp;$B440,Infrastructure[[cluster]:[cluster]],"="&amp;$B$439)/1000,"")</f>
        <v>0</v>
      </c>
      <c r="AB440" s="41">
        <f>IFERROR(SUMIFS(Infrastructure[2046],Infrastructure[[variable_type]:[variable_type]],"CO2_transported",Infrastructure[[storage_site]:[storage_site]],"="&amp;$B440,Infrastructure[[cluster]:[cluster]],"="&amp;$B$439)/1000,"")</f>
        <v>0</v>
      </c>
      <c r="AC440" s="41">
        <f>IFERROR(SUMIFS(Infrastructure[2047],Infrastructure[[variable_type]:[variable_type]],"CO2_transported",Infrastructure[[storage_site]:[storage_site]],"="&amp;$B440,Infrastructure[[cluster]:[cluster]],"="&amp;$B$439)/1000,"")</f>
        <v>0</v>
      </c>
      <c r="AD440" s="41">
        <f>IFERROR(SUMIFS(Infrastructure[2048],Infrastructure[[variable_type]:[variable_type]],"CO2_transported",Infrastructure[[storage_site]:[storage_site]],"="&amp;$B440,Infrastructure[[cluster]:[cluster]],"="&amp;$B$439)/1000,"")</f>
        <v>0</v>
      </c>
      <c r="AE440" s="41">
        <f>IFERROR(SUMIFS(Infrastructure[2049],Infrastructure[[variable_type]:[variable_type]],"CO2_transported",Infrastructure[[storage_site]:[storage_site]],"="&amp;$B440,Infrastructure[[cluster]:[cluster]],"="&amp;$B$439)/1000,"")</f>
        <v>0</v>
      </c>
      <c r="AF440" s="41">
        <f>IFERROR(SUMIFS(Infrastructure[2050],Infrastructure[[variable_type]:[variable_type]],"CO2_transported",Infrastructure[[storage_site]:[storage_site]],"="&amp;$B440,Infrastructure[[cluster]:[cluster]],"="&amp;$B$439)/1000,"")</f>
        <v>0</v>
      </c>
      <c r="AG440" s="41">
        <f>IFERROR(SUMIFS(Infrastructure[2051],Infrastructure[[variable_type]:[variable_type]],"CO2_transported",Infrastructure[[storage_site]:[storage_site]],"="&amp;$B440,Infrastructure[[cluster]:[cluster]],"="&amp;$B$439)/1000,"")</f>
        <v>0</v>
      </c>
    </row>
    <row r="441" spans="2:33" x14ac:dyDescent="0.45">
      <c r="B441" s="24" t="s">
        <v>81</v>
      </c>
      <c r="C441" s="41">
        <f>IFERROR(SUMIFS(Infrastructure[2021],Infrastructure[[variable_type]:[variable_type]],"CO2_transported",Infrastructure[[storage_site]:[storage_site]],"="&amp;$B441,Infrastructure[[cluster]:[cluster]],"="&amp;$B$439)/1000,"")</f>
        <v>0</v>
      </c>
      <c r="D441" s="41">
        <f>IFERROR(SUMIFS(Infrastructure[2022],Infrastructure[[variable_type]:[variable_type]],"CO2_transported",Infrastructure[[storage_site]:[storage_site]],"="&amp;$B441,Infrastructure[[cluster]:[cluster]],"="&amp;$B$439)/1000,"")</f>
        <v>0</v>
      </c>
      <c r="E441" s="41">
        <f>IFERROR(SUMIFS(Infrastructure[2023],Infrastructure[[variable_type]:[variable_type]],"CO2_transported",Infrastructure[[storage_site]:[storage_site]],"="&amp;$B441,Infrastructure[[cluster]:[cluster]],"="&amp;$B$439)/1000,"")</f>
        <v>0</v>
      </c>
      <c r="F441" s="41">
        <f>IFERROR(SUMIFS(Infrastructure[2024],Infrastructure[[variable_type]:[variable_type]],"CO2_transported",Infrastructure[[storage_site]:[storage_site]],"="&amp;$B441,Infrastructure[[cluster]:[cluster]],"="&amp;$B$439)/1000,"")</f>
        <v>0</v>
      </c>
      <c r="G441" s="41">
        <f>IFERROR(SUMIFS(Infrastructure[2025],Infrastructure[[variable_type]:[variable_type]],"CO2_transported",Infrastructure[[storage_site]:[storage_site]],"="&amp;$B441,Infrastructure[[cluster]:[cluster]],"="&amp;$B$439)/1000,"")</f>
        <v>0</v>
      </c>
      <c r="H441" s="41">
        <f>IFERROR(SUMIFS(Infrastructure[2026],Infrastructure[[variable_type]:[variable_type]],"CO2_transported",Infrastructure[[storage_site]:[storage_site]],"="&amp;$B441,Infrastructure[[cluster]:[cluster]],"="&amp;$B$439)/1000,"")</f>
        <v>0</v>
      </c>
      <c r="I441" s="41">
        <f>IFERROR(SUMIFS(Infrastructure[2027],Infrastructure[[variable_type]:[variable_type]],"CO2_transported",Infrastructure[[storage_site]:[storage_site]],"="&amp;$B441,Infrastructure[[cluster]:[cluster]],"="&amp;$B$439)/1000,"")</f>
        <v>0</v>
      </c>
      <c r="J441" s="41">
        <f>IFERROR(SUMIFS(Infrastructure[2028],Infrastructure[[variable_type]:[variable_type]],"CO2_transported",Infrastructure[[storage_site]:[storage_site]],"="&amp;$B441,Infrastructure[[cluster]:[cluster]],"="&amp;$B$439)/1000,"")</f>
        <v>0</v>
      </c>
      <c r="K441" s="41">
        <f>IFERROR(SUMIFS(Infrastructure[2029],Infrastructure[[variable_type]:[variable_type]],"CO2_transported",Infrastructure[[storage_site]:[storage_site]],"="&amp;$B441,Infrastructure[[cluster]:[cluster]],"="&amp;$B$439)/1000,"")</f>
        <v>0</v>
      </c>
      <c r="L441" s="41">
        <f>IFERROR(SUMIFS(Infrastructure[2030],Infrastructure[[variable_type]:[variable_type]],"CO2_transported",Infrastructure[[storage_site]:[storage_site]],"="&amp;$B441,Infrastructure[[cluster]:[cluster]],"="&amp;$B$439)/1000,"")</f>
        <v>0</v>
      </c>
      <c r="M441" s="41">
        <f>IFERROR(SUMIFS(Infrastructure[2031],Infrastructure[[variable_type]:[variable_type]],"CO2_transported",Infrastructure[[storage_site]:[storage_site]],"="&amp;$B441,Infrastructure[[cluster]:[cluster]],"="&amp;$B$439)/1000,"")</f>
        <v>0</v>
      </c>
      <c r="N441" s="41">
        <f>IFERROR(SUMIFS(Infrastructure[2032],Infrastructure[[variable_type]:[variable_type]],"CO2_transported",Infrastructure[[storage_site]:[storage_site]],"="&amp;$B441,Infrastructure[[cluster]:[cluster]],"="&amp;$B$439)/1000,"")</f>
        <v>0</v>
      </c>
      <c r="O441" s="41">
        <f>IFERROR(SUMIFS(Infrastructure[2033],Infrastructure[[variable_type]:[variable_type]],"CO2_transported",Infrastructure[[storage_site]:[storage_site]],"="&amp;$B441,Infrastructure[[cluster]:[cluster]],"="&amp;$B$439)/1000,"")</f>
        <v>0</v>
      </c>
      <c r="P441" s="41">
        <f>IFERROR(SUMIFS(Infrastructure[2034],Infrastructure[[variable_type]:[variable_type]],"CO2_transported",Infrastructure[[storage_site]:[storage_site]],"="&amp;$B441,Infrastructure[[cluster]:[cluster]],"="&amp;$B$439)/1000,"")</f>
        <v>0</v>
      </c>
      <c r="Q441" s="41">
        <f>IFERROR(SUMIFS(Infrastructure[2035],Infrastructure[[variable_type]:[variable_type]],"CO2_transported",Infrastructure[[storage_site]:[storage_site]],"="&amp;$B441,Infrastructure[[cluster]:[cluster]],"="&amp;$B$439)/1000,"")</f>
        <v>0</v>
      </c>
      <c r="R441" s="41">
        <f>IFERROR(SUMIFS(Infrastructure[2036],Infrastructure[[variable_type]:[variable_type]],"CO2_transported",Infrastructure[[storage_site]:[storage_site]],"="&amp;$B441,Infrastructure[[cluster]:[cluster]],"="&amp;$B$439)/1000,"")</f>
        <v>0</v>
      </c>
      <c r="S441" s="41">
        <f>IFERROR(SUMIFS(Infrastructure[2037],Infrastructure[[variable_type]:[variable_type]],"CO2_transported",Infrastructure[[storage_site]:[storage_site]],"="&amp;$B441,Infrastructure[[cluster]:[cluster]],"="&amp;$B$439)/1000,"")</f>
        <v>0</v>
      </c>
      <c r="T441" s="41">
        <f>IFERROR(SUMIFS(Infrastructure[2038],Infrastructure[[variable_type]:[variable_type]],"CO2_transported",Infrastructure[[storage_site]:[storage_site]],"="&amp;$B441,Infrastructure[[cluster]:[cluster]],"="&amp;$B$439)/1000,"")</f>
        <v>0</v>
      </c>
      <c r="U441" s="41">
        <f>IFERROR(SUMIFS(Infrastructure[2039],Infrastructure[[variable_type]:[variable_type]],"CO2_transported",Infrastructure[[storage_site]:[storage_site]],"="&amp;$B441,Infrastructure[[cluster]:[cluster]],"="&amp;$B$439)/1000,"")</f>
        <v>0</v>
      </c>
      <c r="V441" s="41">
        <f>IFERROR(SUMIFS(Infrastructure[2040],Infrastructure[[variable_type]:[variable_type]],"CO2_transported",Infrastructure[[storage_site]:[storage_site]],"="&amp;$B441,Infrastructure[[cluster]:[cluster]],"="&amp;$B$439)/1000,"")</f>
        <v>0</v>
      </c>
      <c r="W441" s="41">
        <f>IFERROR(SUMIFS(Infrastructure[2041],Infrastructure[[variable_type]:[variable_type]],"CO2_transported",Infrastructure[[storage_site]:[storage_site]],"="&amp;$B441,Infrastructure[[cluster]:[cluster]],"="&amp;$B$439)/1000,"")</f>
        <v>0</v>
      </c>
      <c r="X441" s="41">
        <f>IFERROR(SUMIFS(Infrastructure[2042],Infrastructure[[variable_type]:[variable_type]],"CO2_transported",Infrastructure[[storage_site]:[storage_site]],"="&amp;$B441,Infrastructure[[cluster]:[cluster]],"="&amp;$B$439)/1000,"")</f>
        <v>0</v>
      </c>
      <c r="Y441" s="41">
        <f>IFERROR(SUMIFS(Infrastructure[2043],Infrastructure[[variable_type]:[variable_type]],"CO2_transported",Infrastructure[[storage_site]:[storage_site]],"="&amp;$B441,Infrastructure[[cluster]:[cluster]],"="&amp;$B$439)/1000,"")</f>
        <v>0</v>
      </c>
      <c r="Z441" s="41">
        <f>IFERROR(SUMIFS(Infrastructure[2044],Infrastructure[[variable_type]:[variable_type]],"CO2_transported",Infrastructure[[storage_site]:[storage_site]],"="&amp;$B441,Infrastructure[[cluster]:[cluster]],"="&amp;$B$439)/1000,"")</f>
        <v>0</v>
      </c>
      <c r="AA441" s="41">
        <f>IFERROR(SUMIFS(Infrastructure[2045],Infrastructure[[variable_type]:[variable_type]],"CO2_transported",Infrastructure[[storage_site]:[storage_site]],"="&amp;$B441,Infrastructure[[cluster]:[cluster]],"="&amp;$B$439)/1000,"")</f>
        <v>0</v>
      </c>
      <c r="AB441" s="41">
        <f>IFERROR(SUMIFS(Infrastructure[2046],Infrastructure[[variable_type]:[variable_type]],"CO2_transported",Infrastructure[[storage_site]:[storage_site]],"="&amp;$B441,Infrastructure[[cluster]:[cluster]],"="&amp;$B$439)/1000,"")</f>
        <v>0</v>
      </c>
      <c r="AC441" s="41">
        <f>IFERROR(SUMIFS(Infrastructure[2047],Infrastructure[[variable_type]:[variable_type]],"CO2_transported",Infrastructure[[storage_site]:[storage_site]],"="&amp;$B441,Infrastructure[[cluster]:[cluster]],"="&amp;$B$439)/1000,"")</f>
        <v>0</v>
      </c>
      <c r="AD441" s="41">
        <f>IFERROR(SUMIFS(Infrastructure[2048],Infrastructure[[variable_type]:[variable_type]],"CO2_transported",Infrastructure[[storage_site]:[storage_site]],"="&amp;$B441,Infrastructure[[cluster]:[cluster]],"="&amp;$B$439)/1000,"")</f>
        <v>0</v>
      </c>
      <c r="AE441" s="41">
        <f>IFERROR(SUMIFS(Infrastructure[2049],Infrastructure[[variable_type]:[variable_type]],"CO2_transported",Infrastructure[[storage_site]:[storage_site]],"="&amp;$B441,Infrastructure[[cluster]:[cluster]],"="&amp;$B$439)/1000,"")</f>
        <v>0</v>
      </c>
      <c r="AF441" s="41">
        <f>IFERROR(SUMIFS(Infrastructure[2050],Infrastructure[[variable_type]:[variable_type]],"CO2_transported",Infrastructure[[storage_site]:[storage_site]],"="&amp;$B441,Infrastructure[[cluster]:[cluster]],"="&amp;$B$439)/1000,"")</f>
        <v>0</v>
      </c>
      <c r="AG441" s="41">
        <f>IFERROR(SUMIFS(Infrastructure[2051],Infrastructure[[variable_type]:[variable_type]],"CO2_transported",Infrastructure[[storage_site]:[storage_site]],"="&amp;$B441,Infrastructure[[cluster]:[cluster]],"="&amp;$B$439)/1000,"")</f>
        <v>0</v>
      </c>
    </row>
    <row r="442" spans="2:33" x14ac:dyDescent="0.45">
      <c r="B442" s="24" t="s">
        <v>79</v>
      </c>
      <c r="C442" s="41">
        <f>IFERROR(SUMIFS(Infrastructure[2021],Infrastructure[[variable_type]:[variable_type]],"CO2_transported",Infrastructure[[storage_site]:[storage_site]],"="&amp;$B442,Infrastructure[[cluster]:[cluster]],"="&amp;$B$439)/1000,"")</f>
        <v>0</v>
      </c>
      <c r="D442" s="41">
        <f>IFERROR(SUMIFS(Infrastructure[2022],Infrastructure[[variable_type]:[variable_type]],"CO2_transported",Infrastructure[[storage_site]:[storage_site]],"="&amp;$B442,Infrastructure[[cluster]:[cluster]],"="&amp;$B$439)/1000,"")</f>
        <v>0</v>
      </c>
      <c r="E442" s="41">
        <f>IFERROR(SUMIFS(Infrastructure[2023],Infrastructure[[variable_type]:[variable_type]],"CO2_transported",Infrastructure[[storage_site]:[storage_site]],"="&amp;$B442,Infrastructure[[cluster]:[cluster]],"="&amp;$B$439)/1000,"")</f>
        <v>0</v>
      </c>
      <c r="F442" s="41">
        <f>IFERROR(SUMIFS(Infrastructure[2024],Infrastructure[[variable_type]:[variable_type]],"CO2_transported",Infrastructure[[storage_site]:[storage_site]],"="&amp;$B442,Infrastructure[[cluster]:[cluster]],"="&amp;$B$439)/1000,"")</f>
        <v>0</v>
      </c>
      <c r="G442" s="41">
        <f>IFERROR(SUMIFS(Infrastructure[2025],Infrastructure[[variable_type]:[variable_type]],"CO2_transported",Infrastructure[[storage_site]:[storage_site]],"="&amp;$B442,Infrastructure[[cluster]:[cluster]],"="&amp;$B$439)/1000,"")</f>
        <v>0</v>
      </c>
      <c r="H442" s="41">
        <f>IFERROR(SUMIFS(Infrastructure[2026],Infrastructure[[variable_type]:[variable_type]],"CO2_transported",Infrastructure[[storage_site]:[storage_site]],"="&amp;$B442,Infrastructure[[cluster]:[cluster]],"="&amp;$B$439)/1000,"")</f>
        <v>0</v>
      </c>
      <c r="I442" s="41">
        <f>IFERROR(SUMIFS(Infrastructure[2027],Infrastructure[[variable_type]:[variable_type]],"CO2_transported",Infrastructure[[storage_site]:[storage_site]],"="&amp;$B442,Infrastructure[[cluster]:[cluster]],"="&amp;$B$439)/1000,"")</f>
        <v>0</v>
      </c>
      <c r="J442" s="41">
        <f>IFERROR(SUMIFS(Infrastructure[2028],Infrastructure[[variable_type]:[variable_type]],"CO2_transported",Infrastructure[[storage_site]:[storage_site]],"="&amp;$B442,Infrastructure[[cluster]:[cluster]],"="&amp;$B$439)/1000,"")</f>
        <v>0</v>
      </c>
      <c r="K442" s="41">
        <f>IFERROR(SUMIFS(Infrastructure[2029],Infrastructure[[variable_type]:[variable_type]],"CO2_transported",Infrastructure[[storage_site]:[storage_site]],"="&amp;$B442,Infrastructure[[cluster]:[cluster]],"="&amp;$B$439)/1000,"")</f>
        <v>0</v>
      </c>
      <c r="L442" s="41">
        <f>IFERROR(SUMIFS(Infrastructure[2030],Infrastructure[[variable_type]:[variable_type]],"CO2_transported",Infrastructure[[storage_site]:[storage_site]],"="&amp;$B442,Infrastructure[[cluster]:[cluster]],"="&amp;$B$439)/1000,"")</f>
        <v>0</v>
      </c>
      <c r="M442" s="41">
        <f>IFERROR(SUMIFS(Infrastructure[2031],Infrastructure[[variable_type]:[variable_type]],"CO2_transported",Infrastructure[[storage_site]:[storage_site]],"="&amp;$B442,Infrastructure[[cluster]:[cluster]],"="&amp;$B$439)/1000,"")</f>
        <v>0</v>
      </c>
      <c r="N442" s="41">
        <f>IFERROR(SUMIFS(Infrastructure[2032],Infrastructure[[variable_type]:[variable_type]],"CO2_transported",Infrastructure[[storage_site]:[storage_site]],"="&amp;$B442,Infrastructure[[cluster]:[cluster]],"="&amp;$B$439)/1000,"")</f>
        <v>0</v>
      </c>
      <c r="O442" s="41">
        <f>IFERROR(SUMIFS(Infrastructure[2033],Infrastructure[[variable_type]:[variable_type]],"CO2_transported",Infrastructure[[storage_site]:[storage_site]],"="&amp;$B442,Infrastructure[[cluster]:[cluster]],"="&amp;$B$439)/1000,"")</f>
        <v>0</v>
      </c>
      <c r="P442" s="41">
        <f>IFERROR(SUMIFS(Infrastructure[2034],Infrastructure[[variable_type]:[variable_type]],"CO2_transported",Infrastructure[[storage_site]:[storage_site]],"="&amp;$B442,Infrastructure[[cluster]:[cluster]],"="&amp;$B$439)/1000,"")</f>
        <v>0</v>
      </c>
      <c r="Q442" s="41">
        <f>IFERROR(SUMIFS(Infrastructure[2035],Infrastructure[[variable_type]:[variable_type]],"CO2_transported",Infrastructure[[storage_site]:[storage_site]],"="&amp;$B442,Infrastructure[[cluster]:[cluster]],"="&amp;$B$439)/1000,"")</f>
        <v>0</v>
      </c>
      <c r="R442" s="41">
        <f>IFERROR(SUMIFS(Infrastructure[2036],Infrastructure[[variable_type]:[variable_type]],"CO2_transported",Infrastructure[[storage_site]:[storage_site]],"="&amp;$B442,Infrastructure[[cluster]:[cluster]],"="&amp;$B$439)/1000,"")</f>
        <v>0</v>
      </c>
      <c r="S442" s="41">
        <f>IFERROR(SUMIFS(Infrastructure[2037],Infrastructure[[variable_type]:[variable_type]],"CO2_transported",Infrastructure[[storage_site]:[storage_site]],"="&amp;$B442,Infrastructure[[cluster]:[cluster]],"="&amp;$B$439)/1000,"")</f>
        <v>0</v>
      </c>
      <c r="T442" s="41">
        <f>IFERROR(SUMIFS(Infrastructure[2038],Infrastructure[[variable_type]:[variable_type]],"CO2_transported",Infrastructure[[storage_site]:[storage_site]],"="&amp;$B442,Infrastructure[[cluster]:[cluster]],"="&amp;$B$439)/1000,"")</f>
        <v>0</v>
      </c>
      <c r="U442" s="41">
        <f>IFERROR(SUMIFS(Infrastructure[2039],Infrastructure[[variable_type]:[variable_type]],"CO2_transported",Infrastructure[[storage_site]:[storage_site]],"="&amp;$B442,Infrastructure[[cluster]:[cluster]],"="&amp;$B$439)/1000,"")</f>
        <v>0</v>
      </c>
      <c r="V442" s="41">
        <f>IFERROR(SUMIFS(Infrastructure[2040],Infrastructure[[variable_type]:[variable_type]],"CO2_transported",Infrastructure[[storage_site]:[storage_site]],"="&amp;$B442,Infrastructure[[cluster]:[cluster]],"="&amp;$B$439)/1000,"")</f>
        <v>0</v>
      </c>
      <c r="W442" s="41">
        <f>IFERROR(SUMIFS(Infrastructure[2041],Infrastructure[[variable_type]:[variable_type]],"CO2_transported",Infrastructure[[storage_site]:[storage_site]],"="&amp;$B442,Infrastructure[[cluster]:[cluster]],"="&amp;$B$439)/1000,"")</f>
        <v>0</v>
      </c>
      <c r="X442" s="41">
        <f>IFERROR(SUMIFS(Infrastructure[2042],Infrastructure[[variable_type]:[variable_type]],"CO2_transported",Infrastructure[[storage_site]:[storage_site]],"="&amp;$B442,Infrastructure[[cluster]:[cluster]],"="&amp;$B$439)/1000,"")</f>
        <v>0</v>
      </c>
      <c r="Y442" s="41">
        <f>IFERROR(SUMIFS(Infrastructure[2043],Infrastructure[[variable_type]:[variable_type]],"CO2_transported",Infrastructure[[storage_site]:[storage_site]],"="&amp;$B442,Infrastructure[[cluster]:[cluster]],"="&amp;$B$439)/1000,"")</f>
        <v>0</v>
      </c>
      <c r="Z442" s="41">
        <f>IFERROR(SUMIFS(Infrastructure[2044],Infrastructure[[variable_type]:[variable_type]],"CO2_transported",Infrastructure[[storage_site]:[storage_site]],"="&amp;$B442,Infrastructure[[cluster]:[cluster]],"="&amp;$B$439)/1000,"")</f>
        <v>0</v>
      </c>
      <c r="AA442" s="41">
        <f>IFERROR(SUMIFS(Infrastructure[2045],Infrastructure[[variable_type]:[variable_type]],"CO2_transported",Infrastructure[[storage_site]:[storage_site]],"="&amp;$B442,Infrastructure[[cluster]:[cluster]],"="&amp;$B$439)/1000,"")</f>
        <v>0</v>
      </c>
      <c r="AB442" s="41">
        <f>IFERROR(SUMIFS(Infrastructure[2046],Infrastructure[[variable_type]:[variable_type]],"CO2_transported",Infrastructure[[storage_site]:[storage_site]],"="&amp;$B442,Infrastructure[[cluster]:[cluster]],"="&amp;$B$439)/1000,"")</f>
        <v>0</v>
      </c>
      <c r="AC442" s="41">
        <f>IFERROR(SUMIFS(Infrastructure[2047],Infrastructure[[variable_type]:[variable_type]],"CO2_transported",Infrastructure[[storage_site]:[storage_site]],"="&amp;$B442,Infrastructure[[cluster]:[cluster]],"="&amp;$B$439)/1000,"")</f>
        <v>0</v>
      </c>
      <c r="AD442" s="41">
        <f>IFERROR(SUMIFS(Infrastructure[2048],Infrastructure[[variable_type]:[variable_type]],"CO2_transported",Infrastructure[[storage_site]:[storage_site]],"="&amp;$B442,Infrastructure[[cluster]:[cluster]],"="&amp;$B$439)/1000,"")</f>
        <v>0</v>
      </c>
      <c r="AE442" s="41">
        <f>IFERROR(SUMIFS(Infrastructure[2049],Infrastructure[[variable_type]:[variable_type]],"CO2_transported",Infrastructure[[storage_site]:[storage_site]],"="&amp;$B442,Infrastructure[[cluster]:[cluster]],"="&amp;$B$439)/1000,"")</f>
        <v>0</v>
      </c>
      <c r="AF442" s="41">
        <f>IFERROR(SUMIFS(Infrastructure[2050],Infrastructure[[variable_type]:[variable_type]],"CO2_transported",Infrastructure[[storage_site]:[storage_site]],"="&amp;$B442,Infrastructure[[cluster]:[cluster]],"="&amp;$B$439)/1000,"")</f>
        <v>0</v>
      </c>
      <c r="AG442" s="41">
        <f>IFERROR(SUMIFS(Infrastructure[2051],Infrastructure[[variable_type]:[variable_type]],"CO2_transported",Infrastructure[[storage_site]:[storage_site]],"="&amp;$B442,Infrastructure[[cluster]:[cluster]],"="&amp;$B$439)/1000,"")</f>
        <v>0</v>
      </c>
    </row>
    <row r="443" spans="2:33" x14ac:dyDescent="0.45">
      <c r="B443" s="6" t="s">
        <v>76</v>
      </c>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row>
    <row r="444" spans="2:33" x14ac:dyDescent="0.45">
      <c r="B444" s="24" t="s">
        <v>80</v>
      </c>
      <c r="C444" s="41">
        <f>IFERROR(SUMIFS(Infrastructure[2021],Infrastructure[[variable_type]:[variable_type]],"CO2_transported",Infrastructure[[storage_site]:[storage_site]],"="&amp;$B444,Infrastructure[[cluster]:[cluster]],"="&amp;$B$443)/1000,"")</f>
        <v>0</v>
      </c>
      <c r="D444" s="41">
        <f>IFERROR(SUMIFS(Infrastructure[2022],Infrastructure[[variable_type]:[variable_type]],"CO2_transported",Infrastructure[[storage_site]:[storage_site]],"="&amp;$B444,Infrastructure[[cluster]:[cluster]],"="&amp;$B$443)/1000,"")</f>
        <v>0</v>
      </c>
      <c r="E444" s="41">
        <f>IFERROR(SUMIFS(Infrastructure[2023],Infrastructure[[variable_type]:[variable_type]],"CO2_transported",Infrastructure[[storage_site]:[storage_site]],"="&amp;$B444,Infrastructure[[cluster]:[cluster]],"="&amp;$B$443)/1000,"")</f>
        <v>0</v>
      </c>
      <c r="F444" s="41">
        <f>IFERROR(SUMIFS(Infrastructure[2024],Infrastructure[[variable_type]:[variable_type]],"CO2_transported",Infrastructure[[storage_site]:[storage_site]],"="&amp;$B444,Infrastructure[[cluster]:[cluster]],"="&amp;$B$443)/1000,"")</f>
        <v>0</v>
      </c>
      <c r="G444" s="41">
        <f>IFERROR(SUMIFS(Infrastructure[2025],Infrastructure[[variable_type]:[variable_type]],"CO2_transported",Infrastructure[[storage_site]:[storage_site]],"="&amp;$B444,Infrastructure[[cluster]:[cluster]],"="&amp;$B$443)/1000,"")</f>
        <v>0</v>
      </c>
      <c r="H444" s="41">
        <f>IFERROR(SUMIFS(Infrastructure[2026],Infrastructure[[variable_type]:[variable_type]],"CO2_transported",Infrastructure[[storage_site]:[storage_site]],"="&amp;$B444,Infrastructure[[cluster]:[cluster]],"="&amp;$B$443)/1000,"")</f>
        <v>0</v>
      </c>
      <c r="I444" s="41">
        <f>IFERROR(SUMIFS(Infrastructure[2027],Infrastructure[[variable_type]:[variable_type]],"CO2_transported",Infrastructure[[storage_site]:[storage_site]],"="&amp;$B444,Infrastructure[[cluster]:[cluster]],"="&amp;$B$443)/1000,"")</f>
        <v>0</v>
      </c>
      <c r="J444" s="41">
        <f>IFERROR(SUMIFS(Infrastructure[2028],Infrastructure[[variable_type]:[variable_type]],"CO2_transported",Infrastructure[[storage_site]:[storage_site]],"="&amp;$B444,Infrastructure[[cluster]:[cluster]],"="&amp;$B$443)/1000,"")</f>
        <v>0</v>
      </c>
      <c r="K444" s="41">
        <f>IFERROR(SUMIFS(Infrastructure[2029],Infrastructure[[variable_type]:[variable_type]],"CO2_transported",Infrastructure[[storage_site]:[storage_site]],"="&amp;$B444,Infrastructure[[cluster]:[cluster]],"="&amp;$B$443)/1000,"")</f>
        <v>0</v>
      </c>
      <c r="L444" s="41">
        <f>IFERROR(SUMIFS(Infrastructure[2030],Infrastructure[[variable_type]:[variable_type]],"CO2_transported",Infrastructure[[storage_site]:[storage_site]],"="&amp;$B444,Infrastructure[[cluster]:[cluster]],"="&amp;$B$443)/1000,"")</f>
        <v>0</v>
      </c>
      <c r="M444" s="41">
        <f>IFERROR(SUMIFS(Infrastructure[2031],Infrastructure[[variable_type]:[variable_type]],"CO2_transported",Infrastructure[[storage_site]:[storage_site]],"="&amp;$B444,Infrastructure[[cluster]:[cluster]],"="&amp;$B$443)/1000,"")</f>
        <v>0</v>
      </c>
      <c r="N444" s="41">
        <f>IFERROR(SUMIFS(Infrastructure[2032],Infrastructure[[variable_type]:[variable_type]],"CO2_transported",Infrastructure[[storage_site]:[storage_site]],"="&amp;$B444,Infrastructure[[cluster]:[cluster]],"="&amp;$B$443)/1000,"")</f>
        <v>0</v>
      </c>
      <c r="O444" s="41">
        <f>IFERROR(SUMIFS(Infrastructure[2033],Infrastructure[[variable_type]:[variable_type]],"CO2_transported",Infrastructure[[storage_site]:[storage_site]],"="&amp;$B444,Infrastructure[[cluster]:[cluster]],"="&amp;$B$443)/1000,"")</f>
        <v>0</v>
      </c>
      <c r="P444" s="41">
        <f>IFERROR(SUMIFS(Infrastructure[2034],Infrastructure[[variable_type]:[variable_type]],"CO2_transported",Infrastructure[[storage_site]:[storage_site]],"="&amp;$B444,Infrastructure[[cluster]:[cluster]],"="&amp;$B$443)/1000,"")</f>
        <v>0</v>
      </c>
      <c r="Q444" s="41">
        <f>IFERROR(SUMIFS(Infrastructure[2035],Infrastructure[[variable_type]:[variable_type]],"CO2_transported",Infrastructure[[storage_site]:[storage_site]],"="&amp;$B444,Infrastructure[[cluster]:[cluster]],"="&amp;$B$443)/1000,"")</f>
        <v>0</v>
      </c>
      <c r="R444" s="41">
        <f>IFERROR(SUMIFS(Infrastructure[2036],Infrastructure[[variable_type]:[variable_type]],"CO2_transported",Infrastructure[[storage_site]:[storage_site]],"="&amp;$B444,Infrastructure[[cluster]:[cluster]],"="&amp;$B$443)/1000,"")</f>
        <v>0</v>
      </c>
      <c r="S444" s="41">
        <f>IFERROR(SUMIFS(Infrastructure[2037],Infrastructure[[variable_type]:[variable_type]],"CO2_transported",Infrastructure[[storage_site]:[storage_site]],"="&amp;$B444,Infrastructure[[cluster]:[cluster]],"="&amp;$B$443)/1000,"")</f>
        <v>0</v>
      </c>
      <c r="T444" s="41">
        <f>IFERROR(SUMIFS(Infrastructure[2038],Infrastructure[[variable_type]:[variable_type]],"CO2_transported",Infrastructure[[storage_site]:[storage_site]],"="&amp;$B444,Infrastructure[[cluster]:[cluster]],"="&amp;$B$443)/1000,"")</f>
        <v>0</v>
      </c>
      <c r="U444" s="41">
        <f>IFERROR(SUMIFS(Infrastructure[2039],Infrastructure[[variable_type]:[variable_type]],"CO2_transported",Infrastructure[[storage_site]:[storage_site]],"="&amp;$B444,Infrastructure[[cluster]:[cluster]],"="&amp;$B$443)/1000,"")</f>
        <v>0</v>
      </c>
      <c r="V444" s="41">
        <f>IFERROR(SUMIFS(Infrastructure[2040],Infrastructure[[variable_type]:[variable_type]],"CO2_transported",Infrastructure[[storage_site]:[storage_site]],"="&amp;$B444,Infrastructure[[cluster]:[cluster]],"="&amp;$B$443)/1000,"")</f>
        <v>0</v>
      </c>
      <c r="W444" s="41">
        <f>IFERROR(SUMIFS(Infrastructure[2041],Infrastructure[[variable_type]:[variable_type]],"CO2_transported",Infrastructure[[storage_site]:[storage_site]],"="&amp;$B444,Infrastructure[[cluster]:[cluster]],"="&amp;$B$443)/1000,"")</f>
        <v>0</v>
      </c>
      <c r="X444" s="41">
        <f>IFERROR(SUMIFS(Infrastructure[2042],Infrastructure[[variable_type]:[variable_type]],"CO2_transported",Infrastructure[[storage_site]:[storage_site]],"="&amp;$B444,Infrastructure[[cluster]:[cluster]],"="&amp;$B$443)/1000,"")</f>
        <v>0</v>
      </c>
      <c r="Y444" s="41">
        <f>IFERROR(SUMIFS(Infrastructure[2043],Infrastructure[[variable_type]:[variable_type]],"CO2_transported",Infrastructure[[storage_site]:[storage_site]],"="&amp;$B444,Infrastructure[[cluster]:[cluster]],"="&amp;$B$443)/1000,"")</f>
        <v>0</v>
      </c>
      <c r="Z444" s="41">
        <f>IFERROR(SUMIFS(Infrastructure[2044],Infrastructure[[variable_type]:[variable_type]],"CO2_transported",Infrastructure[[storage_site]:[storage_site]],"="&amp;$B444,Infrastructure[[cluster]:[cluster]],"="&amp;$B$443)/1000,"")</f>
        <v>0</v>
      </c>
      <c r="AA444" s="41">
        <f>IFERROR(SUMIFS(Infrastructure[2045],Infrastructure[[variable_type]:[variable_type]],"CO2_transported",Infrastructure[[storage_site]:[storage_site]],"="&amp;$B444,Infrastructure[[cluster]:[cluster]],"="&amp;$B$443)/1000,"")</f>
        <v>0</v>
      </c>
      <c r="AB444" s="41">
        <f>IFERROR(SUMIFS(Infrastructure[2046],Infrastructure[[variable_type]:[variable_type]],"CO2_transported",Infrastructure[[storage_site]:[storage_site]],"="&amp;$B444,Infrastructure[[cluster]:[cluster]],"="&amp;$B$443)/1000,"")</f>
        <v>0</v>
      </c>
      <c r="AC444" s="41">
        <f>IFERROR(SUMIFS(Infrastructure[2047],Infrastructure[[variable_type]:[variable_type]],"CO2_transported",Infrastructure[[storage_site]:[storage_site]],"="&amp;$B444,Infrastructure[[cluster]:[cluster]],"="&amp;$B$443)/1000,"")</f>
        <v>0</v>
      </c>
      <c r="AD444" s="41">
        <f>IFERROR(SUMIFS(Infrastructure[2048],Infrastructure[[variable_type]:[variable_type]],"CO2_transported",Infrastructure[[storage_site]:[storage_site]],"="&amp;$B444,Infrastructure[[cluster]:[cluster]],"="&amp;$B$443)/1000,"")</f>
        <v>0</v>
      </c>
      <c r="AE444" s="41">
        <f>IFERROR(SUMIFS(Infrastructure[2049],Infrastructure[[variable_type]:[variable_type]],"CO2_transported",Infrastructure[[storage_site]:[storage_site]],"="&amp;$B444,Infrastructure[[cluster]:[cluster]],"="&amp;$B$443)/1000,"")</f>
        <v>0</v>
      </c>
      <c r="AF444" s="41">
        <f>IFERROR(SUMIFS(Infrastructure[2050],Infrastructure[[variable_type]:[variable_type]],"CO2_transported",Infrastructure[[storage_site]:[storage_site]],"="&amp;$B444,Infrastructure[[cluster]:[cluster]],"="&amp;$B$443)/1000,"")</f>
        <v>0</v>
      </c>
      <c r="AG444" s="41">
        <f>IFERROR(SUMIFS(Infrastructure[2051],Infrastructure[[variable_type]:[variable_type]],"CO2_transported",Infrastructure[[storage_site]:[storage_site]],"="&amp;$B444,Infrastructure[[cluster]:[cluster]],"="&amp;$B$443)/1000,"")</f>
        <v>0</v>
      </c>
    </row>
    <row r="445" spans="2:33" x14ac:dyDescent="0.45">
      <c r="B445" s="24" t="s">
        <v>81</v>
      </c>
      <c r="C445" s="41">
        <f>IFERROR(SUMIFS(Infrastructure[2021],Infrastructure[[variable_type]:[variable_type]],"CO2_transported",Infrastructure[[storage_site]:[storage_site]],"="&amp;$B445,Infrastructure[[cluster]:[cluster]],"="&amp;$B$443)/1000,"")</f>
        <v>0</v>
      </c>
      <c r="D445" s="41">
        <f>IFERROR(SUMIFS(Infrastructure[2022],Infrastructure[[variable_type]:[variable_type]],"CO2_transported",Infrastructure[[storage_site]:[storage_site]],"="&amp;$B445,Infrastructure[[cluster]:[cluster]],"="&amp;$B$443)/1000,"")</f>
        <v>0</v>
      </c>
      <c r="E445" s="41">
        <f>IFERROR(SUMIFS(Infrastructure[2023],Infrastructure[[variable_type]:[variable_type]],"CO2_transported",Infrastructure[[storage_site]:[storage_site]],"="&amp;$B445,Infrastructure[[cluster]:[cluster]],"="&amp;$B$443)/1000,"")</f>
        <v>0</v>
      </c>
      <c r="F445" s="41">
        <f>IFERROR(SUMIFS(Infrastructure[2024],Infrastructure[[variable_type]:[variable_type]],"CO2_transported",Infrastructure[[storage_site]:[storage_site]],"="&amp;$B445,Infrastructure[[cluster]:[cluster]],"="&amp;$B$443)/1000,"")</f>
        <v>0</v>
      </c>
      <c r="G445" s="41">
        <f>IFERROR(SUMIFS(Infrastructure[2025],Infrastructure[[variable_type]:[variable_type]],"CO2_transported",Infrastructure[[storage_site]:[storage_site]],"="&amp;$B445,Infrastructure[[cluster]:[cluster]],"="&amp;$B$443)/1000,"")</f>
        <v>0</v>
      </c>
      <c r="H445" s="41">
        <f>IFERROR(SUMIFS(Infrastructure[2026],Infrastructure[[variable_type]:[variable_type]],"CO2_transported",Infrastructure[[storage_site]:[storage_site]],"="&amp;$B445,Infrastructure[[cluster]:[cluster]],"="&amp;$B$443)/1000,"")</f>
        <v>0</v>
      </c>
      <c r="I445" s="41">
        <f>IFERROR(SUMIFS(Infrastructure[2027],Infrastructure[[variable_type]:[variable_type]],"CO2_transported",Infrastructure[[storage_site]:[storage_site]],"="&amp;$B445,Infrastructure[[cluster]:[cluster]],"="&amp;$B$443)/1000,"")</f>
        <v>0</v>
      </c>
      <c r="J445" s="41">
        <f>IFERROR(SUMIFS(Infrastructure[2028],Infrastructure[[variable_type]:[variable_type]],"CO2_transported",Infrastructure[[storage_site]:[storage_site]],"="&amp;$B445,Infrastructure[[cluster]:[cluster]],"="&amp;$B$443)/1000,"")</f>
        <v>0</v>
      </c>
      <c r="K445" s="41">
        <f>IFERROR(SUMIFS(Infrastructure[2029],Infrastructure[[variable_type]:[variable_type]],"CO2_transported",Infrastructure[[storage_site]:[storage_site]],"="&amp;$B445,Infrastructure[[cluster]:[cluster]],"="&amp;$B$443)/1000,"")</f>
        <v>0</v>
      </c>
      <c r="L445" s="41">
        <f>IFERROR(SUMIFS(Infrastructure[2030],Infrastructure[[variable_type]:[variable_type]],"CO2_transported",Infrastructure[[storage_site]:[storage_site]],"="&amp;$B445,Infrastructure[[cluster]:[cluster]],"="&amp;$B$443)/1000,"")</f>
        <v>0</v>
      </c>
      <c r="M445" s="41">
        <f>IFERROR(SUMIFS(Infrastructure[2031],Infrastructure[[variable_type]:[variable_type]],"CO2_transported",Infrastructure[[storage_site]:[storage_site]],"="&amp;$B445,Infrastructure[[cluster]:[cluster]],"="&amp;$B$443)/1000,"")</f>
        <v>0</v>
      </c>
      <c r="N445" s="41">
        <f>IFERROR(SUMIFS(Infrastructure[2032],Infrastructure[[variable_type]:[variable_type]],"CO2_transported",Infrastructure[[storage_site]:[storage_site]],"="&amp;$B445,Infrastructure[[cluster]:[cluster]],"="&amp;$B$443)/1000,"")</f>
        <v>0</v>
      </c>
      <c r="O445" s="41">
        <f>IFERROR(SUMIFS(Infrastructure[2033],Infrastructure[[variable_type]:[variable_type]],"CO2_transported",Infrastructure[[storage_site]:[storage_site]],"="&amp;$B445,Infrastructure[[cluster]:[cluster]],"="&amp;$B$443)/1000,"")</f>
        <v>0</v>
      </c>
      <c r="P445" s="41">
        <f>IFERROR(SUMIFS(Infrastructure[2034],Infrastructure[[variable_type]:[variable_type]],"CO2_transported",Infrastructure[[storage_site]:[storage_site]],"="&amp;$B445,Infrastructure[[cluster]:[cluster]],"="&amp;$B$443)/1000,"")</f>
        <v>0</v>
      </c>
      <c r="Q445" s="41">
        <f>IFERROR(SUMIFS(Infrastructure[2035],Infrastructure[[variable_type]:[variable_type]],"CO2_transported",Infrastructure[[storage_site]:[storage_site]],"="&amp;$B445,Infrastructure[[cluster]:[cluster]],"="&amp;$B$443)/1000,"")</f>
        <v>0</v>
      </c>
      <c r="R445" s="41">
        <f>IFERROR(SUMIFS(Infrastructure[2036],Infrastructure[[variable_type]:[variable_type]],"CO2_transported",Infrastructure[[storage_site]:[storage_site]],"="&amp;$B445,Infrastructure[[cluster]:[cluster]],"="&amp;$B$443)/1000,"")</f>
        <v>0</v>
      </c>
      <c r="S445" s="41">
        <f>IFERROR(SUMIFS(Infrastructure[2037],Infrastructure[[variable_type]:[variable_type]],"CO2_transported",Infrastructure[[storage_site]:[storage_site]],"="&amp;$B445,Infrastructure[[cluster]:[cluster]],"="&amp;$B$443)/1000,"")</f>
        <v>0</v>
      </c>
      <c r="T445" s="41">
        <f>IFERROR(SUMIFS(Infrastructure[2038],Infrastructure[[variable_type]:[variable_type]],"CO2_transported",Infrastructure[[storage_site]:[storage_site]],"="&amp;$B445,Infrastructure[[cluster]:[cluster]],"="&amp;$B$443)/1000,"")</f>
        <v>0</v>
      </c>
      <c r="U445" s="41">
        <f>IFERROR(SUMIFS(Infrastructure[2039],Infrastructure[[variable_type]:[variable_type]],"CO2_transported",Infrastructure[[storage_site]:[storage_site]],"="&amp;$B445,Infrastructure[[cluster]:[cluster]],"="&amp;$B$443)/1000,"")</f>
        <v>0</v>
      </c>
      <c r="V445" s="41">
        <f>IFERROR(SUMIFS(Infrastructure[2040],Infrastructure[[variable_type]:[variable_type]],"CO2_transported",Infrastructure[[storage_site]:[storage_site]],"="&amp;$B445,Infrastructure[[cluster]:[cluster]],"="&amp;$B$443)/1000,"")</f>
        <v>0</v>
      </c>
      <c r="W445" s="41">
        <f>IFERROR(SUMIFS(Infrastructure[2041],Infrastructure[[variable_type]:[variable_type]],"CO2_transported",Infrastructure[[storage_site]:[storage_site]],"="&amp;$B445,Infrastructure[[cluster]:[cluster]],"="&amp;$B$443)/1000,"")</f>
        <v>0</v>
      </c>
      <c r="X445" s="41">
        <f>IFERROR(SUMIFS(Infrastructure[2042],Infrastructure[[variable_type]:[variable_type]],"CO2_transported",Infrastructure[[storage_site]:[storage_site]],"="&amp;$B445,Infrastructure[[cluster]:[cluster]],"="&amp;$B$443)/1000,"")</f>
        <v>0</v>
      </c>
      <c r="Y445" s="41">
        <f>IFERROR(SUMIFS(Infrastructure[2043],Infrastructure[[variable_type]:[variable_type]],"CO2_transported",Infrastructure[[storage_site]:[storage_site]],"="&amp;$B445,Infrastructure[[cluster]:[cluster]],"="&amp;$B$443)/1000,"")</f>
        <v>0</v>
      </c>
      <c r="Z445" s="41">
        <f>IFERROR(SUMIFS(Infrastructure[2044],Infrastructure[[variable_type]:[variable_type]],"CO2_transported",Infrastructure[[storage_site]:[storage_site]],"="&amp;$B445,Infrastructure[[cluster]:[cluster]],"="&amp;$B$443)/1000,"")</f>
        <v>0</v>
      </c>
      <c r="AA445" s="41">
        <f>IFERROR(SUMIFS(Infrastructure[2045],Infrastructure[[variable_type]:[variable_type]],"CO2_transported",Infrastructure[[storage_site]:[storage_site]],"="&amp;$B445,Infrastructure[[cluster]:[cluster]],"="&amp;$B$443)/1000,"")</f>
        <v>0</v>
      </c>
      <c r="AB445" s="41">
        <f>IFERROR(SUMIFS(Infrastructure[2046],Infrastructure[[variable_type]:[variable_type]],"CO2_transported",Infrastructure[[storage_site]:[storage_site]],"="&amp;$B445,Infrastructure[[cluster]:[cluster]],"="&amp;$B$443)/1000,"")</f>
        <v>0</v>
      </c>
      <c r="AC445" s="41">
        <f>IFERROR(SUMIFS(Infrastructure[2047],Infrastructure[[variable_type]:[variable_type]],"CO2_transported",Infrastructure[[storage_site]:[storage_site]],"="&amp;$B445,Infrastructure[[cluster]:[cluster]],"="&amp;$B$443)/1000,"")</f>
        <v>0</v>
      </c>
      <c r="AD445" s="41">
        <f>IFERROR(SUMIFS(Infrastructure[2048],Infrastructure[[variable_type]:[variable_type]],"CO2_transported",Infrastructure[[storage_site]:[storage_site]],"="&amp;$B445,Infrastructure[[cluster]:[cluster]],"="&amp;$B$443)/1000,"")</f>
        <v>0</v>
      </c>
      <c r="AE445" s="41">
        <f>IFERROR(SUMIFS(Infrastructure[2049],Infrastructure[[variable_type]:[variable_type]],"CO2_transported",Infrastructure[[storage_site]:[storage_site]],"="&amp;$B445,Infrastructure[[cluster]:[cluster]],"="&amp;$B$443)/1000,"")</f>
        <v>0</v>
      </c>
      <c r="AF445" s="41">
        <f>IFERROR(SUMIFS(Infrastructure[2050],Infrastructure[[variable_type]:[variable_type]],"CO2_transported",Infrastructure[[storage_site]:[storage_site]],"="&amp;$B445,Infrastructure[[cluster]:[cluster]],"="&amp;$B$443)/1000,"")</f>
        <v>0</v>
      </c>
      <c r="AG445" s="41">
        <f>IFERROR(SUMIFS(Infrastructure[2051],Infrastructure[[variable_type]:[variable_type]],"CO2_transported",Infrastructure[[storage_site]:[storage_site]],"="&amp;$B445,Infrastructure[[cluster]:[cluster]],"="&amp;$B$443)/1000,"")</f>
        <v>0</v>
      </c>
    </row>
    <row r="446" spans="2:33" x14ac:dyDescent="0.45">
      <c r="B446" s="24" t="s">
        <v>79</v>
      </c>
      <c r="C446" s="41">
        <f>IFERROR(SUMIFS(Infrastructure[2021],Infrastructure[[variable_type]:[variable_type]],"CO2_transported",Infrastructure[[storage_site]:[storage_site]],"="&amp;$B446,Infrastructure[[cluster]:[cluster]],"="&amp;$B$443)/1000,"")</f>
        <v>0</v>
      </c>
      <c r="D446" s="41">
        <f>IFERROR(SUMIFS(Infrastructure[2022],Infrastructure[[variable_type]:[variable_type]],"CO2_transported",Infrastructure[[storage_site]:[storage_site]],"="&amp;$B446,Infrastructure[[cluster]:[cluster]],"="&amp;$B$443)/1000,"")</f>
        <v>0</v>
      </c>
      <c r="E446" s="41">
        <f>IFERROR(SUMIFS(Infrastructure[2023],Infrastructure[[variable_type]:[variable_type]],"CO2_transported",Infrastructure[[storage_site]:[storage_site]],"="&amp;$B446,Infrastructure[[cluster]:[cluster]],"="&amp;$B$443)/1000,"")</f>
        <v>0</v>
      </c>
      <c r="F446" s="41">
        <f>IFERROR(SUMIFS(Infrastructure[2024],Infrastructure[[variable_type]:[variable_type]],"CO2_transported",Infrastructure[[storage_site]:[storage_site]],"="&amp;$B446,Infrastructure[[cluster]:[cluster]],"="&amp;$B$443)/1000,"")</f>
        <v>0</v>
      </c>
      <c r="G446" s="41">
        <f>IFERROR(SUMIFS(Infrastructure[2025],Infrastructure[[variable_type]:[variable_type]],"CO2_transported",Infrastructure[[storage_site]:[storage_site]],"="&amp;$B446,Infrastructure[[cluster]:[cluster]],"="&amp;$B$443)/1000,"")</f>
        <v>0</v>
      </c>
      <c r="H446" s="41">
        <f>IFERROR(SUMIFS(Infrastructure[2026],Infrastructure[[variable_type]:[variable_type]],"CO2_transported",Infrastructure[[storage_site]:[storage_site]],"="&amp;$B446,Infrastructure[[cluster]:[cluster]],"="&amp;$B$443)/1000,"")</f>
        <v>0</v>
      </c>
      <c r="I446" s="41">
        <f>IFERROR(SUMIFS(Infrastructure[2027],Infrastructure[[variable_type]:[variable_type]],"CO2_transported",Infrastructure[[storage_site]:[storage_site]],"="&amp;$B446,Infrastructure[[cluster]:[cluster]],"="&amp;$B$443)/1000,"")</f>
        <v>0</v>
      </c>
      <c r="J446" s="41">
        <f>IFERROR(SUMIFS(Infrastructure[2028],Infrastructure[[variable_type]:[variable_type]],"CO2_transported",Infrastructure[[storage_site]:[storage_site]],"="&amp;$B446,Infrastructure[[cluster]:[cluster]],"="&amp;$B$443)/1000,"")</f>
        <v>0</v>
      </c>
      <c r="K446" s="41">
        <f>IFERROR(SUMIFS(Infrastructure[2029],Infrastructure[[variable_type]:[variable_type]],"CO2_transported",Infrastructure[[storage_site]:[storage_site]],"="&amp;$B446,Infrastructure[[cluster]:[cluster]],"="&amp;$B$443)/1000,"")</f>
        <v>0</v>
      </c>
      <c r="L446" s="41">
        <f>IFERROR(SUMIFS(Infrastructure[2030],Infrastructure[[variable_type]:[variable_type]],"CO2_transported",Infrastructure[[storage_site]:[storage_site]],"="&amp;$B446,Infrastructure[[cluster]:[cluster]],"="&amp;$B$443)/1000,"")</f>
        <v>0</v>
      </c>
      <c r="M446" s="41">
        <f>IFERROR(SUMIFS(Infrastructure[2031],Infrastructure[[variable_type]:[variable_type]],"CO2_transported",Infrastructure[[storage_site]:[storage_site]],"="&amp;$B446,Infrastructure[[cluster]:[cluster]],"="&amp;$B$443)/1000,"")</f>
        <v>0</v>
      </c>
      <c r="N446" s="41">
        <f>IFERROR(SUMIFS(Infrastructure[2032],Infrastructure[[variable_type]:[variable_type]],"CO2_transported",Infrastructure[[storage_site]:[storage_site]],"="&amp;$B446,Infrastructure[[cluster]:[cluster]],"="&amp;$B$443)/1000,"")</f>
        <v>0</v>
      </c>
      <c r="O446" s="41">
        <f>IFERROR(SUMIFS(Infrastructure[2033],Infrastructure[[variable_type]:[variable_type]],"CO2_transported",Infrastructure[[storage_site]:[storage_site]],"="&amp;$B446,Infrastructure[[cluster]:[cluster]],"="&amp;$B$443)/1000,"")</f>
        <v>0</v>
      </c>
      <c r="P446" s="41">
        <f>IFERROR(SUMIFS(Infrastructure[2034],Infrastructure[[variable_type]:[variable_type]],"CO2_transported",Infrastructure[[storage_site]:[storage_site]],"="&amp;$B446,Infrastructure[[cluster]:[cluster]],"="&amp;$B$443)/1000,"")</f>
        <v>0</v>
      </c>
      <c r="Q446" s="41">
        <f>IFERROR(SUMIFS(Infrastructure[2035],Infrastructure[[variable_type]:[variable_type]],"CO2_transported",Infrastructure[[storage_site]:[storage_site]],"="&amp;$B446,Infrastructure[[cluster]:[cluster]],"="&amp;$B$443)/1000,"")</f>
        <v>0</v>
      </c>
      <c r="R446" s="41">
        <f>IFERROR(SUMIFS(Infrastructure[2036],Infrastructure[[variable_type]:[variable_type]],"CO2_transported",Infrastructure[[storage_site]:[storage_site]],"="&amp;$B446,Infrastructure[[cluster]:[cluster]],"="&amp;$B$443)/1000,"")</f>
        <v>0</v>
      </c>
      <c r="S446" s="41">
        <f>IFERROR(SUMIFS(Infrastructure[2037],Infrastructure[[variable_type]:[variable_type]],"CO2_transported",Infrastructure[[storage_site]:[storage_site]],"="&amp;$B446,Infrastructure[[cluster]:[cluster]],"="&amp;$B$443)/1000,"")</f>
        <v>0</v>
      </c>
      <c r="T446" s="41">
        <f>IFERROR(SUMIFS(Infrastructure[2038],Infrastructure[[variable_type]:[variable_type]],"CO2_transported",Infrastructure[[storage_site]:[storage_site]],"="&amp;$B446,Infrastructure[[cluster]:[cluster]],"="&amp;$B$443)/1000,"")</f>
        <v>0</v>
      </c>
      <c r="U446" s="41">
        <f>IFERROR(SUMIFS(Infrastructure[2039],Infrastructure[[variable_type]:[variable_type]],"CO2_transported",Infrastructure[[storage_site]:[storage_site]],"="&amp;$B446,Infrastructure[[cluster]:[cluster]],"="&amp;$B$443)/1000,"")</f>
        <v>0</v>
      </c>
      <c r="V446" s="41">
        <f>IFERROR(SUMIFS(Infrastructure[2040],Infrastructure[[variable_type]:[variable_type]],"CO2_transported",Infrastructure[[storage_site]:[storage_site]],"="&amp;$B446,Infrastructure[[cluster]:[cluster]],"="&amp;$B$443)/1000,"")</f>
        <v>0</v>
      </c>
      <c r="W446" s="41">
        <f>IFERROR(SUMIFS(Infrastructure[2041],Infrastructure[[variable_type]:[variable_type]],"CO2_transported",Infrastructure[[storage_site]:[storage_site]],"="&amp;$B446,Infrastructure[[cluster]:[cluster]],"="&amp;$B$443)/1000,"")</f>
        <v>0</v>
      </c>
      <c r="X446" s="41">
        <f>IFERROR(SUMIFS(Infrastructure[2042],Infrastructure[[variable_type]:[variable_type]],"CO2_transported",Infrastructure[[storage_site]:[storage_site]],"="&amp;$B446,Infrastructure[[cluster]:[cluster]],"="&amp;$B$443)/1000,"")</f>
        <v>0</v>
      </c>
      <c r="Y446" s="41">
        <f>IFERROR(SUMIFS(Infrastructure[2043],Infrastructure[[variable_type]:[variable_type]],"CO2_transported",Infrastructure[[storage_site]:[storage_site]],"="&amp;$B446,Infrastructure[[cluster]:[cluster]],"="&amp;$B$443)/1000,"")</f>
        <v>0</v>
      </c>
      <c r="Z446" s="41">
        <f>IFERROR(SUMIFS(Infrastructure[2044],Infrastructure[[variable_type]:[variable_type]],"CO2_transported",Infrastructure[[storage_site]:[storage_site]],"="&amp;$B446,Infrastructure[[cluster]:[cluster]],"="&amp;$B$443)/1000,"")</f>
        <v>0</v>
      </c>
      <c r="AA446" s="41">
        <f>IFERROR(SUMIFS(Infrastructure[2045],Infrastructure[[variable_type]:[variable_type]],"CO2_transported",Infrastructure[[storage_site]:[storage_site]],"="&amp;$B446,Infrastructure[[cluster]:[cluster]],"="&amp;$B$443)/1000,"")</f>
        <v>0</v>
      </c>
      <c r="AB446" s="41">
        <f>IFERROR(SUMIFS(Infrastructure[2046],Infrastructure[[variable_type]:[variable_type]],"CO2_transported",Infrastructure[[storage_site]:[storage_site]],"="&amp;$B446,Infrastructure[[cluster]:[cluster]],"="&amp;$B$443)/1000,"")</f>
        <v>0</v>
      </c>
      <c r="AC446" s="41">
        <f>IFERROR(SUMIFS(Infrastructure[2047],Infrastructure[[variable_type]:[variable_type]],"CO2_transported",Infrastructure[[storage_site]:[storage_site]],"="&amp;$B446,Infrastructure[[cluster]:[cluster]],"="&amp;$B$443)/1000,"")</f>
        <v>0</v>
      </c>
      <c r="AD446" s="41">
        <f>IFERROR(SUMIFS(Infrastructure[2048],Infrastructure[[variable_type]:[variable_type]],"CO2_transported",Infrastructure[[storage_site]:[storage_site]],"="&amp;$B446,Infrastructure[[cluster]:[cluster]],"="&amp;$B$443)/1000,"")</f>
        <v>0</v>
      </c>
      <c r="AE446" s="41">
        <f>IFERROR(SUMIFS(Infrastructure[2049],Infrastructure[[variable_type]:[variable_type]],"CO2_transported",Infrastructure[[storage_site]:[storage_site]],"="&amp;$B446,Infrastructure[[cluster]:[cluster]],"="&amp;$B$443)/1000,"")</f>
        <v>0</v>
      </c>
      <c r="AF446" s="41">
        <f>IFERROR(SUMIFS(Infrastructure[2050],Infrastructure[[variable_type]:[variable_type]],"CO2_transported",Infrastructure[[storage_site]:[storage_site]],"="&amp;$B446,Infrastructure[[cluster]:[cluster]],"="&amp;$B$443)/1000,"")</f>
        <v>0</v>
      </c>
      <c r="AG446" s="41">
        <f>IFERROR(SUMIFS(Infrastructure[2051],Infrastructure[[variable_type]:[variable_type]],"CO2_transported",Infrastructure[[storage_site]:[storage_site]],"="&amp;$B446,Infrastructure[[cluster]:[cluster]],"="&amp;$B$443)/1000,"")</f>
        <v>0</v>
      </c>
    </row>
    <row r="447" spans="2:33" x14ac:dyDescent="0.45">
      <c r="B447" s="6" t="s">
        <v>77</v>
      </c>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row>
    <row r="448" spans="2:33" x14ac:dyDescent="0.45">
      <c r="B448" s="24" t="s">
        <v>80</v>
      </c>
      <c r="C448" s="41">
        <f>IFERROR(SUMIFS(Infrastructure[2021],Infrastructure[[variable_type]:[variable_type]],"CO2_transported",Infrastructure[[storage_site]:[storage_site]],"="&amp;$B448,Infrastructure[[cluster]:[cluster]],"="&amp;$B$447)/1000,"")</f>
        <v>0</v>
      </c>
      <c r="D448" s="41">
        <f>IFERROR(SUMIFS(Infrastructure[2022],Infrastructure[[variable_type]:[variable_type]],"CO2_transported",Infrastructure[[storage_site]:[storage_site]],"="&amp;$B448,Infrastructure[[cluster]:[cluster]],"="&amp;$B$447)/1000,"")</f>
        <v>0</v>
      </c>
      <c r="E448" s="41">
        <f>IFERROR(SUMIFS(Infrastructure[2023],Infrastructure[[variable_type]:[variable_type]],"CO2_transported",Infrastructure[[storage_site]:[storage_site]],"="&amp;$B448,Infrastructure[[cluster]:[cluster]],"="&amp;$B$447)/1000,"")</f>
        <v>0</v>
      </c>
      <c r="F448" s="41">
        <f>IFERROR(SUMIFS(Infrastructure[2024],Infrastructure[[variable_type]:[variable_type]],"CO2_transported",Infrastructure[[storage_site]:[storage_site]],"="&amp;$B448,Infrastructure[[cluster]:[cluster]],"="&amp;$B$447)/1000,"")</f>
        <v>0</v>
      </c>
      <c r="G448" s="41">
        <f>IFERROR(SUMIFS(Infrastructure[2025],Infrastructure[[variable_type]:[variable_type]],"CO2_transported",Infrastructure[[storage_site]:[storage_site]],"="&amp;$B448,Infrastructure[[cluster]:[cluster]],"="&amp;$B$447)/1000,"")</f>
        <v>0</v>
      </c>
      <c r="H448" s="41">
        <f>IFERROR(SUMIFS(Infrastructure[2026],Infrastructure[[variable_type]:[variable_type]],"CO2_transported",Infrastructure[[storage_site]:[storage_site]],"="&amp;$B448,Infrastructure[[cluster]:[cluster]],"="&amp;$B$447)/1000,"")</f>
        <v>0</v>
      </c>
      <c r="I448" s="41">
        <f>IFERROR(SUMIFS(Infrastructure[2027],Infrastructure[[variable_type]:[variable_type]],"CO2_transported",Infrastructure[[storage_site]:[storage_site]],"="&amp;$B448,Infrastructure[[cluster]:[cluster]],"="&amp;$B$447)/1000,"")</f>
        <v>0</v>
      </c>
      <c r="J448" s="41">
        <f>IFERROR(SUMIFS(Infrastructure[2028],Infrastructure[[variable_type]:[variable_type]],"CO2_transported",Infrastructure[[storage_site]:[storage_site]],"="&amp;$B448,Infrastructure[[cluster]:[cluster]],"="&amp;$B$447)/1000,"")</f>
        <v>0</v>
      </c>
      <c r="K448" s="41">
        <f>IFERROR(SUMIFS(Infrastructure[2029],Infrastructure[[variable_type]:[variable_type]],"CO2_transported",Infrastructure[[storage_site]:[storage_site]],"="&amp;$B448,Infrastructure[[cluster]:[cluster]],"="&amp;$B$447)/1000,"")</f>
        <v>0</v>
      </c>
      <c r="L448" s="41">
        <f>IFERROR(SUMIFS(Infrastructure[2030],Infrastructure[[variable_type]:[variable_type]],"CO2_transported",Infrastructure[[storage_site]:[storage_site]],"="&amp;$B448,Infrastructure[[cluster]:[cluster]],"="&amp;$B$447)/1000,"")</f>
        <v>0</v>
      </c>
      <c r="M448" s="41">
        <f>IFERROR(SUMIFS(Infrastructure[2031],Infrastructure[[variable_type]:[variable_type]],"CO2_transported",Infrastructure[[storage_site]:[storage_site]],"="&amp;$B448,Infrastructure[[cluster]:[cluster]],"="&amp;$B$447)/1000,"")</f>
        <v>0</v>
      </c>
      <c r="N448" s="41">
        <f>IFERROR(SUMIFS(Infrastructure[2032],Infrastructure[[variable_type]:[variable_type]],"CO2_transported",Infrastructure[[storage_site]:[storage_site]],"="&amp;$B448,Infrastructure[[cluster]:[cluster]],"="&amp;$B$447)/1000,"")</f>
        <v>0</v>
      </c>
      <c r="O448" s="41">
        <f>IFERROR(SUMIFS(Infrastructure[2033],Infrastructure[[variable_type]:[variable_type]],"CO2_transported",Infrastructure[[storage_site]:[storage_site]],"="&amp;$B448,Infrastructure[[cluster]:[cluster]],"="&amp;$B$447)/1000,"")</f>
        <v>0</v>
      </c>
      <c r="P448" s="41">
        <f>IFERROR(SUMIFS(Infrastructure[2034],Infrastructure[[variable_type]:[variable_type]],"CO2_transported",Infrastructure[[storage_site]:[storage_site]],"="&amp;$B448,Infrastructure[[cluster]:[cluster]],"="&amp;$B$447)/1000,"")</f>
        <v>0</v>
      </c>
      <c r="Q448" s="41">
        <f>IFERROR(SUMIFS(Infrastructure[2035],Infrastructure[[variable_type]:[variable_type]],"CO2_transported",Infrastructure[[storage_site]:[storage_site]],"="&amp;$B448,Infrastructure[[cluster]:[cluster]],"="&amp;$B$447)/1000,"")</f>
        <v>0</v>
      </c>
      <c r="R448" s="41">
        <f>IFERROR(SUMIFS(Infrastructure[2036],Infrastructure[[variable_type]:[variable_type]],"CO2_transported",Infrastructure[[storage_site]:[storage_site]],"="&amp;$B448,Infrastructure[[cluster]:[cluster]],"="&amp;$B$447)/1000,"")</f>
        <v>0</v>
      </c>
      <c r="S448" s="41">
        <f>IFERROR(SUMIFS(Infrastructure[2037],Infrastructure[[variable_type]:[variable_type]],"CO2_transported",Infrastructure[[storage_site]:[storage_site]],"="&amp;$B448,Infrastructure[[cluster]:[cluster]],"="&amp;$B$447)/1000,"")</f>
        <v>0</v>
      </c>
      <c r="T448" s="41">
        <f>IFERROR(SUMIFS(Infrastructure[2038],Infrastructure[[variable_type]:[variable_type]],"CO2_transported",Infrastructure[[storage_site]:[storage_site]],"="&amp;$B448,Infrastructure[[cluster]:[cluster]],"="&amp;$B$447)/1000,"")</f>
        <v>0</v>
      </c>
      <c r="U448" s="41">
        <f>IFERROR(SUMIFS(Infrastructure[2039],Infrastructure[[variable_type]:[variable_type]],"CO2_transported",Infrastructure[[storage_site]:[storage_site]],"="&amp;$B448,Infrastructure[[cluster]:[cluster]],"="&amp;$B$447)/1000,"")</f>
        <v>0</v>
      </c>
      <c r="V448" s="41">
        <f>IFERROR(SUMIFS(Infrastructure[2040],Infrastructure[[variable_type]:[variable_type]],"CO2_transported",Infrastructure[[storage_site]:[storage_site]],"="&amp;$B448,Infrastructure[[cluster]:[cluster]],"="&amp;$B$447)/1000,"")</f>
        <v>0</v>
      </c>
      <c r="W448" s="41">
        <f>IFERROR(SUMIFS(Infrastructure[2041],Infrastructure[[variable_type]:[variable_type]],"CO2_transported",Infrastructure[[storage_site]:[storage_site]],"="&amp;$B448,Infrastructure[[cluster]:[cluster]],"="&amp;$B$447)/1000,"")</f>
        <v>0</v>
      </c>
      <c r="X448" s="41">
        <f>IFERROR(SUMIFS(Infrastructure[2042],Infrastructure[[variable_type]:[variable_type]],"CO2_transported",Infrastructure[[storage_site]:[storage_site]],"="&amp;$B448,Infrastructure[[cluster]:[cluster]],"="&amp;$B$447)/1000,"")</f>
        <v>0</v>
      </c>
      <c r="Y448" s="41">
        <f>IFERROR(SUMIFS(Infrastructure[2043],Infrastructure[[variable_type]:[variable_type]],"CO2_transported",Infrastructure[[storage_site]:[storage_site]],"="&amp;$B448,Infrastructure[[cluster]:[cluster]],"="&amp;$B$447)/1000,"")</f>
        <v>0</v>
      </c>
      <c r="Z448" s="41">
        <f>IFERROR(SUMIFS(Infrastructure[2044],Infrastructure[[variable_type]:[variable_type]],"CO2_transported",Infrastructure[[storage_site]:[storage_site]],"="&amp;$B448,Infrastructure[[cluster]:[cluster]],"="&amp;$B$447)/1000,"")</f>
        <v>0</v>
      </c>
      <c r="AA448" s="41">
        <f>IFERROR(SUMIFS(Infrastructure[2045],Infrastructure[[variable_type]:[variable_type]],"CO2_transported",Infrastructure[[storage_site]:[storage_site]],"="&amp;$B448,Infrastructure[[cluster]:[cluster]],"="&amp;$B$447)/1000,"")</f>
        <v>0</v>
      </c>
      <c r="AB448" s="41">
        <f>IFERROR(SUMIFS(Infrastructure[2046],Infrastructure[[variable_type]:[variable_type]],"CO2_transported",Infrastructure[[storage_site]:[storage_site]],"="&amp;$B448,Infrastructure[[cluster]:[cluster]],"="&amp;$B$447)/1000,"")</f>
        <v>0</v>
      </c>
      <c r="AC448" s="41">
        <f>IFERROR(SUMIFS(Infrastructure[2047],Infrastructure[[variable_type]:[variable_type]],"CO2_transported",Infrastructure[[storage_site]:[storage_site]],"="&amp;$B448,Infrastructure[[cluster]:[cluster]],"="&amp;$B$447)/1000,"")</f>
        <v>0</v>
      </c>
      <c r="AD448" s="41">
        <f>IFERROR(SUMIFS(Infrastructure[2048],Infrastructure[[variable_type]:[variable_type]],"CO2_transported",Infrastructure[[storage_site]:[storage_site]],"="&amp;$B448,Infrastructure[[cluster]:[cluster]],"="&amp;$B$447)/1000,"")</f>
        <v>0</v>
      </c>
      <c r="AE448" s="41">
        <f>IFERROR(SUMIFS(Infrastructure[2049],Infrastructure[[variable_type]:[variable_type]],"CO2_transported",Infrastructure[[storage_site]:[storage_site]],"="&amp;$B448,Infrastructure[[cluster]:[cluster]],"="&amp;$B$447)/1000,"")</f>
        <v>0</v>
      </c>
      <c r="AF448" s="41">
        <f>IFERROR(SUMIFS(Infrastructure[2050],Infrastructure[[variable_type]:[variable_type]],"CO2_transported",Infrastructure[[storage_site]:[storage_site]],"="&amp;$B448,Infrastructure[[cluster]:[cluster]],"="&amp;$B$447)/1000,"")</f>
        <v>0</v>
      </c>
      <c r="AG448" s="41">
        <f>IFERROR(SUMIFS(Infrastructure[2051],Infrastructure[[variable_type]:[variable_type]],"CO2_transported",Infrastructure[[storage_site]:[storage_site]],"="&amp;$B448,Infrastructure[[cluster]:[cluster]],"="&amp;$B$447)/1000,"")</f>
        <v>0</v>
      </c>
    </row>
    <row r="449" spans="1:36" x14ac:dyDescent="0.45">
      <c r="B449" s="24" t="s">
        <v>81</v>
      </c>
      <c r="C449" s="41">
        <f>IFERROR(SUMIFS(Infrastructure[2021],Infrastructure[[variable_type]:[variable_type]],"CO2_transported",Infrastructure[[storage_site]:[storage_site]],"="&amp;$B449,Infrastructure[[cluster]:[cluster]],"="&amp;$B$447)/1000,"")</f>
        <v>0</v>
      </c>
      <c r="D449" s="41">
        <f>IFERROR(SUMIFS(Infrastructure[2022],Infrastructure[[variable_type]:[variable_type]],"CO2_transported",Infrastructure[[storage_site]:[storage_site]],"="&amp;$B449,Infrastructure[[cluster]:[cluster]],"="&amp;$B$447)/1000,"")</f>
        <v>0</v>
      </c>
      <c r="E449" s="41">
        <f>IFERROR(SUMIFS(Infrastructure[2023],Infrastructure[[variable_type]:[variable_type]],"CO2_transported",Infrastructure[[storage_site]:[storage_site]],"="&amp;$B449,Infrastructure[[cluster]:[cluster]],"="&amp;$B$447)/1000,"")</f>
        <v>0</v>
      </c>
      <c r="F449" s="41">
        <f>IFERROR(SUMIFS(Infrastructure[2024],Infrastructure[[variable_type]:[variable_type]],"CO2_transported",Infrastructure[[storage_site]:[storage_site]],"="&amp;$B449,Infrastructure[[cluster]:[cluster]],"="&amp;$B$447)/1000,"")</f>
        <v>0</v>
      </c>
      <c r="G449" s="41">
        <f>IFERROR(SUMIFS(Infrastructure[2025],Infrastructure[[variable_type]:[variable_type]],"CO2_transported",Infrastructure[[storage_site]:[storage_site]],"="&amp;$B449,Infrastructure[[cluster]:[cluster]],"="&amp;$B$447)/1000,"")</f>
        <v>0</v>
      </c>
      <c r="H449" s="41">
        <f>IFERROR(SUMIFS(Infrastructure[2026],Infrastructure[[variable_type]:[variable_type]],"CO2_transported",Infrastructure[[storage_site]:[storage_site]],"="&amp;$B449,Infrastructure[[cluster]:[cluster]],"="&amp;$B$447)/1000,"")</f>
        <v>0</v>
      </c>
      <c r="I449" s="41">
        <f>IFERROR(SUMIFS(Infrastructure[2027],Infrastructure[[variable_type]:[variable_type]],"CO2_transported",Infrastructure[[storage_site]:[storage_site]],"="&amp;$B449,Infrastructure[[cluster]:[cluster]],"="&amp;$B$447)/1000,"")</f>
        <v>0</v>
      </c>
      <c r="J449" s="41">
        <f>IFERROR(SUMIFS(Infrastructure[2028],Infrastructure[[variable_type]:[variable_type]],"CO2_transported",Infrastructure[[storage_site]:[storage_site]],"="&amp;$B449,Infrastructure[[cluster]:[cluster]],"="&amp;$B$447)/1000,"")</f>
        <v>0</v>
      </c>
      <c r="K449" s="41">
        <f>IFERROR(SUMIFS(Infrastructure[2029],Infrastructure[[variable_type]:[variable_type]],"CO2_transported",Infrastructure[[storage_site]:[storage_site]],"="&amp;$B449,Infrastructure[[cluster]:[cluster]],"="&amp;$B$447)/1000,"")</f>
        <v>0</v>
      </c>
      <c r="L449" s="41">
        <f>IFERROR(SUMIFS(Infrastructure[2030],Infrastructure[[variable_type]:[variable_type]],"CO2_transported",Infrastructure[[storage_site]:[storage_site]],"="&amp;$B449,Infrastructure[[cluster]:[cluster]],"="&amp;$B$447)/1000,"")</f>
        <v>0</v>
      </c>
      <c r="M449" s="41">
        <f>IFERROR(SUMIFS(Infrastructure[2031],Infrastructure[[variable_type]:[variable_type]],"CO2_transported",Infrastructure[[storage_site]:[storage_site]],"="&amp;$B449,Infrastructure[[cluster]:[cluster]],"="&amp;$B$447)/1000,"")</f>
        <v>0</v>
      </c>
      <c r="N449" s="41">
        <f>IFERROR(SUMIFS(Infrastructure[2032],Infrastructure[[variable_type]:[variable_type]],"CO2_transported",Infrastructure[[storage_site]:[storage_site]],"="&amp;$B449,Infrastructure[[cluster]:[cluster]],"="&amp;$B$447)/1000,"")</f>
        <v>0</v>
      </c>
      <c r="O449" s="41">
        <f>IFERROR(SUMIFS(Infrastructure[2033],Infrastructure[[variable_type]:[variable_type]],"CO2_transported",Infrastructure[[storage_site]:[storage_site]],"="&amp;$B449,Infrastructure[[cluster]:[cluster]],"="&amp;$B$447)/1000,"")</f>
        <v>0</v>
      </c>
      <c r="P449" s="41">
        <f>IFERROR(SUMIFS(Infrastructure[2034],Infrastructure[[variable_type]:[variable_type]],"CO2_transported",Infrastructure[[storage_site]:[storage_site]],"="&amp;$B449,Infrastructure[[cluster]:[cluster]],"="&amp;$B$447)/1000,"")</f>
        <v>0</v>
      </c>
      <c r="Q449" s="41">
        <f>IFERROR(SUMIFS(Infrastructure[2035],Infrastructure[[variable_type]:[variable_type]],"CO2_transported",Infrastructure[[storage_site]:[storage_site]],"="&amp;$B449,Infrastructure[[cluster]:[cluster]],"="&amp;$B$447)/1000,"")</f>
        <v>0</v>
      </c>
      <c r="R449" s="41">
        <f>IFERROR(SUMIFS(Infrastructure[2036],Infrastructure[[variable_type]:[variable_type]],"CO2_transported",Infrastructure[[storage_site]:[storage_site]],"="&amp;$B449,Infrastructure[[cluster]:[cluster]],"="&amp;$B$447)/1000,"")</f>
        <v>0</v>
      </c>
      <c r="S449" s="41">
        <f>IFERROR(SUMIFS(Infrastructure[2037],Infrastructure[[variable_type]:[variable_type]],"CO2_transported",Infrastructure[[storage_site]:[storage_site]],"="&amp;$B449,Infrastructure[[cluster]:[cluster]],"="&amp;$B$447)/1000,"")</f>
        <v>0</v>
      </c>
      <c r="T449" s="41">
        <f>IFERROR(SUMIFS(Infrastructure[2038],Infrastructure[[variable_type]:[variable_type]],"CO2_transported",Infrastructure[[storage_site]:[storage_site]],"="&amp;$B449,Infrastructure[[cluster]:[cluster]],"="&amp;$B$447)/1000,"")</f>
        <v>0</v>
      </c>
      <c r="U449" s="41">
        <f>IFERROR(SUMIFS(Infrastructure[2039],Infrastructure[[variable_type]:[variable_type]],"CO2_transported",Infrastructure[[storage_site]:[storage_site]],"="&amp;$B449,Infrastructure[[cluster]:[cluster]],"="&amp;$B$447)/1000,"")</f>
        <v>0</v>
      </c>
      <c r="V449" s="41">
        <f>IFERROR(SUMIFS(Infrastructure[2040],Infrastructure[[variable_type]:[variable_type]],"CO2_transported",Infrastructure[[storage_site]:[storage_site]],"="&amp;$B449,Infrastructure[[cluster]:[cluster]],"="&amp;$B$447)/1000,"")</f>
        <v>0</v>
      </c>
      <c r="W449" s="41">
        <f>IFERROR(SUMIFS(Infrastructure[2041],Infrastructure[[variable_type]:[variable_type]],"CO2_transported",Infrastructure[[storage_site]:[storage_site]],"="&amp;$B449,Infrastructure[[cluster]:[cluster]],"="&amp;$B$447)/1000,"")</f>
        <v>0</v>
      </c>
      <c r="X449" s="41">
        <f>IFERROR(SUMIFS(Infrastructure[2042],Infrastructure[[variable_type]:[variable_type]],"CO2_transported",Infrastructure[[storage_site]:[storage_site]],"="&amp;$B449,Infrastructure[[cluster]:[cluster]],"="&amp;$B$447)/1000,"")</f>
        <v>0</v>
      </c>
      <c r="Y449" s="41">
        <f>IFERROR(SUMIFS(Infrastructure[2043],Infrastructure[[variable_type]:[variable_type]],"CO2_transported",Infrastructure[[storage_site]:[storage_site]],"="&amp;$B449,Infrastructure[[cluster]:[cluster]],"="&amp;$B$447)/1000,"")</f>
        <v>0</v>
      </c>
      <c r="Z449" s="41">
        <f>IFERROR(SUMIFS(Infrastructure[2044],Infrastructure[[variable_type]:[variable_type]],"CO2_transported",Infrastructure[[storage_site]:[storage_site]],"="&amp;$B449,Infrastructure[[cluster]:[cluster]],"="&amp;$B$447)/1000,"")</f>
        <v>0</v>
      </c>
      <c r="AA449" s="41">
        <f>IFERROR(SUMIFS(Infrastructure[2045],Infrastructure[[variable_type]:[variable_type]],"CO2_transported",Infrastructure[[storage_site]:[storage_site]],"="&amp;$B449,Infrastructure[[cluster]:[cluster]],"="&amp;$B$447)/1000,"")</f>
        <v>0</v>
      </c>
      <c r="AB449" s="41">
        <f>IFERROR(SUMIFS(Infrastructure[2046],Infrastructure[[variable_type]:[variable_type]],"CO2_transported",Infrastructure[[storage_site]:[storage_site]],"="&amp;$B449,Infrastructure[[cluster]:[cluster]],"="&amp;$B$447)/1000,"")</f>
        <v>0</v>
      </c>
      <c r="AC449" s="41">
        <f>IFERROR(SUMIFS(Infrastructure[2047],Infrastructure[[variable_type]:[variable_type]],"CO2_transported",Infrastructure[[storage_site]:[storage_site]],"="&amp;$B449,Infrastructure[[cluster]:[cluster]],"="&amp;$B$447)/1000,"")</f>
        <v>0</v>
      </c>
      <c r="AD449" s="41">
        <f>IFERROR(SUMIFS(Infrastructure[2048],Infrastructure[[variable_type]:[variable_type]],"CO2_transported",Infrastructure[[storage_site]:[storage_site]],"="&amp;$B449,Infrastructure[[cluster]:[cluster]],"="&amp;$B$447)/1000,"")</f>
        <v>0</v>
      </c>
      <c r="AE449" s="41">
        <f>IFERROR(SUMIFS(Infrastructure[2049],Infrastructure[[variable_type]:[variable_type]],"CO2_transported",Infrastructure[[storage_site]:[storage_site]],"="&amp;$B449,Infrastructure[[cluster]:[cluster]],"="&amp;$B$447)/1000,"")</f>
        <v>0</v>
      </c>
      <c r="AF449" s="41">
        <f>IFERROR(SUMIFS(Infrastructure[2050],Infrastructure[[variable_type]:[variable_type]],"CO2_transported",Infrastructure[[storage_site]:[storage_site]],"="&amp;$B449,Infrastructure[[cluster]:[cluster]],"="&amp;$B$447)/1000,"")</f>
        <v>0</v>
      </c>
      <c r="AG449" s="41">
        <f>IFERROR(SUMIFS(Infrastructure[2051],Infrastructure[[variable_type]:[variable_type]],"CO2_transported",Infrastructure[[storage_site]:[storage_site]],"="&amp;$B449,Infrastructure[[cluster]:[cluster]],"="&amp;$B$447)/1000,"")</f>
        <v>0</v>
      </c>
    </row>
    <row r="450" spans="1:36" x14ac:dyDescent="0.45">
      <c r="B450" s="24" t="s">
        <v>79</v>
      </c>
      <c r="C450" s="41">
        <f>IFERROR(SUMIFS(Infrastructure[2021],Infrastructure[[variable_type]:[variable_type]],"CO2_transported",Infrastructure[[storage_site]:[storage_site]],"="&amp;$B450,Infrastructure[[cluster]:[cluster]],"="&amp;$B$447)/1000,"")</f>
        <v>0</v>
      </c>
      <c r="D450" s="41">
        <f>IFERROR(SUMIFS(Infrastructure[2022],Infrastructure[[variable_type]:[variable_type]],"CO2_transported",Infrastructure[[storage_site]:[storage_site]],"="&amp;$B450,Infrastructure[[cluster]:[cluster]],"="&amp;$B$447)/1000,"")</f>
        <v>0</v>
      </c>
      <c r="E450" s="41">
        <f>IFERROR(SUMIFS(Infrastructure[2023],Infrastructure[[variable_type]:[variable_type]],"CO2_transported",Infrastructure[[storage_site]:[storage_site]],"="&amp;$B450,Infrastructure[[cluster]:[cluster]],"="&amp;$B$447)/1000,"")</f>
        <v>0</v>
      </c>
      <c r="F450" s="41">
        <f>IFERROR(SUMIFS(Infrastructure[2024],Infrastructure[[variable_type]:[variable_type]],"CO2_transported",Infrastructure[[storage_site]:[storage_site]],"="&amp;$B450,Infrastructure[[cluster]:[cluster]],"="&amp;$B$447)/1000,"")</f>
        <v>0</v>
      </c>
      <c r="G450" s="41">
        <f>IFERROR(SUMIFS(Infrastructure[2025],Infrastructure[[variable_type]:[variable_type]],"CO2_transported",Infrastructure[[storage_site]:[storage_site]],"="&amp;$B450,Infrastructure[[cluster]:[cluster]],"="&amp;$B$447)/1000,"")</f>
        <v>0</v>
      </c>
      <c r="H450" s="41">
        <f>IFERROR(SUMIFS(Infrastructure[2026],Infrastructure[[variable_type]:[variable_type]],"CO2_transported",Infrastructure[[storage_site]:[storage_site]],"="&amp;$B450,Infrastructure[[cluster]:[cluster]],"="&amp;$B$447)/1000,"")</f>
        <v>0</v>
      </c>
      <c r="I450" s="41">
        <f>IFERROR(SUMIFS(Infrastructure[2027],Infrastructure[[variable_type]:[variable_type]],"CO2_transported",Infrastructure[[storage_site]:[storage_site]],"="&amp;$B450,Infrastructure[[cluster]:[cluster]],"="&amp;$B$447)/1000,"")</f>
        <v>0</v>
      </c>
      <c r="J450" s="41">
        <f>IFERROR(SUMIFS(Infrastructure[2028],Infrastructure[[variable_type]:[variable_type]],"CO2_transported",Infrastructure[[storage_site]:[storage_site]],"="&amp;$B450,Infrastructure[[cluster]:[cluster]],"="&amp;$B$447)/1000,"")</f>
        <v>0</v>
      </c>
      <c r="K450" s="41">
        <f>IFERROR(SUMIFS(Infrastructure[2029],Infrastructure[[variable_type]:[variable_type]],"CO2_transported",Infrastructure[[storage_site]:[storage_site]],"="&amp;$B450,Infrastructure[[cluster]:[cluster]],"="&amp;$B$447)/1000,"")</f>
        <v>0</v>
      </c>
      <c r="L450" s="41">
        <f>IFERROR(SUMIFS(Infrastructure[2030],Infrastructure[[variable_type]:[variable_type]],"CO2_transported",Infrastructure[[storage_site]:[storage_site]],"="&amp;$B450,Infrastructure[[cluster]:[cluster]],"="&amp;$B$447)/1000,"")</f>
        <v>0</v>
      </c>
      <c r="M450" s="41">
        <f>IFERROR(SUMIFS(Infrastructure[2031],Infrastructure[[variable_type]:[variable_type]],"CO2_transported",Infrastructure[[storage_site]:[storage_site]],"="&amp;$B450,Infrastructure[[cluster]:[cluster]],"="&amp;$B$447)/1000,"")</f>
        <v>0</v>
      </c>
      <c r="N450" s="41">
        <f>IFERROR(SUMIFS(Infrastructure[2032],Infrastructure[[variable_type]:[variable_type]],"CO2_transported",Infrastructure[[storage_site]:[storage_site]],"="&amp;$B450,Infrastructure[[cluster]:[cluster]],"="&amp;$B$447)/1000,"")</f>
        <v>0</v>
      </c>
      <c r="O450" s="41">
        <f>IFERROR(SUMIFS(Infrastructure[2033],Infrastructure[[variable_type]:[variable_type]],"CO2_transported",Infrastructure[[storage_site]:[storage_site]],"="&amp;$B450,Infrastructure[[cluster]:[cluster]],"="&amp;$B$447)/1000,"")</f>
        <v>0</v>
      </c>
      <c r="P450" s="41">
        <f>IFERROR(SUMIFS(Infrastructure[2034],Infrastructure[[variable_type]:[variable_type]],"CO2_transported",Infrastructure[[storage_site]:[storage_site]],"="&amp;$B450,Infrastructure[[cluster]:[cluster]],"="&amp;$B$447)/1000,"")</f>
        <v>0</v>
      </c>
      <c r="Q450" s="41">
        <f>IFERROR(SUMIFS(Infrastructure[2035],Infrastructure[[variable_type]:[variable_type]],"CO2_transported",Infrastructure[[storage_site]:[storage_site]],"="&amp;$B450,Infrastructure[[cluster]:[cluster]],"="&amp;$B$447)/1000,"")</f>
        <v>0</v>
      </c>
      <c r="R450" s="41">
        <f>IFERROR(SUMIFS(Infrastructure[2036],Infrastructure[[variable_type]:[variable_type]],"CO2_transported",Infrastructure[[storage_site]:[storage_site]],"="&amp;$B450,Infrastructure[[cluster]:[cluster]],"="&amp;$B$447)/1000,"")</f>
        <v>0</v>
      </c>
      <c r="S450" s="41">
        <f>IFERROR(SUMIFS(Infrastructure[2037],Infrastructure[[variable_type]:[variable_type]],"CO2_transported",Infrastructure[[storage_site]:[storage_site]],"="&amp;$B450,Infrastructure[[cluster]:[cluster]],"="&amp;$B$447)/1000,"")</f>
        <v>0</v>
      </c>
      <c r="T450" s="41">
        <f>IFERROR(SUMIFS(Infrastructure[2038],Infrastructure[[variable_type]:[variable_type]],"CO2_transported",Infrastructure[[storage_site]:[storage_site]],"="&amp;$B450,Infrastructure[[cluster]:[cluster]],"="&amp;$B$447)/1000,"")</f>
        <v>0</v>
      </c>
      <c r="U450" s="41">
        <f>IFERROR(SUMIFS(Infrastructure[2039],Infrastructure[[variable_type]:[variable_type]],"CO2_transported",Infrastructure[[storage_site]:[storage_site]],"="&amp;$B450,Infrastructure[[cluster]:[cluster]],"="&amp;$B$447)/1000,"")</f>
        <v>0</v>
      </c>
      <c r="V450" s="41">
        <f>IFERROR(SUMIFS(Infrastructure[2040],Infrastructure[[variable_type]:[variable_type]],"CO2_transported",Infrastructure[[storage_site]:[storage_site]],"="&amp;$B450,Infrastructure[[cluster]:[cluster]],"="&amp;$B$447)/1000,"")</f>
        <v>0</v>
      </c>
      <c r="W450" s="41">
        <f>IFERROR(SUMIFS(Infrastructure[2041],Infrastructure[[variable_type]:[variable_type]],"CO2_transported",Infrastructure[[storage_site]:[storage_site]],"="&amp;$B450,Infrastructure[[cluster]:[cluster]],"="&amp;$B$447)/1000,"")</f>
        <v>0</v>
      </c>
      <c r="X450" s="41">
        <f>IFERROR(SUMIFS(Infrastructure[2042],Infrastructure[[variable_type]:[variable_type]],"CO2_transported",Infrastructure[[storage_site]:[storage_site]],"="&amp;$B450,Infrastructure[[cluster]:[cluster]],"="&amp;$B$447)/1000,"")</f>
        <v>0</v>
      </c>
      <c r="Y450" s="41">
        <f>IFERROR(SUMIFS(Infrastructure[2043],Infrastructure[[variable_type]:[variable_type]],"CO2_transported",Infrastructure[[storage_site]:[storage_site]],"="&amp;$B450,Infrastructure[[cluster]:[cluster]],"="&amp;$B$447)/1000,"")</f>
        <v>0</v>
      </c>
      <c r="Z450" s="41">
        <f>IFERROR(SUMIFS(Infrastructure[2044],Infrastructure[[variable_type]:[variable_type]],"CO2_transported",Infrastructure[[storage_site]:[storage_site]],"="&amp;$B450,Infrastructure[[cluster]:[cluster]],"="&amp;$B$447)/1000,"")</f>
        <v>0</v>
      </c>
      <c r="AA450" s="41">
        <f>IFERROR(SUMIFS(Infrastructure[2045],Infrastructure[[variable_type]:[variable_type]],"CO2_transported",Infrastructure[[storage_site]:[storage_site]],"="&amp;$B450,Infrastructure[[cluster]:[cluster]],"="&amp;$B$447)/1000,"")</f>
        <v>0</v>
      </c>
      <c r="AB450" s="41">
        <f>IFERROR(SUMIFS(Infrastructure[2046],Infrastructure[[variable_type]:[variable_type]],"CO2_transported",Infrastructure[[storage_site]:[storage_site]],"="&amp;$B450,Infrastructure[[cluster]:[cluster]],"="&amp;$B$447)/1000,"")</f>
        <v>0</v>
      </c>
      <c r="AC450" s="41">
        <f>IFERROR(SUMIFS(Infrastructure[2047],Infrastructure[[variable_type]:[variable_type]],"CO2_transported",Infrastructure[[storage_site]:[storage_site]],"="&amp;$B450,Infrastructure[[cluster]:[cluster]],"="&amp;$B$447)/1000,"")</f>
        <v>0</v>
      </c>
      <c r="AD450" s="41">
        <f>IFERROR(SUMIFS(Infrastructure[2048],Infrastructure[[variable_type]:[variable_type]],"CO2_transported",Infrastructure[[storage_site]:[storage_site]],"="&amp;$B450,Infrastructure[[cluster]:[cluster]],"="&amp;$B$447)/1000,"")</f>
        <v>0</v>
      </c>
      <c r="AE450" s="41">
        <f>IFERROR(SUMIFS(Infrastructure[2049],Infrastructure[[variable_type]:[variable_type]],"CO2_transported",Infrastructure[[storage_site]:[storage_site]],"="&amp;$B450,Infrastructure[[cluster]:[cluster]],"="&amp;$B$447)/1000,"")</f>
        <v>0</v>
      </c>
      <c r="AF450" s="41">
        <f>IFERROR(SUMIFS(Infrastructure[2050],Infrastructure[[variable_type]:[variable_type]],"CO2_transported",Infrastructure[[storage_site]:[storage_site]],"="&amp;$B450,Infrastructure[[cluster]:[cluster]],"="&amp;$B$447)/1000,"")</f>
        <v>0</v>
      </c>
      <c r="AG450" s="41">
        <f>IFERROR(SUMIFS(Infrastructure[2051],Infrastructure[[variable_type]:[variable_type]],"CO2_transported",Infrastructure[[storage_site]:[storage_site]],"="&amp;$B450,Infrastructure[[cluster]:[cluster]],"="&amp;$B$447)/1000,"")</f>
        <v>0</v>
      </c>
    </row>
    <row r="451" spans="1:36" x14ac:dyDescent="0.45">
      <c r="B451" s="6" t="s">
        <v>78</v>
      </c>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row>
    <row r="452" spans="1:36" x14ac:dyDescent="0.45">
      <c r="B452" s="24" t="s">
        <v>80</v>
      </c>
      <c r="C452" s="41">
        <f>IFERROR(SUMIFS(Infrastructure[2021],Infrastructure[[variable_type]:[variable_type]],"CO2_transported",Infrastructure[[storage_site]:[storage_site]],"="&amp;$B452,Infrastructure[[cluster]:[cluster]],"="&amp;$B$451)/1000,"")</f>
        <v>0</v>
      </c>
      <c r="D452" s="41">
        <f>IFERROR(SUMIFS(Infrastructure[2022],Infrastructure[[variable_type]:[variable_type]],"CO2_transported",Infrastructure[[storage_site]:[storage_site]],"="&amp;$B452,Infrastructure[[cluster]:[cluster]],"="&amp;$B$451)/1000,"")</f>
        <v>0</v>
      </c>
      <c r="E452" s="41">
        <f>IFERROR(SUMIFS(Infrastructure[2023],Infrastructure[[variable_type]:[variable_type]],"CO2_transported",Infrastructure[[storage_site]:[storage_site]],"="&amp;$B452,Infrastructure[[cluster]:[cluster]],"="&amp;$B$451)/1000,"")</f>
        <v>0</v>
      </c>
      <c r="F452" s="41">
        <f>IFERROR(SUMIFS(Infrastructure[2024],Infrastructure[[variable_type]:[variable_type]],"CO2_transported",Infrastructure[[storage_site]:[storage_site]],"="&amp;$B452,Infrastructure[[cluster]:[cluster]],"="&amp;$B$451)/1000,"")</f>
        <v>0</v>
      </c>
      <c r="G452" s="41">
        <f>IFERROR(SUMIFS(Infrastructure[2025],Infrastructure[[variable_type]:[variable_type]],"CO2_transported",Infrastructure[[storage_site]:[storage_site]],"="&amp;$B452,Infrastructure[[cluster]:[cluster]],"="&amp;$B$451)/1000,"")</f>
        <v>0</v>
      </c>
      <c r="H452" s="41">
        <f>IFERROR(SUMIFS(Infrastructure[2026],Infrastructure[[variable_type]:[variable_type]],"CO2_transported",Infrastructure[[storage_site]:[storage_site]],"="&amp;$B452,Infrastructure[[cluster]:[cluster]],"="&amp;$B$451)/1000,"")</f>
        <v>0</v>
      </c>
      <c r="I452" s="41">
        <f>IFERROR(SUMIFS(Infrastructure[2027],Infrastructure[[variable_type]:[variable_type]],"CO2_transported",Infrastructure[[storage_site]:[storage_site]],"="&amp;$B452,Infrastructure[[cluster]:[cluster]],"="&amp;$B$451)/1000,"")</f>
        <v>0</v>
      </c>
      <c r="J452" s="41">
        <f>IFERROR(SUMIFS(Infrastructure[2028],Infrastructure[[variable_type]:[variable_type]],"CO2_transported",Infrastructure[[storage_site]:[storage_site]],"="&amp;$B452,Infrastructure[[cluster]:[cluster]],"="&amp;$B$451)/1000,"")</f>
        <v>0</v>
      </c>
      <c r="K452" s="41">
        <f>IFERROR(SUMIFS(Infrastructure[2029],Infrastructure[[variable_type]:[variable_type]],"CO2_transported",Infrastructure[[storage_site]:[storage_site]],"="&amp;$B452,Infrastructure[[cluster]:[cluster]],"="&amp;$B$451)/1000,"")</f>
        <v>0</v>
      </c>
      <c r="L452" s="41">
        <f>IFERROR(SUMIFS(Infrastructure[2030],Infrastructure[[variable_type]:[variable_type]],"CO2_transported",Infrastructure[[storage_site]:[storage_site]],"="&amp;$B452,Infrastructure[[cluster]:[cluster]],"="&amp;$B$451)/1000,"")</f>
        <v>0</v>
      </c>
      <c r="M452" s="41">
        <f>IFERROR(SUMIFS(Infrastructure[2031],Infrastructure[[variable_type]:[variable_type]],"CO2_transported",Infrastructure[[storage_site]:[storage_site]],"="&amp;$B452,Infrastructure[[cluster]:[cluster]],"="&amp;$B$451)/1000,"")</f>
        <v>0</v>
      </c>
      <c r="N452" s="41">
        <f>IFERROR(SUMIFS(Infrastructure[2032],Infrastructure[[variable_type]:[variable_type]],"CO2_transported",Infrastructure[[storage_site]:[storage_site]],"="&amp;$B452,Infrastructure[[cluster]:[cluster]],"="&amp;$B$451)/1000,"")</f>
        <v>0</v>
      </c>
      <c r="O452" s="41">
        <f>IFERROR(SUMIFS(Infrastructure[2033],Infrastructure[[variable_type]:[variable_type]],"CO2_transported",Infrastructure[[storage_site]:[storage_site]],"="&amp;$B452,Infrastructure[[cluster]:[cluster]],"="&amp;$B$451)/1000,"")</f>
        <v>0</v>
      </c>
      <c r="P452" s="41">
        <f>IFERROR(SUMIFS(Infrastructure[2034],Infrastructure[[variable_type]:[variable_type]],"CO2_transported",Infrastructure[[storage_site]:[storage_site]],"="&amp;$B452,Infrastructure[[cluster]:[cluster]],"="&amp;$B$451)/1000,"")</f>
        <v>0</v>
      </c>
      <c r="Q452" s="41">
        <f>IFERROR(SUMIFS(Infrastructure[2035],Infrastructure[[variable_type]:[variable_type]],"CO2_transported",Infrastructure[[storage_site]:[storage_site]],"="&amp;$B452,Infrastructure[[cluster]:[cluster]],"="&amp;$B$451)/1000,"")</f>
        <v>0</v>
      </c>
      <c r="R452" s="41">
        <f>IFERROR(SUMIFS(Infrastructure[2036],Infrastructure[[variable_type]:[variable_type]],"CO2_transported",Infrastructure[[storage_site]:[storage_site]],"="&amp;$B452,Infrastructure[[cluster]:[cluster]],"="&amp;$B$451)/1000,"")</f>
        <v>0</v>
      </c>
      <c r="S452" s="41">
        <f>IFERROR(SUMIFS(Infrastructure[2037],Infrastructure[[variable_type]:[variable_type]],"CO2_transported",Infrastructure[[storage_site]:[storage_site]],"="&amp;$B452,Infrastructure[[cluster]:[cluster]],"="&amp;$B$451)/1000,"")</f>
        <v>0</v>
      </c>
      <c r="T452" s="41">
        <f>IFERROR(SUMIFS(Infrastructure[2038],Infrastructure[[variable_type]:[variable_type]],"CO2_transported",Infrastructure[[storage_site]:[storage_site]],"="&amp;$B452,Infrastructure[[cluster]:[cluster]],"="&amp;$B$451)/1000,"")</f>
        <v>0</v>
      </c>
      <c r="U452" s="41">
        <f>IFERROR(SUMIFS(Infrastructure[2039],Infrastructure[[variable_type]:[variable_type]],"CO2_transported",Infrastructure[[storage_site]:[storage_site]],"="&amp;$B452,Infrastructure[[cluster]:[cluster]],"="&amp;$B$451)/1000,"")</f>
        <v>0</v>
      </c>
      <c r="V452" s="41">
        <f>IFERROR(SUMIFS(Infrastructure[2040],Infrastructure[[variable_type]:[variable_type]],"CO2_transported",Infrastructure[[storage_site]:[storage_site]],"="&amp;$B452,Infrastructure[[cluster]:[cluster]],"="&amp;$B$451)/1000,"")</f>
        <v>0</v>
      </c>
      <c r="W452" s="41">
        <f>IFERROR(SUMIFS(Infrastructure[2041],Infrastructure[[variable_type]:[variable_type]],"CO2_transported",Infrastructure[[storage_site]:[storage_site]],"="&amp;$B452,Infrastructure[[cluster]:[cluster]],"="&amp;$B$451)/1000,"")</f>
        <v>0</v>
      </c>
      <c r="X452" s="41">
        <f>IFERROR(SUMIFS(Infrastructure[2042],Infrastructure[[variable_type]:[variable_type]],"CO2_transported",Infrastructure[[storage_site]:[storage_site]],"="&amp;$B452,Infrastructure[[cluster]:[cluster]],"="&amp;$B$451)/1000,"")</f>
        <v>0</v>
      </c>
      <c r="Y452" s="41">
        <f>IFERROR(SUMIFS(Infrastructure[2043],Infrastructure[[variable_type]:[variable_type]],"CO2_transported",Infrastructure[[storage_site]:[storage_site]],"="&amp;$B452,Infrastructure[[cluster]:[cluster]],"="&amp;$B$451)/1000,"")</f>
        <v>0</v>
      </c>
      <c r="Z452" s="41">
        <f>IFERROR(SUMIFS(Infrastructure[2044],Infrastructure[[variable_type]:[variable_type]],"CO2_transported",Infrastructure[[storage_site]:[storage_site]],"="&amp;$B452,Infrastructure[[cluster]:[cluster]],"="&amp;$B$451)/1000,"")</f>
        <v>0</v>
      </c>
      <c r="AA452" s="41">
        <f>IFERROR(SUMIFS(Infrastructure[2045],Infrastructure[[variable_type]:[variable_type]],"CO2_transported",Infrastructure[[storage_site]:[storage_site]],"="&amp;$B452,Infrastructure[[cluster]:[cluster]],"="&amp;$B$451)/1000,"")</f>
        <v>0</v>
      </c>
      <c r="AB452" s="41">
        <f>IFERROR(SUMIFS(Infrastructure[2046],Infrastructure[[variable_type]:[variable_type]],"CO2_transported",Infrastructure[[storage_site]:[storage_site]],"="&amp;$B452,Infrastructure[[cluster]:[cluster]],"="&amp;$B$451)/1000,"")</f>
        <v>0</v>
      </c>
      <c r="AC452" s="41">
        <f>IFERROR(SUMIFS(Infrastructure[2047],Infrastructure[[variable_type]:[variable_type]],"CO2_transported",Infrastructure[[storage_site]:[storage_site]],"="&amp;$B452,Infrastructure[[cluster]:[cluster]],"="&amp;$B$451)/1000,"")</f>
        <v>0</v>
      </c>
      <c r="AD452" s="41">
        <f>IFERROR(SUMIFS(Infrastructure[2048],Infrastructure[[variable_type]:[variable_type]],"CO2_transported",Infrastructure[[storage_site]:[storage_site]],"="&amp;$B452,Infrastructure[[cluster]:[cluster]],"="&amp;$B$451)/1000,"")</f>
        <v>0</v>
      </c>
      <c r="AE452" s="41">
        <f>IFERROR(SUMIFS(Infrastructure[2049],Infrastructure[[variable_type]:[variable_type]],"CO2_transported",Infrastructure[[storage_site]:[storage_site]],"="&amp;$B452,Infrastructure[[cluster]:[cluster]],"="&amp;$B$451)/1000,"")</f>
        <v>0</v>
      </c>
      <c r="AF452" s="41">
        <f>IFERROR(SUMIFS(Infrastructure[2050],Infrastructure[[variable_type]:[variable_type]],"CO2_transported",Infrastructure[[storage_site]:[storage_site]],"="&amp;$B452,Infrastructure[[cluster]:[cluster]],"="&amp;$B$451)/1000,"")</f>
        <v>0</v>
      </c>
      <c r="AG452" s="41">
        <f>IFERROR(SUMIFS(Infrastructure[2051],Infrastructure[[variable_type]:[variable_type]],"CO2_transported",Infrastructure[[storage_site]:[storage_site]],"="&amp;$B452,Infrastructure[[cluster]:[cluster]],"="&amp;$B$451)/1000,"")</f>
        <v>0</v>
      </c>
    </row>
    <row r="453" spans="1:36" x14ac:dyDescent="0.45">
      <c r="B453" s="24" t="s">
        <v>81</v>
      </c>
      <c r="C453" s="41">
        <f>IFERROR(SUMIFS(Infrastructure[2021],Infrastructure[[variable_type]:[variable_type]],"CO2_transported",Infrastructure[[storage_site]:[storage_site]],"="&amp;$B453,Infrastructure[[cluster]:[cluster]],"="&amp;$B$451)/1000,"")</f>
        <v>0</v>
      </c>
      <c r="D453" s="41">
        <f>IFERROR(SUMIFS(Infrastructure[2022],Infrastructure[[variable_type]:[variable_type]],"CO2_transported",Infrastructure[[storage_site]:[storage_site]],"="&amp;$B453,Infrastructure[[cluster]:[cluster]],"="&amp;$B$451)/1000,"")</f>
        <v>0</v>
      </c>
      <c r="E453" s="41">
        <f>IFERROR(SUMIFS(Infrastructure[2023],Infrastructure[[variable_type]:[variable_type]],"CO2_transported",Infrastructure[[storage_site]:[storage_site]],"="&amp;$B453,Infrastructure[[cluster]:[cluster]],"="&amp;$B$451)/1000,"")</f>
        <v>0</v>
      </c>
      <c r="F453" s="41">
        <f>IFERROR(SUMIFS(Infrastructure[2024],Infrastructure[[variable_type]:[variable_type]],"CO2_transported",Infrastructure[[storage_site]:[storage_site]],"="&amp;$B453,Infrastructure[[cluster]:[cluster]],"="&amp;$B$451)/1000,"")</f>
        <v>0</v>
      </c>
      <c r="G453" s="41">
        <f>IFERROR(SUMIFS(Infrastructure[2025],Infrastructure[[variable_type]:[variable_type]],"CO2_transported",Infrastructure[[storage_site]:[storage_site]],"="&amp;$B453,Infrastructure[[cluster]:[cluster]],"="&amp;$B$451)/1000,"")</f>
        <v>0</v>
      </c>
      <c r="H453" s="41">
        <f>IFERROR(SUMIFS(Infrastructure[2026],Infrastructure[[variable_type]:[variable_type]],"CO2_transported",Infrastructure[[storage_site]:[storage_site]],"="&amp;$B453,Infrastructure[[cluster]:[cluster]],"="&amp;$B$451)/1000,"")</f>
        <v>0</v>
      </c>
      <c r="I453" s="41">
        <f>IFERROR(SUMIFS(Infrastructure[2027],Infrastructure[[variable_type]:[variable_type]],"CO2_transported",Infrastructure[[storage_site]:[storage_site]],"="&amp;$B453,Infrastructure[[cluster]:[cluster]],"="&amp;$B$451)/1000,"")</f>
        <v>0</v>
      </c>
      <c r="J453" s="41">
        <f>IFERROR(SUMIFS(Infrastructure[2028],Infrastructure[[variable_type]:[variable_type]],"CO2_transported",Infrastructure[[storage_site]:[storage_site]],"="&amp;$B453,Infrastructure[[cluster]:[cluster]],"="&amp;$B$451)/1000,"")</f>
        <v>0</v>
      </c>
      <c r="K453" s="41">
        <f>IFERROR(SUMIFS(Infrastructure[2029],Infrastructure[[variable_type]:[variable_type]],"CO2_transported",Infrastructure[[storage_site]:[storage_site]],"="&amp;$B453,Infrastructure[[cluster]:[cluster]],"="&amp;$B$451)/1000,"")</f>
        <v>0</v>
      </c>
      <c r="L453" s="41">
        <f>IFERROR(SUMIFS(Infrastructure[2030],Infrastructure[[variable_type]:[variable_type]],"CO2_transported",Infrastructure[[storage_site]:[storage_site]],"="&amp;$B453,Infrastructure[[cluster]:[cluster]],"="&amp;$B$451)/1000,"")</f>
        <v>0</v>
      </c>
      <c r="M453" s="41">
        <f>IFERROR(SUMIFS(Infrastructure[2031],Infrastructure[[variable_type]:[variable_type]],"CO2_transported",Infrastructure[[storage_site]:[storage_site]],"="&amp;$B453,Infrastructure[[cluster]:[cluster]],"="&amp;$B$451)/1000,"")</f>
        <v>0</v>
      </c>
      <c r="N453" s="41">
        <f>IFERROR(SUMIFS(Infrastructure[2032],Infrastructure[[variable_type]:[variable_type]],"CO2_transported",Infrastructure[[storage_site]:[storage_site]],"="&amp;$B453,Infrastructure[[cluster]:[cluster]],"="&amp;$B$451)/1000,"")</f>
        <v>0</v>
      </c>
      <c r="O453" s="41">
        <f>IFERROR(SUMIFS(Infrastructure[2033],Infrastructure[[variable_type]:[variable_type]],"CO2_transported",Infrastructure[[storage_site]:[storage_site]],"="&amp;$B453,Infrastructure[[cluster]:[cluster]],"="&amp;$B$451)/1000,"")</f>
        <v>0</v>
      </c>
      <c r="P453" s="41">
        <f>IFERROR(SUMIFS(Infrastructure[2034],Infrastructure[[variable_type]:[variable_type]],"CO2_transported",Infrastructure[[storage_site]:[storage_site]],"="&amp;$B453,Infrastructure[[cluster]:[cluster]],"="&amp;$B$451)/1000,"")</f>
        <v>0</v>
      </c>
      <c r="Q453" s="41">
        <f>IFERROR(SUMIFS(Infrastructure[2035],Infrastructure[[variable_type]:[variable_type]],"CO2_transported",Infrastructure[[storage_site]:[storage_site]],"="&amp;$B453,Infrastructure[[cluster]:[cluster]],"="&amp;$B$451)/1000,"")</f>
        <v>0</v>
      </c>
      <c r="R453" s="41">
        <f>IFERROR(SUMIFS(Infrastructure[2036],Infrastructure[[variable_type]:[variable_type]],"CO2_transported",Infrastructure[[storage_site]:[storage_site]],"="&amp;$B453,Infrastructure[[cluster]:[cluster]],"="&amp;$B$451)/1000,"")</f>
        <v>0</v>
      </c>
      <c r="S453" s="41">
        <f>IFERROR(SUMIFS(Infrastructure[2037],Infrastructure[[variable_type]:[variable_type]],"CO2_transported",Infrastructure[[storage_site]:[storage_site]],"="&amp;$B453,Infrastructure[[cluster]:[cluster]],"="&amp;$B$451)/1000,"")</f>
        <v>0</v>
      </c>
      <c r="T453" s="41">
        <f>IFERROR(SUMIFS(Infrastructure[2038],Infrastructure[[variable_type]:[variable_type]],"CO2_transported",Infrastructure[[storage_site]:[storage_site]],"="&amp;$B453,Infrastructure[[cluster]:[cluster]],"="&amp;$B$451)/1000,"")</f>
        <v>0</v>
      </c>
      <c r="U453" s="41">
        <f>IFERROR(SUMIFS(Infrastructure[2039],Infrastructure[[variable_type]:[variable_type]],"CO2_transported",Infrastructure[[storage_site]:[storage_site]],"="&amp;$B453,Infrastructure[[cluster]:[cluster]],"="&amp;$B$451)/1000,"")</f>
        <v>0</v>
      </c>
      <c r="V453" s="41">
        <f>IFERROR(SUMIFS(Infrastructure[2040],Infrastructure[[variable_type]:[variable_type]],"CO2_transported",Infrastructure[[storage_site]:[storage_site]],"="&amp;$B453,Infrastructure[[cluster]:[cluster]],"="&amp;$B$451)/1000,"")</f>
        <v>0</v>
      </c>
      <c r="W453" s="41">
        <f>IFERROR(SUMIFS(Infrastructure[2041],Infrastructure[[variable_type]:[variable_type]],"CO2_transported",Infrastructure[[storage_site]:[storage_site]],"="&amp;$B453,Infrastructure[[cluster]:[cluster]],"="&amp;$B$451)/1000,"")</f>
        <v>0</v>
      </c>
      <c r="X453" s="41">
        <f>IFERROR(SUMIFS(Infrastructure[2042],Infrastructure[[variable_type]:[variable_type]],"CO2_transported",Infrastructure[[storage_site]:[storage_site]],"="&amp;$B453,Infrastructure[[cluster]:[cluster]],"="&amp;$B$451)/1000,"")</f>
        <v>0</v>
      </c>
      <c r="Y453" s="41">
        <f>IFERROR(SUMIFS(Infrastructure[2043],Infrastructure[[variable_type]:[variable_type]],"CO2_transported",Infrastructure[[storage_site]:[storage_site]],"="&amp;$B453,Infrastructure[[cluster]:[cluster]],"="&amp;$B$451)/1000,"")</f>
        <v>0</v>
      </c>
      <c r="Z453" s="41">
        <f>IFERROR(SUMIFS(Infrastructure[2044],Infrastructure[[variable_type]:[variable_type]],"CO2_transported",Infrastructure[[storage_site]:[storage_site]],"="&amp;$B453,Infrastructure[[cluster]:[cluster]],"="&amp;$B$451)/1000,"")</f>
        <v>0</v>
      </c>
      <c r="AA453" s="41">
        <f>IFERROR(SUMIFS(Infrastructure[2045],Infrastructure[[variable_type]:[variable_type]],"CO2_transported",Infrastructure[[storage_site]:[storage_site]],"="&amp;$B453,Infrastructure[[cluster]:[cluster]],"="&amp;$B$451)/1000,"")</f>
        <v>0</v>
      </c>
      <c r="AB453" s="41">
        <f>IFERROR(SUMIFS(Infrastructure[2046],Infrastructure[[variable_type]:[variable_type]],"CO2_transported",Infrastructure[[storage_site]:[storage_site]],"="&amp;$B453,Infrastructure[[cluster]:[cluster]],"="&amp;$B$451)/1000,"")</f>
        <v>0</v>
      </c>
      <c r="AC453" s="41">
        <f>IFERROR(SUMIFS(Infrastructure[2047],Infrastructure[[variable_type]:[variable_type]],"CO2_transported",Infrastructure[[storage_site]:[storage_site]],"="&amp;$B453,Infrastructure[[cluster]:[cluster]],"="&amp;$B$451)/1000,"")</f>
        <v>0</v>
      </c>
      <c r="AD453" s="41">
        <f>IFERROR(SUMIFS(Infrastructure[2048],Infrastructure[[variable_type]:[variable_type]],"CO2_transported",Infrastructure[[storage_site]:[storage_site]],"="&amp;$B453,Infrastructure[[cluster]:[cluster]],"="&amp;$B$451)/1000,"")</f>
        <v>0</v>
      </c>
      <c r="AE453" s="41">
        <f>IFERROR(SUMIFS(Infrastructure[2049],Infrastructure[[variable_type]:[variable_type]],"CO2_transported",Infrastructure[[storage_site]:[storage_site]],"="&amp;$B453,Infrastructure[[cluster]:[cluster]],"="&amp;$B$451)/1000,"")</f>
        <v>0</v>
      </c>
      <c r="AF453" s="41">
        <f>IFERROR(SUMIFS(Infrastructure[2050],Infrastructure[[variable_type]:[variable_type]],"CO2_transported",Infrastructure[[storage_site]:[storage_site]],"="&amp;$B453,Infrastructure[[cluster]:[cluster]],"="&amp;$B$451)/1000,"")</f>
        <v>0</v>
      </c>
      <c r="AG453" s="41">
        <f>IFERROR(SUMIFS(Infrastructure[2051],Infrastructure[[variable_type]:[variable_type]],"CO2_transported",Infrastructure[[storage_site]:[storage_site]],"="&amp;$B453,Infrastructure[[cluster]:[cluster]],"="&amp;$B$451)/1000,"")</f>
        <v>0</v>
      </c>
    </row>
    <row r="454" spans="1:36" x14ac:dyDescent="0.45">
      <c r="B454" s="24" t="s">
        <v>79</v>
      </c>
      <c r="C454" s="41">
        <f>IFERROR(SUMIFS(Infrastructure[2021],Infrastructure[[variable_type]:[variable_type]],"CO2_transported",Infrastructure[[storage_site]:[storage_site]],"="&amp;$B454,Infrastructure[[cluster]:[cluster]],"="&amp;$B$451)/1000,"")</f>
        <v>0</v>
      </c>
      <c r="D454" s="41">
        <f>IFERROR(SUMIFS(Infrastructure[2022],Infrastructure[[variable_type]:[variable_type]],"CO2_transported",Infrastructure[[storage_site]:[storage_site]],"="&amp;$B454,Infrastructure[[cluster]:[cluster]],"="&amp;$B$451)/1000,"")</f>
        <v>0</v>
      </c>
      <c r="E454" s="41">
        <f>IFERROR(SUMIFS(Infrastructure[2023],Infrastructure[[variable_type]:[variable_type]],"CO2_transported",Infrastructure[[storage_site]:[storage_site]],"="&amp;$B454,Infrastructure[[cluster]:[cluster]],"="&amp;$B$451)/1000,"")</f>
        <v>0</v>
      </c>
      <c r="F454" s="41">
        <f>IFERROR(SUMIFS(Infrastructure[2024],Infrastructure[[variable_type]:[variable_type]],"CO2_transported",Infrastructure[[storage_site]:[storage_site]],"="&amp;$B454,Infrastructure[[cluster]:[cluster]],"="&amp;$B$451)/1000,"")</f>
        <v>0</v>
      </c>
      <c r="G454" s="41">
        <f>IFERROR(SUMIFS(Infrastructure[2025],Infrastructure[[variable_type]:[variable_type]],"CO2_transported",Infrastructure[[storage_site]:[storage_site]],"="&amp;$B454,Infrastructure[[cluster]:[cluster]],"="&amp;$B$451)/1000,"")</f>
        <v>0</v>
      </c>
      <c r="H454" s="41">
        <f>IFERROR(SUMIFS(Infrastructure[2026],Infrastructure[[variable_type]:[variable_type]],"CO2_transported",Infrastructure[[storage_site]:[storage_site]],"="&amp;$B454,Infrastructure[[cluster]:[cluster]],"="&amp;$B$451)/1000,"")</f>
        <v>0</v>
      </c>
      <c r="I454" s="41">
        <f>IFERROR(SUMIFS(Infrastructure[2027],Infrastructure[[variable_type]:[variable_type]],"CO2_transported",Infrastructure[[storage_site]:[storage_site]],"="&amp;$B454,Infrastructure[[cluster]:[cluster]],"="&amp;$B$451)/1000,"")</f>
        <v>0</v>
      </c>
      <c r="J454" s="41">
        <f>IFERROR(SUMIFS(Infrastructure[2028],Infrastructure[[variable_type]:[variable_type]],"CO2_transported",Infrastructure[[storage_site]:[storage_site]],"="&amp;$B454,Infrastructure[[cluster]:[cluster]],"="&amp;$B$451)/1000,"")</f>
        <v>0</v>
      </c>
      <c r="K454" s="41">
        <f>IFERROR(SUMIFS(Infrastructure[2029],Infrastructure[[variable_type]:[variable_type]],"CO2_transported",Infrastructure[[storage_site]:[storage_site]],"="&amp;$B454,Infrastructure[[cluster]:[cluster]],"="&amp;$B$451)/1000,"")</f>
        <v>0</v>
      </c>
      <c r="L454" s="41">
        <f>IFERROR(SUMIFS(Infrastructure[2030],Infrastructure[[variable_type]:[variable_type]],"CO2_transported",Infrastructure[[storage_site]:[storage_site]],"="&amp;$B454,Infrastructure[[cluster]:[cluster]],"="&amp;$B$451)/1000,"")</f>
        <v>0</v>
      </c>
      <c r="M454" s="41">
        <f>IFERROR(SUMIFS(Infrastructure[2031],Infrastructure[[variable_type]:[variable_type]],"CO2_transported",Infrastructure[[storage_site]:[storage_site]],"="&amp;$B454,Infrastructure[[cluster]:[cluster]],"="&amp;$B$451)/1000,"")</f>
        <v>0</v>
      </c>
      <c r="N454" s="41">
        <f>IFERROR(SUMIFS(Infrastructure[2032],Infrastructure[[variable_type]:[variable_type]],"CO2_transported",Infrastructure[[storage_site]:[storage_site]],"="&amp;$B454,Infrastructure[[cluster]:[cluster]],"="&amp;$B$451)/1000,"")</f>
        <v>0</v>
      </c>
      <c r="O454" s="41">
        <f>IFERROR(SUMIFS(Infrastructure[2033],Infrastructure[[variable_type]:[variable_type]],"CO2_transported",Infrastructure[[storage_site]:[storage_site]],"="&amp;$B454,Infrastructure[[cluster]:[cluster]],"="&amp;$B$451)/1000,"")</f>
        <v>0</v>
      </c>
      <c r="P454" s="41">
        <f>IFERROR(SUMIFS(Infrastructure[2034],Infrastructure[[variable_type]:[variable_type]],"CO2_transported",Infrastructure[[storage_site]:[storage_site]],"="&amp;$B454,Infrastructure[[cluster]:[cluster]],"="&amp;$B$451)/1000,"")</f>
        <v>0</v>
      </c>
      <c r="Q454" s="41">
        <f>IFERROR(SUMIFS(Infrastructure[2035],Infrastructure[[variable_type]:[variable_type]],"CO2_transported",Infrastructure[[storage_site]:[storage_site]],"="&amp;$B454,Infrastructure[[cluster]:[cluster]],"="&amp;$B$451)/1000,"")</f>
        <v>0</v>
      </c>
      <c r="R454" s="41">
        <f>IFERROR(SUMIFS(Infrastructure[2036],Infrastructure[[variable_type]:[variable_type]],"CO2_transported",Infrastructure[[storage_site]:[storage_site]],"="&amp;$B454,Infrastructure[[cluster]:[cluster]],"="&amp;$B$451)/1000,"")</f>
        <v>0</v>
      </c>
      <c r="S454" s="41">
        <f>IFERROR(SUMIFS(Infrastructure[2037],Infrastructure[[variable_type]:[variable_type]],"CO2_transported",Infrastructure[[storage_site]:[storage_site]],"="&amp;$B454,Infrastructure[[cluster]:[cluster]],"="&amp;$B$451)/1000,"")</f>
        <v>0</v>
      </c>
      <c r="T454" s="41">
        <f>IFERROR(SUMIFS(Infrastructure[2038],Infrastructure[[variable_type]:[variable_type]],"CO2_transported",Infrastructure[[storage_site]:[storage_site]],"="&amp;$B454,Infrastructure[[cluster]:[cluster]],"="&amp;$B$451)/1000,"")</f>
        <v>0</v>
      </c>
      <c r="U454" s="41">
        <f>IFERROR(SUMIFS(Infrastructure[2039],Infrastructure[[variable_type]:[variable_type]],"CO2_transported",Infrastructure[[storage_site]:[storage_site]],"="&amp;$B454,Infrastructure[[cluster]:[cluster]],"="&amp;$B$451)/1000,"")</f>
        <v>0</v>
      </c>
      <c r="V454" s="41">
        <f>IFERROR(SUMIFS(Infrastructure[2040],Infrastructure[[variable_type]:[variable_type]],"CO2_transported",Infrastructure[[storage_site]:[storage_site]],"="&amp;$B454,Infrastructure[[cluster]:[cluster]],"="&amp;$B$451)/1000,"")</f>
        <v>0</v>
      </c>
      <c r="W454" s="41">
        <f>IFERROR(SUMIFS(Infrastructure[2041],Infrastructure[[variable_type]:[variable_type]],"CO2_transported",Infrastructure[[storage_site]:[storage_site]],"="&amp;$B454,Infrastructure[[cluster]:[cluster]],"="&amp;$B$451)/1000,"")</f>
        <v>0</v>
      </c>
      <c r="X454" s="41">
        <f>IFERROR(SUMIFS(Infrastructure[2042],Infrastructure[[variable_type]:[variable_type]],"CO2_transported",Infrastructure[[storage_site]:[storage_site]],"="&amp;$B454,Infrastructure[[cluster]:[cluster]],"="&amp;$B$451)/1000,"")</f>
        <v>0</v>
      </c>
      <c r="Y454" s="41">
        <f>IFERROR(SUMIFS(Infrastructure[2043],Infrastructure[[variable_type]:[variable_type]],"CO2_transported",Infrastructure[[storage_site]:[storage_site]],"="&amp;$B454,Infrastructure[[cluster]:[cluster]],"="&amp;$B$451)/1000,"")</f>
        <v>0</v>
      </c>
      <c r="Z454" s="41">
        <f>IFERROR(SUMIFS(Infrastructure[2044],Infrastructure[[variable_type]:[variable_type]],"CO2_transported",Infrastructure[[storage_site]:[storage_site]],"="&amp;$B454,Infrastructure[[cluster]:[cluster]],"="&amp;$B$451)/1000,"")</f>
        <v>0</v>
      </c>
      <c r="AA454" s="41">
        <f>IFERROR(SUMIFS(Infrastructure[2045],Infrastructure[[variable_type]:[variable_type]],"CO2_transported",Infrastructure[[storage_site]:[storage_site]],"="&amp;$B454,Infrastructure[[cluster]:[cluster]],"="&amp;$B$451)/1000,"")</f>
        <v>0</v>
      </c>
      <c r="AB454" s="41">
        <f>IFERROR(SUMIFS(Infrastructure[2046],Infrastructure[[variable_type]:[variable_type]],"CO2_transported",Infrastructure[[storage_site]:[storage_site]],"="&amp;$B454,Infrastructure[[cluster]:[cluster]],"="&amp;$B$451)/1000,"")</f>
        <v>0</v>
      </c>
      <c r="AC454" s="41">
        <f>IFERROR(SUMIFS(Infrastructure[2047],Infrastructure[[variable_type]:[variable_type]],"CO2_transported",Infrastructure[[storage_site]:[storage_site]],"="&amp;$B454,Infrastructure[[cluster]:[cluster]],"="&amp;$B$451)/1000,"")</f>
        <v>0</v>
      </c>
      <c r="AD454" s="41">
        <f>IFERROR(SUMIFS(Infrastructure[2048],Infrastructure[[variable_type]:[variable_type]],"CO2_transported",Infrastructure[[storage_site]:[storage_site]],"="&amp;$B454,Infrastructure[[cluster]:[cluster]],"="&amp;$B$451)/1000,"")</f>
        <v>0</v>
      </c>
      <c r="AE454" s="41">
        <f>IFERROR(SUMIFS(Infrastructure[2049],Infrastructure[[variable_type]:[variable_type]],"CO2_transported",Infrastructure[[storage_site]:[storage_site]],"="&amp;$B454,Infrastructure[[cluster]:[cluster]],"="&amp;$B$451)/1000,"")</f>
        <v>0</v>
      </c>
      <c r="AF454" s="41">
        <f>IFERROR(SUMIFS(Infrastructure[2050],Infrastructure[[variable_type]:[variable_type]],"CO2_transported",Infrastructure[[storage_site]:[storage_site]],"="&amp;$B454,Infrastructure[[cluster]:[cluster]],"="&amp;$B$451)/1000,"")</f>
        <v>0</v>
      </c>
      <c r="AG454" s="41">
        <f>IFERROR(SUMIFS(Infrastructure[2051],Infrastructure[[variable_type]:[variable_type]],"CO2_transported",Infrastructure[[storage_site]:[storage_site]],"="&amp;$B454,Infrastructure[[cluster]:[cluster]],"="&amp;$B$451)/1000,"")</f>
        <v>0</v>
      </c>
    </row>
    <row r="455" spans="1:36" x14ac:dyDescent="0.45">
      <c r="A455" s="2"/>
      <c r="B455" s="6"/>
    </row>
    <row r="456" spans="1:36" ht="18" x14ac:dyDescent="0.55000000000000004">
      <c r="A456" s="5" t="s">
        <v>121</v>
      </c>
      <c r="B456" s="25" t="s">
        <v>11</v>
      </c>
      <c r="AJ456" s="20"/>
    </row>
    <row r="457" spans="1:36" x14ac:dyDescent="0.45">
      <c r="A457" t="s">
        <v>122</v>
      </c>
      <c r="B457" s="14"/>
      <c r="C457" s="6">
        <v>2021</v>
      </c>
      <c r="D457" s="6">
        <v>2022</v>
      </c>
      <c r="E457" s="6">
        <v>2023</v>
      </c>
      <c r="F457" s="6">
        <v>2024</v>
      </c>
      <c r="G457" s="6">
        <v>2025</v>
      </c>
      <c r="H457" s="6">
        <v>2026</v>
      </c>
      <c r="I457" s="6">
        <v>2027</v>
      </c>
      <c r="J457" s="6">
        <v>2028</v>
      </c>
      <c r="K457" s="6">
        <v>2029</v>
      </c>
      <c r="L457" s="6">
        <v>2030</v>
      </c>
      <c r="M457" s="6">
        <v>2031</v>
      </c>
      <c r="N457" s="6">
        <v>2032</v>
      </c>
      <c r="O457" s="6">
        <v>2033</v>
      </c>
      <c r="P457" s="6">
        <v>2034</v>
      </c>
      <c r="Q457" s="6">
        <v>2035</v>
      </c>
      <c r="R457" s="6">
        <v>2036</v>
      </c>
      <c r="S457" s="6">
        <v>2037</v>
      </c>
      <c r="T457" s="6">
        <v>2038</v>
      </c>
      <c r="U457" s="6">
        <v>2039</v>
      </c>
      <c r="V457" s="6">
        <v>2040</v>
      </c>
      <c r="W457" s="6">
        <v>2041</v>
      </c>
      <c r="X457" s="6">
        <v>2042</v>
      </c>
      <c r="Y457" s="6">
        <v>2043</v>
      </c>
      <c r="Z457" s="6">
        <v>2044</v>
      </c>
      <c r="AA457" s="6">
        <v>2045</v>
      </c>
      <c r="AB457" s="6">
        <v>2046</v>
      </c>
      <c r="AC457" s="6">
        <v>2047</v>
      </c>
      <c r="AD457" s="6">
        <v>2048</v>
      </c>
      <c r="AE457" s="6">
        <v>2049</v>
      </c>
      <c r="AF457" s="6">
        <v>2050</v>
      </c>
      <c r="AG457" s="6">
        <v>2051</v>
      </c>
      <c r="AJ457" s="20"/>
    </row>
    <row r="458" spans="1:36" x14ac:dyDescent="0.45">
      <c r="A458" s="2"/>
      <c r="B458" s="6" t="s">
        <v>70</v>
      </c>
      <c r="C458" s="51">
        <f>IFERROR(SUMIFS(Infrastructure[2021],
Infrastructure[[variable_type]:[variable_type]],"H2_outflow",
Infrastructure[[cluster]:[cluster]],$B$458,
Infrastructure[[pipe_cluster_end]:[pipe_cluster_end]],$B458)*PJ2TWh,"")</f>
        <v>0</v>
      </c>
      <c r="D458" s="51">
        <f>IFERROR(SUMIFS(Infrastructure[2022],
Infrastructure[[variable_type]:[variable_type]],"H2_outflow",
Infrastructure[[cluster]:[cluster]],$B$458,
Infrastructure[[pipe_cluster_end]:[pipe_cluster_end]],$B458)*PJ2TWh,"")</f>
        <v>0</v>
      </c>
      <c r="E458" s="51">
        <f>IFERROR(SUMIFS(Infrastructure[2023],
Infrastructure[[variable_type]:[variable_type]],"H2_outflow",
Infrastructure[[cluster]:[cluster]],$B$458,
Infrastructure[[pipe_cluster_end]:[pipe_cluster_end]],$B458)*PJ2TWh,"")</f>
        <v>0</v>
      </c>
      <c r="F458" s="51">
        <f>IFERROR(SUMIFS(Infrastructure[2024],
Infrastructure[[variable_type]:[variable_type]],"H2_outflow",
Infrastructure[[cluster]:[cluster]],$B$458,
Infrastructure[[pipe_cluster_end]:[pipe_cluster_end]],$B458)*PJ2TWh,"")</f>
        <v>0</v>
      </c>
      <c r="G458" s="51">
        <f>IFERROR(SUMIFS(Infrastructure[2025],
Infrastructure[[variable_type]:[variable_type]],"H2_outflow",
Infrastructure[[cluster]:[cluster]],$B$458,
Infrastructure[[pipe_cluster_end]:[pipe_cluster_end]],$B458)*PJ2TWh,"")</f>
        <v>0</v>
      </c>
      <c r="H458" s="51">
        <f>IFERROR(SUMIFS(Infrastructure[2026],
Infrastructure[[variable_type]:[variable_type]],"H2_outflow",
Infrastructure[[cluster]:[cluster]],$B$458,
Infrastructure[[pipe_cluster_end]:[pipe_cluster_end]],$B458)*PJ2TWh,"")</f>
        <v>0</v>
      </c>
      <c r="I458" s="51">
        <f>IFERROR(SUMIFS(Infrastructure[2027],
Infrastructure[[variable_type]:[variable_type]],"H2_outflow",
Infrastructure[[cluster]:[cluster]],$B$458,
Infrastructure[[pipe_cluster_end]:[pipe_cluster_end]],$B458)*PJ2TWh,"")</f>
        <v>0</v>
      </c>
      <c r="J458" s="51">
        <f>IFERROR(SUMIFS(Infrastructure[2028],
Infrastructure[[variable_type]:[variable_type]],"H2_outflow",
Infrastructure[[cluster]:[cluster]],$B$458,
Infrastructure[[pipe_cluster_end]:[pipe_cluster_end]],$B458)*PJ2TWh,"")</f>
        <v>0</v>
      </c>
      <c r="K458" s="51">
        <f>IFERROR(SUMIFS(Infrastructure[2029],
Infrastructure[[variable_type]:[variable_type]],"H2_outflow",
Infrastructure[[cluster]:[cluster]],$B$458,
Infrastructure[[pipe_cluster_end]:[pipe_cluster_end]],$B458)*PJ2TWh,"")</f>
        <v>0</v>
      </c>
      <c r="L458" s="51">
        <f>IFERROR(SUMIFS(Infrastructure[2030],
Infrastructure[[variable_type]:[variable_type]],"H2_outflow",
Infrastructure[[cluster]:[cluster]],$B$458,
Infrastructure[[pipe_cluster_end]:[pipe_cluster_end]],$B458)*PJ2TWh,"")</f>
        <v>0</v>
      </c>
      <c r="M458" s="51">
        <f>IFERROR(SUMIFS(Infrastructure[2031],
Infrastructure[[variable_type]:[variable_type]],"H2_outflow",
Infrastructure[[cluster]:[cluster]],$B$458,
Infrastructure[[pipe_cluster_end]:[pipe_cluster_end]],$B458)*PJ2TWh,"")</f>
        <v>0</v>
      </c>
      <c r="N458" s="51">
        <f>IFERROR(SUMIFS(Infrastructure[2032],
Infrastructure[[variable_type]:[variable_type]],"H2_outflow",
Infrastructure[[cluster]:[cluster]],$B$458,
Infrastructure[[pipe_cluster_end]:[pipe_cluster_end]],$B458)*PJ2TWh,"")</f>
        <v>0</v>
      </c>
      <c r="O458" s="51">
        <f>IFERROR(SUMIFS(Infrastructure[2033],
Infrastructure[[variable_type]:[variable_type]],"H2_outflow",
Infrastructure[[cluster]:[cluster]],$B$458,
Infrastructure[[pipe_cluster_end]:[pipe_cluster_end]],$B458)*PJ2TWh,"")</f>
        <v>0</v>
      </c>
      <c r="P458" s="51">
        <f>IFERROR(SUMIFS(Infrastructure[2034],
Infrastructure[[variable_type]:[variable_type]],"H2_outflow",
Infrastructure[[cluster]:[cluster]],$B$458,
Infrastructure[[pipe_cluster_end]:[pipe_cluster_end]],$B458)*PJ2TWh,"")</f>
        <v>0</v>
      </c>
      <c r="Q458" s="51">
        <f>IFERROR(SUMIFS(Infrastructure[2035],
Infrastructure[[variable_type]:[variable_type]],"H2_outflow",
Infrastructure[[cluster]:[cluster]],$B$458,
Infrastructure[[pipe_cluster_end]:[pipe_cluster_end]],$B458)*PJ2TWh,"")</f>
        <v>0</v>
      </c>
      <c r="R458" s="51">
        <f>IFERROR(SUMIFS(Infrastructure[2036],
Infrastructure[[variable_type]:[variable_type]],"H2_outflow",
Infrastructure[[cluster]:[cluster]],$B$458,
Infrastructure[[pipe_cluster_end]:[pipe_cluster_end]],$B458)*PJ2TWh,"")</f>
        <v>0</v>
      </c>
      <c r="S458" s="51">
        <f>IFERROR(SUMIFS(Infrastructure[2037],
Infrastructure[[variable_type]:[variable_type]],"H2_outflow",
Infrastructure[[cluster]:[cluster]],$B$458,
Infrastructure[[pipe_cluster_end]:[pipe_cluster_end]],$B458)*PJ2TWh,"")</f>
        <v>0</v>
      </c>
      <c r="T458" s="51">
        <f>IFERROR(SUMIFS(Infrastructure[2038],
Infrastructure[[variable_type]:[variable_type]],"H2_outflow",
Infrastructure[[cluster]:[cluster]],$B$458,
Infrastructure[[pipe_cluster_end]:[pipe_cluster_end]],$B458)*PJ2TWh,"")</f>
        <v>0</v>
      </c>
      <c r="U458" s="51">
        <f>IFERROR(SUMIFS(Infrastructure[2039],
Infrastructure[[variable_type]:[variable_type]],"H2_outflow",
Infrastructure[[cluster]:[cluster]],$B$458,
Infrastructure[[pipe_cluster_end]:[pipe_cluster_end]],$B458)*PJ2TWh,"")</f>
        <v>0</v>
      </c>
      <c r="V458" s="51">
        <f>IFERROR(SUMIFS(Infrastructure[2040],
Infrastructure[[variable_type]:[variable_type]],"H2_outflow",
Infrastructure[[cluster]:[cluster]],$B$458,
Infrastructure[[pipe_cluster_end]:[pipe_cluster_end]],$B458)*PJ2TWh,"")</f>
        <v>0</v>
      </c>
      <c r="W458" s="51">
        <f>IFERROR(SUMIFS(Infrastructure[2041],
Infrastructure[[variable_type]:[variable_type]],"H2_outflow",
Infrastructure[[cluster]:[cluster]],$B$458,
Infrastructure[[pipe_cluster_end]:[pipe_cluster_end]],$B458)*PJ2TWh,"")</f>
        <v>0</v>
      </c>
      <c r="X458" s="51">
        <f>IFERROR(SUMIFS(Infrastructure[2042],
Infrastructure[[variable_type]:[variable_type]],"H2_outflow",
Infrastructure[[cluster]:[cluster]],$B$458,
Infrastructure[[pipe_cluster_end]:[pipe_cluster_end]],$B458)*PJ2TWh,"")</f>
        <v>0</v>
      </c>
      <c r="Y458" s="51">
        <f>IFERROR(SUMIFS(Infrastructure[2043],
Infrastructure[[variable_type]:[variable_type]],"H2_outflow",
Infrastructure[[cluster]:[cluster]],$B$458,
Infrastructure[[pipe_cluster_end]:[pipe_cluster_end]],$B458)*PJ2TWh,"")</f>
        <v>0</v>
      </c>
      <c r="Z458" s="51">
        <f>IFERROR(SUMIFS(Infrastructure[2044],
Infrastructure[[variable_type]:[variable_type]],"H2_outflow",
Infrastructure[[cluster]:[cluster]],$B$458,
Infrastructure[[pipe_cluster_end]:[pipe_cluster_end]],$B458)*PJ2TWh,"")</f>
        <v>0</v>
      </c>
      <c r="AA458" s="51">
        <f>IFERROR(SUMIFS(Infrastructure[2045],
Infrastructure[[variable_type]:[variable_type]],"H2_outflow",
Infrastructure[[cluster]:[cluster]],$B$458,
Infrastructure[[pipe_cluster_end]:[pipe_cluster_end]],$B458)*PJ2TWh,"")</f>
        <v>0</v>
      </c>
      <c r="AB458" s="51">
        <f>IFERROR(SUMIFS(Infrastructure[2046],
Infrastructure[[variable_type]:[variable_type]],"H2_outflow",
Infrastructure[[cluster]:[cluster]],$B$458,
Infrastructure[[pipe_cluster_end]:[pipe_cluster_end]],$B458)*PJ2TWh,"")</f>
        <v>0</v>
      </c>
      <c r="AC458" s="51">
        <f>IFERROR(SUMIFS(Infrastructure[2047],
Infrastructure[[variable_type]:[variable_type]],"H2_outflow",
Infrastructure[[cluster]:[cluster]],$B$458,
Infrastructure[[pipe_cluster_end]:[pipe_cluster_end]],$B458)*PJ2TWh,"")</f>
        <v>0</v>
      </c>
      <c r="AD458" s="51">
        <f>IFERROR(SUMIFS(Infrastructure[2048],
Infrastructure[[variable_type]:[variable_type]],"H2_outflow",
Infrastructure[[cluster]:[cluster]],$B$458,
Infrastructure[[pipe_cluster_end]:[pipe_cluster_end]],$B458)*PJ2TWh,"")</f>
        <v>0</v>
      </c>
      <c r="AE458" s="51">
        <f>IFERROR(SUMIFS(Infrastructure[2049],
Infrastructure[[variable_type]:[variable_type]],"H2_outflow",
Infrastructure[[cluster]:[cluster]],$B$458,
Infrastructure[[pipe_cluster_end]:[pipe_cluster_end]],$B458)*PJ2TWh,"")</f>
        <v>0</v>
      </c>
      <c r="AF458" s="51">
        <f>IFERROR(SUMIFS(Infrastructure[2050],
Infrastructure[[variable_type]:[variable_type]],"H2_outflow",
Infrastructure[[cluster]:[cluster]],$B$458,
Infrastructure[[pipe_cluster_end]:[pipe_cluster_end]],$B458)*PJ2TWh,"")</f>
        <v>0</v>
      </c>
      <c r="AG458" s="51">
        <f>IFERROR(SUMIFS(Infrastructure[2051],
Infrastructure[[variable_type]:[variable_type]],"H2_outflow",
Infrastructure[[cluster]:[cluster]],$B$458,
Infrastructure[[pipe_cluster_end]:[pipe_cluster_end]],$B458)*PJ2TWh,"")</f>
        <v>0</v>
      </c>
      <c r="AJ458" s="20"/>
    </row>
    <row r="459" spans="1:36" x14ac:dyDescent="0.45">
      <c r="A459" s="2"/>
      <c r="B459" s="24" t="s">
        <v>70</v>
      </c>
      <c r="C459" s="51">
        <f>IFERROR(SUMIFS(Infrastructure[2021],
Infrastructure[[variable_type]:[variable_type]],"H2_outflow",
Infrastructure[[cluster]:[cluster]],$B$458,
Infrastructure[[pipe_cluster_end]:[pipe_cluster_end]],$B459)*PJ2TWh,"")</f>
        <v>0</v>
      </c>
      <c r="D459" s="51">
        <f>IFERROR(SUMIFS(Infrastructure[2022],
Infrastructure[[variable_type]:[variable_type]],"H2_outflow",
Infrastructure[[cluster]:[cluster]],$B$458,
Infrastructure[[pipe_cluster_end]:[pipe_cluster_end]],$B459)*PJ2TWh,"")</f>
        <v>0</v>
      </c>
      <c r="E459" s="51">
        <f>IFERROR(SUMIFS(Infrastructure[2023],
Infrastructure[[variable_type]:[variable_type]],"H2_outflow",
Infrastructure[[cluster]:[cluster]],$B$458,
Infrastructure[[pipe_cluster_end]:[pipe_cluster_end]],$B459)*PJ2TWh,"")</f>
        <v>0</v>
      </c>
      <c r="F459" s="51">
        <f>IFERROR(SUMIFS(Infrastructure[2024],
Infrastructure[[variable_type]:[variable_type]],"H2_outflow",
Infrastructure[[cluster]:[cluster]],$B$458,
Infrastructure[[pipe_cluster_end]:[pipe_cluster_end]],$B459)*PJ2TWh,"")</f>
        <v>0</v>
      </c>
      <c r="G459" s="51">
        <f>IFERROR(SUMIFS(Infrastructure[2025],
Infrastructure[[variable_type]:[variable_type]],"H2_outflow",
Infrastructure[[cluster]:[cluster]],$B$458,
Infrastructure[[pipe_cluster_end]:[pipe_cluster_end]],$B459)*PJ2TWh,"")</f>
        <v>0</v>
      </c>
      <c r="H459" s="51">
        <f>IFERROR(SUMIFS(Infrastructure[2026],
Infrastructure[[variable_type]:[variable_type]],"H2_outflow",
Infrastructure[[cluster]:[cluster]],$B$458,
Infrastructure[[pipe_cluster_end]:[pipe_cluster_end]],$B459)*PJ2TWh,"")</f>
        <v>0</v>
      </c>
      <c r="I459" s="51">
        <f>IFERROR(SUMIFS(Infrastructure[2027],
Infrastructure[[variable_type]:[variable_type]],"H2_outflow",
Infrastructure[[cluster]:[cluster]],$B$458,
Infrastructure[[pipe_cluster_end]:[pipe_cluster_end]],$B459)*PJ2TWh,"")</f>
        <v>0</v>
      </c>
      <c r="J459" s="51">
        <f>IFERROR(SUMIFS(Infrastructure[2028],
Infrastructure[[variable_type]:[variable_type]],"H2_outflow",
Infrastructure[[cluster]:[cluster]],$B$458,
Infrastructure[[pipe_cluster_end]:[pipe_cluster_end]],$B459)*PJ2TWh,"")</f>
        <v>0</v>
      </c>
      <c r="K459" s="51">
        <f>IFERROR(SUMIFS(Infrastructure[2029],
Infrastructure[[variable_type]:[variable_type]],"H2_outflow",
Infrastructure[[cluster]:[cluster]],$B$458,
Infrastructure[[pipe_cluster_end]:[pipe_cluster_end]],$B459)*PJ2TWh,"")</f>
        <v>0</v>
      </c>
      <c r="L459" s="51">
        <f>IFERROR(SUMIFS(Infrastructure[2030],
Infrastructure[[variable_type]:[variable_type]],"H2_outflow",
Infrastructure[[cluster]:[cluster]],$B$458,
Infrastructure[[pipe_cluster_end]:[pipe_cluster_end]],$B459)*PJ2TWh,"")</f>
        <v>0</v>
      </c>
      <c r="M459" s="51">
        <f>IFERROR(SUMIFS(Infrastructure[2031],
Infrastructure[[variable_type]:[variable_type]],"H2_outflow",
Infrastructure[[cluster]:[cluster]],$B$458,
Infrastructure[[pipe_cluster_end]:[pipe_cluster_end]],$B459)*PJ2TWh,"")</f>
        <v>0</v>
      </c>
      <c r="N459" s="51">
        <f>IFERROR(SUMIFS(Infrastructure[2032],
Infrastructure[[variable_type]:[variable_type]],"H2_outflow",
Infrastructure[[cluster]:[cluster]],$B$458,
Infrastructure[[pipe_cluster_end]:[pipe_cluster_end]],$B459)*PJ2TWh,"")</f>
        <v>0</v>
      </c>
      <c r="O459" s="51">
        <f>IFERROR(SUMIFS(Infrastructure[2033],
Infrastructure[[variable_type]:[variable_type]],"H2_outflow",
Infrastructure[[cluster]:[cluster]],$B$458,
Infrastructure[[pipe_cluster_end]:[pipe_cluster_end]],$B459)*PJ2TWh,"")</f>
        <v>0</v>
      </c>
      <c r="P459" s="51">
        <f>IFERROR(SUMIFS(Infrastructure[2034],
Infrastructure[[variable_type]:[variable_type]],"H2_outflow",
Infrastructure[[cluster]:[cluster]],$B$458,
Infrastructure[[pipe_cluster_end]:[pipe_cluster_end]],$B459)*PJ2TWh,"")</f>
        <v>0</v>
      </c>
      <c r="Q459" s="51">
        <f>IFERROR(SUMIFS(Infrastructure[2035],
Infrastructure[[variable_type]:[variable_type]],"H2_outflow",
Infrastructure[[cluster]:[cluster]],$B$458,
Infrastructure[[pipe_cluster_end]:[pipe_cluster_end]],$B459)*PJ2TWh,"")</f>
        <v>0</v>
      </c>
      <c r="R459" s="51">
        <f>IFERROR(SUMIFS(Infrastructure[2036],
Infrastructure[[variable_type]:[variable_type]],"H2_outflow",
Infrastructure[[cluster]:[cluster]],$B$458,
Infrastructure[[pipe_cluster_end]:[pipe_cluster_end]],$B459)*PJ2TWh,"")</f>
        <v>0</v>
      </c>
      <c r="S459" s="51">
        <f>IFERROR(SUMIFS(Infrastructure[2037],
Infrastructure[[variable_type]:[variable_type]],"H2_outflow",
Infrastructure[[cluster]:[cluster]],$B$458,
Infrastructure[[pipe_cluster_end]:[pipe_cluster_end]],$B459)*PJ2TWh,"")</f>
        <v>0</v>
      </c>
      <c r="T459" s="51">
        <f>IFERROR(SUMIFS(Infrastructure[2038],
Infrastructure[[variable_type]:[variable_type]],"H2_outflow",
Infrastructure[[cluster]:[cluster]],$B$458,
Infrastructure[[pipe_cluster_end]:[pipe_cluster_end]],$B459)*PJ2TWh,"")</f>
        <v>0</v>
      </c>
      <c r="U459" s="51">
        <f>IFERROR(SUMIFS(Infrastructure[2039],
Infrastructure[[variable_type]:[variable_type]],"H2_outflow",
Infrastructure[[cluster]:[cluster]],$B$458,
Infrastructure[[pipe_cluster_end]:[pipe_cluster_end]],$B459)*PJ2TWh,"")</f>
        <v>0</v>
      </c>
      <c r="V459" s="51">
        <f>IFERROR(SUMIFS(Infrastructure[2040],
Infrastructure[[variable_type]:[variable_type]],"H2_outflow",
Infrastructure[[cluster]:[cluster]],$B$458,
Infrastructure[[pipe_cluster_end]:[pipe_cluster_end]],$B459)*PJ2TWh,"")</f>
        <v>0</v>
      </c>
      <c r="W459" s="51">
        <f>IFERROR(SUMIFS(Infrastructure[2041],
Infrastructure[[variable_type]:[variable_type]],"H2_outflow",
Infrastructure[[cluster]:[cluster]],$B$458,
Infrastructure[[pipe_cluster_end]:[pipe_cluster_end]],$B459)*PJ2TWh,"")</f>
        <v>0</v>
      </c>
      <c r="X459" s="51">
        <f>IFERROR(SUMIFS(Infrastructure[2042],
Infrastructure[[variable_type]:[variable_type]],"H2_outflow",
Infrastructure[[cluster]:[cluster]],$B$458,
Infrastructure[[pipe_cluster_end]:[pipe_cluster_end]],$B459)*PJ2TWh,"")</f>
        <v>0</v>
      </c>
      <c r="Y459" s="51">
        <f>IFERROR(SUMIFS(Infrastructure[2043],
Infrastructure[[variable_type]:[variable_type]],"H2_outflow",
Infrastructure[[cluster]:[cluster]],$B$458,
Infrastructure[[pipe_cluster_end]:[pipe_cluster_end]],$B459)*PJ2TWh,"")</f>
        <v>0</v>
      </c>
      <c r="Z459" s="51">
        <f>IFERROR(SUMIFS(Infrastructure[2044],
Infrastructure[[variable_type]:[variable_type]],"H2_outflow",
Infrastructure[[cluster]:[cluster]],$B$458,
Infrastructure[[pipe_cluster_end]:[pipe_cluster_end]],$B459)*PJ2TWh,"")</f>
        <v>0</v>
      </c>
      <c r="AA459" s="51">
        <f>IFERROR(SUMIFS(Infrastructure[2045],
Infrastructure[[variable_type]:[variable_type]],"H2_outflow",
Infrastructure[[cluster]:[cluster]],$B$458,
Infrastructure[[pipe_cluster_end]:[pipe_cluster_end]],$B459)*PJ2TWh,"")</f>
        <v>0</v>
      </c>
      <c r="AB459" s="51">
        <f>IFERROR(SUMIFS(Infrastructure[2046],
Infrastructure[[variable_type]:[variable_type]],"H2_outflow",
Infrastructure[[cluster]:[cluster]],$B$458,
Infrastructure[[pipe_cluster_end]:[pipe_cluster_end]],$B459)*PJ2TWh,"")</f>
        <v>0</v>
      </c>
      <c r="AC459" s="51">
        <f>IFERROR(SUMIFS(Infrastructure[2047],
Infrastructure[[variable_type]:[variable_type]],"H2_outflow",
Infrastructure[[cluster]:[cluster]],$B$458,
Infrastructure[[pipe_cluster_end]:[pipe_cluster_end]],$B459)*PJ2TWh,"")</f>
        <v>0</v>
      </c>
      <c r="AD459" s="51">
        <f>IFERROR(SUMIFS(Infrastructure[2048],
Infrastructure[[variable_type]:[variable_type]],"H2_outflow",
Infrastructure[[cluster]:[cluster]],$B$458,
Infrastructure[[pipe_cluster_end]:[pipe_cluster_end]],$B459)*PJ2TWh,"")</f>
        <v>0</v>
      </c>
      <c r="AE459" s="51">
        <f>IFERROR(SUMIFS(Infrastructure[2049],
Infrastructure[[variable_type]:[variable_type]],"H2_outflow",
Infrastructure[[cluster]:[cluster]],$B$458,
Infrastructure[[pipe_cluster_end]:[pipe_cluster_end]],$B459)*PJ2TWh,"")</f>
        <v>0</v>
      </c>
      <c r="AF459" s="51">
        <f>IFERROR(SUMIFS(Infrastructure[2050],
Infrastructure[[variable_type]:[variable_type]],"H2_outflow",
Infrastructure[[cluster]:[cluster]],$B$458,
Infrastructure[[pipe_cluster_end]:[pipe_cluster_end]],$B459)*PJ2TWh,"")</f>
        <v>0</v>
      </c>
      <c r="AG459" s="51">
        <f>IFERROR(SUMIFS(Infrastructure[2051],
Infrastructure[[variable_type]:[variable_type]],"H2_outflow",
Infrastructure[[cluster]:[cluster]],$B$458,
Infrastructure[[pipe_cluster_end]:[pipe_cluster_end]],$B459)*PJ2TWh,"")</f>
        <v>0</v>
      </c>
      <c r="AJ459" s="20"/>
    </row>
    <row r="460" spans="1:36" x14ac:dyDescent="0.45">
      <c r="A460" s="2"/>
      <c r="B460" s="24" t="s">
        <v>52</v>
      </c>
      <c r="C460" s="51">
        <f>IFERROR(SUMIFS(Infrastructure[2021],
Infrastructure[[variable_type]:[variable_type]],"H2_outflow",
Infrastructure[[cluster]:[cluster]],$B$458,
Infrastructure[[pipe_cluster_end]:[pipe_cluster_end]],$B460)*PJ2TWh,"")</f>
        <v>0</v>
      </c>
      <c r="D460" s="51">
        <f>IFERROR(SUMIFS(Infrastructure[2022],
Infrastructure[[variable_type]:[variable_type]],"H2_outflow",
Infrastructure[[cluster]:[cluster]],$B$458,
Infrastructure[[pipe_cluster_end]:[pipe_cluster_end]],$B460)*PJ2TWh,"")</f>
        <v>0</v>
      </c>
      <c r="E460" s="51">
        <f>IFERROR(SUMIFS(Infrastructure[2023],
Infrastructure[[variable_type]:[variable_type]],"H2_outflow",
Infrastructure[[cluster]:[cluster]],$B$458,
Infrastructure[[pipe_cluster_end]:[pipe_cluster_end]],$B460)*PJ2TWh,"")</f>
        <v>0</v>
      </c>
      <c r="F460" s="51">
        <f>IFERROR(SUMIFS(Infrastructure[2024],
Infrastructure[[variable_type]:[variable_type]],"H2_outflow",
Infrastructure[[cluster]:[cluster]],$B$458,
Infrastructure[[pipe_cluster_end]:[pipe_cluster_end]],$B460)*PJ2TWh,"")</f>
        <v>0</v>
      </c>
      <c r="G460" s="51">
        <f>IFERROR(SUMIFS(Infrastructure[2025],
Infrastructure[[variable_type]:[variable_type]],"H2_outflow",
Infrastructure[[cluster]:[cluster]],$B$458,
Infrastructure[[pipe_cluster_end]:[pipe_cluster_end]],$B460)*PJ2TWh,"")</f>
        <v>0</v>
      </c>
      <c r="H460" s="51">
        <f>IFERROR(SUMIFS(Infrastructure[2026],
Infrastructure[[variable_type]:[variable_type]],"H2_outflow",
Infrastructure[[cluster]:[cluster]],$B$458,
Infrastructure[[pipe_cluster_end]:[pipe_cluster_end]],$B460)*PJ2TWh,"")</f>
        <v>0</v>
      </c>
      <c r="I460" s="51">
        <f>IFERROR(SUMIFS(Infrastructure[2027],
Infrastructure[[variable_type]:[variable_type]],"H2_outflow",
Infrastructure[[cluster]:[cluster]],$B$458,
Infrastructure[[pipe_cluster_end]:[pipe_cluster_end]],$B460)*PJ2TWh,"")</f>
        <v>0</v>
      </c>
      <c r="J460" s="51">
        <f>IFERROR(SUMIFS(Infrastructure[2028],
Infrastructure[[variable_type]:[variable_type]],"H2_outflow",
Infrastructure[[cluster]:[cluster]],$B$458,
Infrastructure[[pipe_cluster_end]:[pipe_cluster_end]],$B460)*PJ2TWh,"")</f>
        <v>0</v>
      </c>
      <c r="K460" s="51">
        <f>IFERROR(SUMIFS(Infrastructure[2029],
Infrastructure[[variable_type]:[variable_type]],"H2_outflow",
Infrastructure[[cluster]:[cluster]],$B$458,
Infrastructure[[pipe_cluster_end]:[pipe_cluster_end]],$B460)*PJ2TWh,"")</f>
        <v>0</v>
      </c>
      <c r="L460" s="51">
        <f>IFERROR(SUMIFS(Infrastructure[2030],
Infrastructure[[variable_type]:[variable_type]],"H2_outflow",
Infrastructure[[cluster]:[cluster]],$B$458,
Infrastructure[[pipe_cluster_end]:[pipe_cluster_end]],$B460)*PJ2TWh,"")</f>
        <v>0</v>
      </c>
      <c r="M460" s="51">
        <f>IFERROR(SUMIFS(Infrastructure[2031],
Infrastructure[[variable_type]:[variable_type]],"H2_outflow",
Infrastructure[[cluster]:[cluster]],$B$458,
Infrastructure[[pipe_cluster_end]:[pipe_cluster_end]],$B460)*PJ2TWh,"")</f>
        <v>0</v>
      </c>
      <c r="N460" s="51">
        <f>IFERROR(SUMIFS(Infrastructure[2032],
Infrastructure[[variable_type]:[variable_type]],"H2_outflow",
Infrastructure[[cluster]:[cluster]],$B$458,
Infrastructure[[pipe_cluster_end]:[pipe_cluster_end]],$B460)*PJ2TWh,"")</f>
        <v>0</v>
      </c>
      <c r="O460" s="51">
        <f>IFERROR(SUMIFS(Infrastructure[2033],
Infrastructure[[variable_type]:[variable_type]],"H2_outflow",
Infrastructure[[cluster]:[cluster]],$B$458,
Infrastructure[[pipe_cluster_end]:[pipe_cluster_end]],$B460)*PJ2TWh,"")</f>
        <v>0</v>
      </c>
      <c r="P460" s="51">
        <f>IFERROR(SUMIFS(Infrastructure[2034],
Infrastructure[[variable_type]:[variable_type]],"H2_outflow",
Infrastructure[[cluster]:[cluster]],$B$458,
Infrastructure[[pipe_cluster_end]:[pipe_cluster_end]],$B460)*PJ2TWh,"")</f>
        <v>0</v>
      </c>
      <c r="Q460" s="51">
        <f>IFERROR(SUMIFS(Infrastructure[2035],
Infrastructure[[variable_type]:[variable_type]],"H2_outflow",
Infrastructure[[cluster]:[cluster]],$B$458,
Infrastructure[[pipe_cluster_end]:[pipe_cluster_end]],$B460)*PJ2TWh,"")</f>
        <v>0</v>
      </c>
      <c r="R460" s="51">
        <f>IFERROR(SUMIFS(Infrastructure[2036],
Infrastructure[[variable_type]:[variable_type]],"H2_outflow",
Infrastructure[[cluster]:[cluster]],$B$458,
Infrastructure[[pipe_cluster_end]:[pipe_cluster_end]],$B460)*PJ2TWh,"")</f>
        <v>0</v>
      </c>
      <c r="S460" s="51">
        <f>IFERROR(SUMIFS(Infrastructure[2037],
Infrastructure[[variable_type]:[variable_type]],"H2_outflow",
Infrastructure[[cluster]:[cluster]],$B$458,
Infrastructure[[pipe_cluster_end]:[pipe_cluster_end]],$B460)*PJ2TWh,"")</f>
        <v>0</v>
      </c>
      <c r="T460" s="51">
        <f>IFERROR(SUMIFS(Infrastructure[2038],
Infrastructure[[variable_type]:[variable_type]],"H2_outflow",
Infrastructure[[cluster]:[cluster]],$B$458,
Infrastructure[[pipe_cluster_end]:[pipe_cluster_end]],$B460)*PJ2TWh,"")</f>
        <v>0</v>
      </c>
      <c r="U460" s="51">
        <f>IFERROR(SUMIFS(Infrastructure[2039],
Infrastructure[[variable_type]:[variable_type]],"H2_outflow",
Infrastructure[[cluster]:[cluster]],$B$458,
Infrastructure[[pipe_cluster_end]:[pipe_cluster_end]],$B460)*PJ2TWh,"")</f>
        <v>0</v>
      </c>
      <c r="V460" s="51">
        <f>IFERROR(SUMIFS(Infrastructure[2040],
Infrastructure[[variable_type]:[variable_type]],"H2_outflow",
Infrastructure[[cluster]:[cluster]],$B$458,
Infrastructure[[pipe_cluster_end]:[pipe_cluster_end]],$B460)*PJ2TWh,"")</f>
        <v>0</v>
      </c>
      <c r="W460" s="51">
        <f>IFERROR(SUMIFS(Infrastructure[2041],
Infrastructure[[variable_type]:[variable_type]],"H2_outflow",
Infrastructure[[cluster]:[cluster]],$B$458,
Infrastructure[[pipe_cluster_end]:[pipe_cluster_end]],$B460)*PJ2TWh,"")</f>
        <v>0</v>
      </c>
      <c r="X460" s="51">
        <f>IFERROR(SUMIFS(Infrastructure[2042],
Infrastructure[[variable_type]:[variable_type]],"H2_outflow",
Infrastructure[[cluster]:[cluster]],$B$458,
Infrastructure[[pipe_cluster_end]:[pipe_cluster_end]],$B460)*PJ2TWh,"")</f>
        <v>0</v>
      </c>
      <c r="Y460" s="51">
        <f>IFERROR(SUMIFS(Infrastructure[2043],
Infrastructure[[variable_type]:[variable_type]],"H2_outflow",
Infrastructure[[cluster]:[cluster]],$B$458,
Infrastructure[[pipe_cluster_end]:[pipe_cluster_end]],$B460)*PJ2TWh,"")</f>
        <v>0</v>
      </c>
      <c r="Z460" s="51">
        <f>IFERROR(SUMIFS(Infrastructure[2044],
Infrastructure[[variable_type]:[variable_type]],"H2_outflow",
Infrastructure[[cluster]:[cluster]],$B$458,
Infrastructure[[pipe_cluster_end]:[pipe_cluster_end]],$B460)*PJ2TWh,"")</f>
        <v>0</v>
      </c>
      <c r="AA460" s="51">
        <f>IFERROR(SUMIFS(Infrastructure[2045],
Infrastructure[[variable_type]:[variable_type]],"H2_outflow",
Infrastructure[[cluster]:[cluster]],$B$458,
Infrastructure[[pipe_cluster_end]:[pipe_cluster_end]],$B460)*PJ2TWh,"")</f>
        <v>0</v>
      </c>
      <c r="AB460" s="51">
        <f>IFERROR(SUMIFS(Infrastructure[2046],
Infrastructure[[variable_type]:[variable_type]],"H2_outflow",
Infrastructure[[cluster]:[cluster]],$B$458,
Infrastructure[[pipe_cluster_end]:[pipe_cluster_end]],$B460)*PJ2TWh,"")</f>
        <v>0</v>
      </c>
      <c r="AC460" s="51">
        <f>IFERROR(SUMIFS(Infrastructure[2047],
Infrastructure[[variable_type]:[variable_type]],"H2_outflow",
Infrastructure[[cluster]:[cluster]],$B$458,
Infrastructure[[pipe_cluster_end]:[pipe_cluster_end]],$B460)*PJ2TWh,"")</f>
        <v>0</v>
      </c>
      <c r="AD460" s="51">
        <f>IFERROR(SUMIFS(Infrastructure[2048],
Infrastructure[[variable_type]:[variable_type]],"H2_outflow",
Infrastructure[[cluster]:[cluster]],$B$458,
Infrastructure[[pipe_cluster_end]:[pipe_cluster_end]],$B460)*PJ2TWh,"")</f>
        <v>0</v>
      </c>
      <c r="AE460" s="51">
        <f>IFERROR(SUMIFS(Infrastructure[2049],
Infrastructure[[variable_type]:[variable_type]],"H2_outflow",
Infrastructure[[cluster]:[cluster]],$B$458,
Infrastructure[[pipe_cluster_end]:[pipe_cluster_end]],$B460)*PJ2TWh,"")</f>
        <v>0</v>
      </c>
      <c r="AF460" s="51">
        <f>IFERROR(SUMIFS(Infrastructure[2050],
Infrastructure[[variable_type]:[variable_type]],"H2_outflow",
Infrastructure[[cluster]:[cluster]],$B$458,
Infrastructure[[pipe_cluster_end]:[pipe_cluster_end]],$B460)*PJ2TWh,"")</f>
        <v>0</v>
      </c>
      <c r="AG460" s="51">
        <f>IFERROR(SUMIFS(Infrastructure[2051],
Infrastructure[[variable_type]:[variable_type]],"H2_outflow",
Infrastructure[[cluster]:[cluster]],$B$458,
Infrastructure[[pipe_cluster_end]:[pipe_cluster_end]],$B460)*PJ2TWh,"")</f>
        <v>0</v>
      </c>
    </row>
    <row r="461" spans="1:36" x14ac:dyDescent="0.45">
      <c r="A461" s="2"/>
      <c r="B461" s="24" t="s">
        <v>71</v>
      </c>
      <c r="C461" s="51">
        <f>IFERROR(SUMIFS(Infrastructure[2021],
Infrastructure[[variable_type]:[variable_type]],"H2_outflow",
Infrastructure[[cluster]:[cluster]],$B$458,
Infrastructure[[pipe_cluster_end]:[pipe_cluster_end]],$B461)*PJ2TWh,"")</f>
        <v>0</v>
      </c>
      <c r="D461" s="51">
        <f>IFERROR(SUMIFS(Infrastructure[2022],
Infrastructure[[variable_type]:[variable_type]],"H2_outflow",
Infrastructure[[cluster]:[cluster]],$B$458,
Infrastructure[[pipe_cluster_end]:[pipe_cluster_end]],$B461)*PJ2TWh,"")</f>
        <v>0</v>
      </c>
      <c r="E461" s="51">
        <f>IFERROR(SUMIFS(Infrastructure[2023],
Infrastructure[[variable_type]:[variable_type]],"H2_outflow",
Infrastructure[[cluster]:[cluster]],$B$458,
Infrastructure[[pipe_cluster_end]:[pipe_cluster_end]],$B461)*PJ2TWh,"")</f>
        <v>0</v>
      </c>
      <c r="F461" s="51">
        <f>IFERROR(SUMIFS(Infrastructure[2024],
Infrastructure[[variable_type]:[variable_type]],"H2_outflow",
Infrastructure[[cluster]:[cluster]],$B$458,
Infrastructure[[pipe_cluster_end]:[pipe_cluster_end]],$B461)*PJ2TWh,"")</f>
        <v>0</v>
      </c>
      <c r="G461" s="51">
        <f>IFERROR(SUMIFS(Infrastructure[2025],
Infrastructure[[variable_type]:[variable_type]],"H2_outflow",
Infrastructure[[cluster]:[cluster]],$B$458,
Infrastructure[[pipe_cluster_end]:[pipe_cluster_end]],$B461)*PJ2TWh,"")</f>
        <v>0</v>
      </c>
      <c r="H461" s="51">
        <f>IFERROR(SUMIFS(Infrastructure[2026],
Infrastructure[[variable_type]:[variable_type]],"H2_outflow",
Infrastructure[[cluster]:[cluster]],$B$458,
Infrastructure[[pipe_cluster_end]:[pipe_cluster_end]],$B461)*PJ2TWh,"")</f>
        <v>0</v>
      </c>
      <c r="I461" s="51">
        <f>IFERROR(SUMIFS(Infrastructure[2027],
Infrastructure[[variable_type]:[variable_type]],"H2_outflow",
Infrastructure[[cluster]:[cluster]],$B$458,
Infrastructure[[pipe_cluster_end]:[pipe_cluster_end]],$B461)*PJ2TWh,"")</f>
        <v>0</v>
      </c>
      <c r="J461" s="51">
        <f>IFERROR(SUMIFS(Infrastructure[2028],
Infrastructure[[variable_type]:[variable_type]],"H2_outflow",
Infrastructure[[cluster]:[cluster]],$B$458,
Infrastructure[[pipe_cluster_end]:[pipe_cluster_end]],$B461)*PJ2TWh,"")</f>
        <v>0</v>
      </c>
      <c r="K461" s="51">
        <f>IFERROR(SUMIFS(Infrastructure[2029],
Infrastructure[[variable_type]:[variable_type]],"H2_outflow",
Infrastructure[[cluster]:[cluster]],$B$458,
Infrastructure[[pipe_cluster_end]:[pipe_cluster_end]],$B461)*PJ2TWh,"")</f>
        <v>0</v>
      </c>
      <c r="L461" s="51">
        <f>IFERROR(SUMIFS(Infrastructure[2030],
Infrastructure[[variable_type]:[variable_type]],"H2_outflow",
Infrastructure[[cluster]:[cluster]],$B$458,
Infrastructure[[pipe_cluster_end]:[pipe_cluster_end]],$B461)*PJ2TWh,"")</f>
        <v>0</v>
      </c>
      <c r="M461" s="51">
        <f>IFERROR(SUMIFS(Infrastructure[2031],
Infrastructure[[variable_type]:[variable_type]],"H2_outflow",
Infrastructure[[cluster]:[cluster]],$B$458,
Infrastructure[[pipe_cluster_end]:[pipe_cluster_end]],$B461)*PJ2TWh,"")</f>
        <v>0</v>
      </c>
      <c r="N461" s="51">
        <f>IFERROR(SUMIFS(Infrastructure[2032],
Infrastructure[[variable_type]:[variable_type]],"H2_outflow",
Infrastructure[[cluster]:[cluster]],$B$458,
Infrastructure[[pipe_cluster_end]:[pipe_cluster_end]],$B461)*PJ2TWh,"")</f>
        <v>0</v>
      </c>
      <c r="O461" s="51">
        <f>IFERROR(SUMIFS(Infrastructure[2033],
Infrastructure[[variable_type]:[variable_type]],"H2_outflow",
Infrastructure[[cluster]:[cluster]],$B$458,
Infrastructure[[pipe_cluster_end]:[pipe_cluster_end]],$B461)*PJ2TWh,"")</f>
        <v>0</v>
      </c>
      <c r="P461" s="51">
        <f>IFERROR(SUMIFS(Infrastructure[2034],
Infrastructure[[variable_type]:[variable_type]],"H2_outflow",
Infrastructure[[cluster]:[cluster]],$B$458,
Infrastructure[[pipe_cluster_end]:[pipe_cluster_end]],$B461)*PJ2TWh,"")</f>
        <v>0</v>
      </c>
      <c r="Q461" s="51">
        <f>IFERROR(SUMIFS(Infrastructure[2035],
Infrastructure[[variable_type]:[variable_type]],"H2_outflow",
Infrastructure[[cluster]:[cluster]],$B$458,
Infrastructure[[pipe_cluster_end]:[pipe_cluster_end]],$B461)*PJ2TWh,"")</f>
        <v>0</v>
      </c>
      <c r="R461" s="51">
        <f>IFERROR(SUMIFS(Infrastructure[2036],
Infrastructure[[variable_type]:[variable_type]],"H2_outflow",
Infrastructure[[cluster]:[cluster]],$B$458,
Infrastructure[[pipe_cluster_end]:[pipe_cluster_end]],$B461)*PJ2TWh,"")</f>
        <v>0</v>
      </c>
      <c r="S461" s="51">
        <f>IFERROR(SUMIFS(Infrastructure[2037],
Infrastructure[[variable_type]:[variable_type]],"H2_outflow",
Infrastructure[[cluster]:[cluster]],$B$458,
Infrastructure[[pipe_cluster_end]:[pipe_cluster_end]],$B461)*PJ2TWh,"")</f>
        <v>0</v>
      </c>
      <c r="T461" s="51">
        <f>IFERROR(SUMIFS(Infrastructure[2038],
Infrastructure[[variable_type]:[variable_type]],"H2_outflow",
Infrastructure[[cluster]:[cluster]],$B$458,
Infrastructure[[pipe_cluster_end]:[pipe_cluster_end]],$B461)*PJ2TWh,"")</f>
        <v>0</v>
      </c>
      <c r="U461" s="51">
        <f>IFERROR(SUMIFS(Infrastructure[2039],
Infrastructure[[variable_type]:[variable_type]],"H2_outflow",
Infrastructure[[cluster]:[cluster]],$B$458,
Infrastructure[[pipe_cluster_end]:[pipe_cluster_end]],$B461)*PJ2TWh,"")</f>
        <v>0</v>
      </c>
      <c r="V461" s="51">
        <f>IFERROR(SUMIFS(Infrastructure[2040],
Infrastructure[[variable_type]:[variable_type]],"H2_outflow",
Infrastructure[[cluster]:[cluster]],$B$458,
Infrastructure[[pipe_cluster_end]:[pipe_cluster_end]],$B461)*PJ2TWh,"")</f>
        <v>0</v>
      </c>
      <c r="W461" s="51">
        <f>IFERROR(SUMIFS(Infrastructure[2041],
Infrastructure[[variable_type]:[variable_type]],"H2_outflow",
Infrastructure[[cluster]:[cluster]],$B$458,
Infrastructure[[pipe_cluster_end]:[pipe_cluster_end]],$B461)*PJ2TWh,"")</f>
        <v>0</v>
      </c>
      <c r="X461" s="51">
        <f>IFERROR(SUMIFS(Infrastructure[2042],
Infrastructure[[variable_type]:[variable_type]],"H2_outflow",
Infrastructure[[cluster]:[cluster]],$B$458,
Infrastructure[[pipe_cluster_end]:[pipe_cluster_end]],$B461)*PJ2TWh,"")</f>
        <v>0</v>
      </c>
      <c r="Y461" s="51">
        <f>IFERROR(SUMIFS(Infrastructure[2043],
Infrastructure[[variable_type]:[variable_type]],"H2_outflow",
Infrastructure[[cluster]:[cluster]],$B$458,
Infrastructure[[pipe_cluster_end]:[pipe_cluster_end]],$B461)*PJ2TWh,"")</f>
        <v>0</v>
      </c>
      <c r="Z461" s="51">
        <f>IFERROR(SUMIFS(Infrastructure[2044],
Infrastructure[[variable_type]:[variable_type]],"H2_outflow",
Infrastructure[[cluster]:[cluster]],$B$458,
Infrastructure[[pipe_cluster_end]:[pipe_cluster_end]],$B461)*PJ2TWh,"")</f>
        <v>0</v>
      </c>
      <c r="AA461" s="51">
        <f>IFERROR(SUMIFS(Infrastructure[2045],
Infrastructure[[variable_type]:[variable_type]],"H2_outflow",
Infrastructure[[cluster]:[cluster]],$B$458,
Infrastructure[[pipe_cluster_end]:[pipe_cluster_end]],$B461)*PJ2TWh,"")</f>
        <v>0</v>
      </c>
      <c r="AB461" s="51">
        <f>IFERROR(SUMIFS(Infrastructure[2046],
Infrastructure[[variable_type]:[variable_type]],"H2_outflow",
Infrastructure[[cluster]:[cluster]],$B$458,
Infrastructure[[pipe_cluster_end]:[pipe_cluster_end]],$B461)*PJ2TWh,"")</f>
        <v>0</v>
      </c>
      <c r="AC461" s="51">
        <f>IFERROR(SUMIFS(Infrastructure[2047],
Infrastructure[[variable_type]:[variable_type]],"H2_outflow",
Infrastructure[[cluster]:[cluster]],$B$458,
Infrastructure[[pipe_cluster_end]:[pipe_cluster_end]],$B461)*PJ2TWh,"")</f>
        <v>0</v>
      </c>
      <c r="AD461" s="51">
        <f>IFERROR(SUMIFS(Infrastructure[2048],
Infrastructure[[variable_type]:[variable_type]],"H2_outflow",
Infrastructure[[cluster]:[cluster]],$B$458,
Infrastructure[[pipe_cluster_end]:[pipe_cluster_end]],$B461)*PJ2TWh,"")</f>
        <v>0</v>
      </c>
      <c r="AE461" s="51">
        <f>IFERROR(SUMIFS(Infrastructure[2049],
Infrastructure[[variable_type]:[variable_type]],"H2_outflow",
Infrastructure[[cluster]:[cluster]],$B$458,
Infrastructure[[pipe_cluster_end]:[pipe_cluster_end]],$B461)*PJ2TWh,"")</f>
        <v>0</v>
      </c>
      <c r="AF461" s="51">
        <f>IFERROR(SUMIFS(Infrastructure[2050],
Infrastructure[[variable_type]:[variable_type]],"H2_outflow",
Infrastructure[[cluster]:[cluster]],$B$458,
Infrastructure[[pipe_cluster_end]:[pipe_cluster_end]],$B461)*PJ2TWh,"")</f>
        <v>0</v>
      </c>
      <c r="AG461" s="51">
        <f>IFERROR(SUMIFS(Infrastructure[2051],
Infrastructure[[variable_type]:[variable_type]],"H2_outflow",
Infrastructure[[cluster]:[cluster]],$B$458,
Infrastructure[[pipe_cluster_end]:[pipe_cluster_end]],$B461)*PJ2TWh,"")</f>
        <v>0</v>
      </c>
    </row>
    <row r="462" spans="1:36" x14ac:dyDescent="0.45">
      <c r="A462" s="2"/>
      <c r="B462" s="24" t="s">
        <v>72</v>
      </c>
      <c r="C462" s="51">
        <f>IFERROR(SUMIFS(Infrastructure[2021],
Infrastructure[[variable_type]:[variable_type]],"H2_outflow",
Infrastructure[[cluster]:[cluster]],$B$458,
Infrastructure[[pipe_cluster_end]:[pipe_cluster_end]],$B462)*PJ2TWh,"")</f>
        <v>0</v>
      </c>
      <c r="D462" s="51">
        <f>IFERROR(SUMIFS(Infrastructure[2022],
Infrastructure[[variable_type]:[variable_type]],"H2_outflow",
Infrastructure[[cluster]:[cluster]],$B$458,
Infrastructure[[pipe_cluster_end]:[pipe_cluster_end]],$B462)*PJ2TWh,"")</f>
        <v>0</v>
      </c>
      <c r="E462" s="51">
        <f>IFERROR(SUMIFS(Infrastructure[2023],
Infrastructure[[variable_type]:[variable_type]],"H2_outflow",
Infrastructure[[cluster]:[cluster]],$B$458,
Infrastructure[[pipe_cluster_end]:[pipe_cluster_end]],$B462)*PJ2TWh,"")</f>
        <v>0</v>
      </c>
      <c r="F462" s="51">
        <f>IFERROR(SUMIFS(Infrastructure[2024],
Infrastructure[[variable_type]:[variable_type]],"H2_outflow",
Infrastructure[[cluster]:[cluster]],$B$458,
Infrastructure[[pipe_cluster_end]:[pipe_cluster_end]],$B462)*PJ2TWh,"")</f>
        <v>0</v>
      </c>
      <c r="G462" s="51">
        <f>IFERROR(SUMIFS(Infrastructure[2025],
Infrastructure[[variable_type]:[variable_type]],"H2_outflow",
Infrastructure[[cluster]:[cluster]],$B$458,
Infrastructure[[pipe_cluster_end]:[pipe_cluster_end]],$B462)*PJ2TWh,"")</f>
        <v>0</v>
      </c>
      <c r="H462" s="51">
        <f>IFERROR(SUMIFS(Infrastructure[2026],
Infrastructure[[variable_type]:[variable_type]],"H2_outflow",
Infrastructure[[cluster]:[cluster]],$B$458,
Infrastructure[[pipe_cluster_end]:[pipe_cluster_end]],$B462)*PJ2TWh,"")</f>
        <v>0</v>
      </c>
      <c r="I462" s="51">
        <f>IFERROR(SUMIFS(Infrastructure[2027],
Infrastructure[[variable_type]:[variable_type]],"H2_outflow",
Infrastructure[[cluster]:[cluster]],$B$458,
Infrastructure[[pipe_cluster_end]:[pipe_cluster_end]],$B462)*PJ2TWh,"")</f>
        <v>0</v>
      </c>
      <c r="J462" s="51">
        <f>IFERROR(SUMIFS(Infrastructure[2028],
Infrastructure[[variable_type]:[variable_type]],"H2_outflow",
Infrastructure[[cluster]:[cluster]],$B$458,
Infrastructure[[pipe_cluster_end]:[pipe_cluster_end]],$B462)*PJ2TWh,"")</f>
        <v>0</v>
      </c>
      <c r="K462" s="51">
        <f>IFERROR(SUMIFS(Infrastructure[2029],
Infrastructure[[variable_type]:[variable_type]],"H2_outflow",
Infrastructure[[cluster]:[cluster]],$B$458,
Infrastructure[[pipe_cluster_end]:[pipe_cluster_end]],$B462)*PJ2TWh,"")</f>
        <v>0</v>
      </c>
      <c r="L462" s="51">
        <f>IFERROR(SUMIFS(Infrastructure[2030],
Infrastructure[[variable_type]:[variable_type]],"H2_outflow",
Infrastructure[[cluster]:[cluster]],$B$458,
Infrastructure[[pipe_cluster_end]:[pipe_cluster_end]],$B462)*PJ2TWh,"")</f>
        <v>0</v>
      </c>
      <c r="M462" s="51">
        <f>IFERROR(SUMIFS(Infrastructure[2031],
Infrastructure[[variable_type]:[variable_type]],"H2_outflow",
Infrastructure[[cluster]:[cluster]],$B$458,
Infrastructure[[pipe_cluster_end]:[pipe_cluster_end]],$B462)*PJ2TWh,"")</f>
        <v>0</v>
      </c>
      <c r="N462" s="51">
        <f>IFERROR(SUMIFS(Infrastructure[2032],
Infrastructure[[variable_type]:[variable_type]],"H2_outflow",
Infrastructure[[cluster]:[cluster]],$B$458,
Infrastructure[[pipe_cluster_end]:[pipe_cluster_end]],$B462)*PJ2TWh,"")</f>
        <v>0</v>
      </c>
      <c r="O462" s="51">
        <f>IFERROR(SUMIFS(Infrastructure[2033],
Infrastructure[[variable_type]:[variable_type]],"H2_outflow",
Infrastructure[[cluster]:[cluster]],$B$458,
Infrastructure[[pipe_cluster_end]:[pipe_cluster_end]],$B462)*PJ2TWh,"")</f>
        <v>0</v>
      </c>
      <c r="P462" s="51">
        <f>IFERROR(SUMIFS(Infrastructure[2034],
Infrastructure[[variable_type]:[variable_type]],"H2_outflow",
Infrastructure[[cluster]:[cluster]],$B$458,
Infrastructure[[pipe_cluster_end]:[pipe_cluster_end]],$B462)*PJ2TWh,"")</f>
        <v>0</v>
      </c>
      <c r="Q462" s="51">
        <f>IFERROR(SUMIFS(Infrastructure[2035],
Infrastructure[[variable_type]:[variable_type]],"H2_outflow",
Infrastructure[[cluster]:[cluster]],$B$458,
Infrastructure[[pipe_cluster_end]:[pipe_cluster_end]],$B462)*PJ2TWh,"")</f>
        <v>0</v>
      </c>
      <c r="R462" s="51">
        <f>IFERROR(SUMIFS(Infrastructure[2036],
Infrastructure[[variable_type]:[variable_type]],"H2_outflow",
Infrastructure[[cluster]:[cluster]],$B$458,
Infrastructure[[pipe_cluster_end]:[pipe_cluster_end]],$B462)*PJ2TWh,"")</f>
        <v>0</v>
      </c>
      <c r="S462" s="51">
        <f>IFERROR(SUMIFS(Infrastructure[2037],
Infrastructure[[variable_type]:[variable_type]],"H2_outflow",
Infrastructure[[cluster]:[cluster]],$B$458,
Infrastructure[[pipe_cluster_end]:[pipe_cluster_end]],$B462)*PJ2TWh,"")</f>
        <v>0</v>
      </c>
      <c r="T462" s="51">
        <f>IFERROR(SUMIFS(Infrastructure[2038],
Infrastructure[[variable_type]:[variable_type]],"H2_outflow",
Infrastructure[[cluster]:[cluster]],$B$458,
Infrastructure[[pipe_cluster_end]:[pipe_cluster_end]],$B462)*PJ2TWh,"")</f>
        <v>0</v>
      </c>
      <c r="U462" s="51">
        <f>IFERROR(SUMIFS(Infrastructure[2039],
Infrastructure[[variable_type]:[variable_type]],"H2_outflow",
Infrastructure[[cluster]:[cluster]],$B$458,
Infrastructure[[pipe_cluster_end]:[pipe_cluster_end]],$B462)*PJ2TWh,"")</f>
        <v>0</v>
      </c>
      <c r="V462" s="51">
        <f>IFERROR(SUMIFS(Infrastructure[2040],
Infrastructure[[variable_type]:[variable_type]],"H2_outflow",
Infrastructure[[cluster]:[cluster]],$B$458,
Infrastructure[[pipe_cluster_end]:[pipe_cluster_end]],$B462)*PJ2TWh,"")</f>
        <v>0</v>
      </c>
      <c r="W462" s="51">
        <f>IFERROR(SUMIFS(Infrastructure[2041],
Infrastructure[[variable_type]:[variable_type]],"H2_outflow",
Infrastructure[[cluster]:[cluster]],$B$458,
Infrastructure[[pipe_cluster_end]:[pipe_cluster_end]],$B462)*PJ2TWh,"")</f>
        <v>0</v>
      </c>
      <c r="X462" s="51">
        <f>IFERROR(SUMIFS(Infrastructure[2042],
Infrastructure[[variable_type]:[variable_type]],"H2_outflow",
Infrastructure[[cluster]:[cluster]],$B$458,
Infrastructure[[pipe_cluster_end]:[pipe_cluster_end]],$B462)*PJ2TWh,"")</f>
        <v>0</v>
      </c>
      <c r="Y462" s="51">
        <f>IFERROR(SUMIFS(Infrastructure[2043],
Infrastructure[[variable_type]:[variable_type]],"H2_outflow",
Infrastructure[[cluster]:[cluster]],$B$458,
Infrastructure[[pipe_cluster_end]:[pipe_cluster_end]],$B462)*PJ2TWh,"")</f>
        <v>0</v>
      </c>
      <c r="Z462" s="51">
        <f>IFERROR(SUMIFS(Infrastructure[2044],
Infrastructure[[variable_type]:[variable_type]],"H2_outflow",
Infrastructure[[cluster]:[cluster]],$B$458,
Infrastructure[[pipe_cluster_end]:[pipe_cluster_end]],$B462)*PJ2TWh,"")</f>
        <v>0</v>
      </c>
      <c r="AA462" s="51">
        <f>IFERROR(SUMIFS(Infrastructure[2045],
Infrastructure[[variable_type]:[variable_type]],"H2_outflow",
Infrastructure[[cluster]:[cluster]],$B$458,
Infrastructure[[pipe_cluster_end]:[pipe_cluster_end]],$B462)*PJ2TWh,"")</f>
        <v>0</v>
      </c>
      <c r="AB462" s="51">
        <f>IFERROR(SUMIFS(Infrastructure[2046],
Infrastructure[[variable_type]:[variable_type]],"H2_outflow",
Infrastructure[[cluster]:[cluster]],$B$458,
Infrastructure[[pipe_cluster_end]:[pipe_cluster_end]],$B462)*PJ2TWh,"")</f>
        <v>0</v>
      </c>
      <c r="AC462" s="51">
        <f>IFERROR(SUMIFS(Infrastructure[2047],
Infrastructure[[variable_type]:[variable_type]],"H2_outflow",
Infrastructure[[cluster]:[cluster]],$B$458,
Infrastructure[[pipe_cluster_end]:[pipe_cluster_end]],$B462)*PJ2TWh,"")</f>
        <v>0</v>
      </c>
      <c r="AD462" s="51">
        <f>IFERROR(SUMIFS(Infrastructure[2048],
Infrastructure[[variable_type]:[variable_type]],"H2_outflow",
Infrastructure[[cluster]:[cluster]],$B$458,
Infrastructure[[pipe_cluster_end]:[pipe_cluster_end]],$B462)*PJ2TWh,"")</f>
        <v>0</v>
      </c>
      <c r="AE462" s="51">
        <f>IFERROR(SUMIFS(Infrastructure[2049],
Infrastructure[[variable_type]:[variable_type]],"H2_outflow",
Infrastructure[[cluster]:[cluster]],$B$458,
Infrastructure[[pipe_cluster_end]:[pipe_cluster_end]],$B462)*PJ2TWh,"")</f>
        <v>0</v>
      </c>
      <c r="AF462" s="51">
        <f>IFERROR(SUMIFS(Infrastructure[2050],
Infrastructure[[variable_type]:[variable_type]],"H2_outflow",
Infrastructure[[cluster]:[cluster]],$B$458,
Infrastructure[[pipe_cluster_end]:[pipe_cluster_end]],$B462)*PJ2TWh,"")</f>
        <v>0</v>
      </c>
      <c r="AG462" s="51">
        <f>IFERROR(SUMIFS(Infrastructure[2051],
Infrastructure[[variable_type]:[variable_type]],"H2_outflow",
Infrastructure[[cluster]:[cluster]],$B$458,
Infrastructure[[pipe_cluster_end]:[pipe_cluster_end]],$B462)*PJ2TWh,"")</f>
        <v>0</v>
      </c>
      <c r="AI462" s="45"/>
      <c r="AJ462" s="45"/>
    </row>
    <row r="463" spans="1:36" x14ac:dyDescent="0.45">
      <c r="A463" s="2"/>
      <c r="B463" s="24" t="s">
        <v>73</v>
      </c>
      <c r="C463" s="51">
        <f>IFERROR(SUMIFS(Infrastructure[2021],
Infrastructure[[variable_type]:[variable_type]],"H2_outflow",
Infrastructure[[cluster]:[cluster]],$B$458,
Infrastructure[[pipe_cluster_end]:[pipe_cluster_end]],$B463)*PJ2TWh,"")</f>
        <v>0</v>
      </c>
      <c r="D463" s="51">
        <f>IFERROR(SUMIFS(Infrastructure[2022],
Infrastructure[[variable_type]:[variable_type]],"H2_outflow",
Infrastructure[[cluster]:[cluster]],$B$458,
Infrastructure[[pipe_cluster_end]:[pipe_cluster_end]],$B463)*PJ2TWh,"")</f>
        <v>0</v>
      </c>
      <c r="E463" s="51">
        <f>IFERROR(SUMIFS(Infrastructure[2023],
Infrastructure[[variable_type]:[variable_type]],"H2_outflow",
Infrastructure[[cluster]:[cluster]],$B$458,
Infrastructure[[pipe_cluster_end]:[pipe_cluster_end]],$B463)*PJ2TWh,"")</f>
        <v>0</v>
      </c>
      <c r="F463" s="51">
        <f>IFERROR(SUMIFS(Infrastructure[2024],
Infrastructure[[variable_type]:[variable_type]],"H2_outflow",
Infrastructure[[cluster]:[cluster]],$B$458,
Infrastructure[[pipe_cluster_end]:[pipe_cluster_end]],$B463)*PJ2TWh,"")</f>
        <v>0</v>
      </c>
      <c r="G463" s="51">
        <f>IFERROR(SUMIFS(Infrastructure[2025],
Infrastructure[[variable_type]:[variable_type]],"H2_outflow",
Infrastructure[[cluster]:[cluster]],$B$458,
Infrastructure[[pipe_cluster_end]:[pipe_cluster_end]],$B463)*PJ2TWh,"")</f>
        <v>0</v>
      </c>
      <c r="H463" s="51">
        <f>IFERROR(SUMIFS(Infrastructure[2026],
Infrastructure[[variable_type]:[variable_type]],"H2_outflow",
Infrastructure[[cluster]:[cluster]],$B$458,
Infrastructure[[pipe_cluster_end]:[pipe_cluster_end]],$B463)*PJ2TWh,"")</f>
        <v>0</v>
      </c>
      <c r="I463" s="51">
        <f>IFERROR(SUMIFS(Infrastructure[2027],
Infrastructure[[variable_type]:[variable_type]],"H2_outflow",
Infrastructure[[cluster]:[cluster]],$B$458,
Infrastructure[[pipe_cluster_end]:[pipe_cluster_end]],$B463)*PJ2TWh,"")</f>
        <v>0</v>
      </c>
      <c r="J463" s="51">
        <f>IFERROR(SUMIFS(Infrastructure[2028],
Infrastructure[[variable_type]:[variable_type]],"H2_outflow",
Infrastructure[[cluster]:[cluster]],$B$458,
Infrastructure[[pipe_cluster_end]:[pipe_cluster_end]],$B463)*PJ2TWh,"")</f>
        <v>0</v>
      </c>
      <c r="K463" s="51">
        <f>IFERROR(SUMIFS(Infrastructure[2029],
Infrastructure[[variable_type]:[variable_type]],"H2_outflow",
Infrastructure[[cluster]:[cluster]],$B$458,
Infrastructure[[pipe_cluster_end]:[pipe_cluster_end]],$B463)*PJ2TWh,"")</f>
        <v>0</v>
      </c>
      <c r="L463" s="51">
        <f>IFERROR(SUMIFS(Infrastructure[2030],
Infrastructure[[variable_type]:[variable_type]],"H2_outflow",
Infrastructure[[cluster]:[cluster]],$B$458,
Infrastructure[[pipe_cluster_end]:[pipe_cluster_end]],$B463)*PJ2TWh,"")</f>
        <v>0</v>
      </c>
      <c r="M463" s="51">
        <f>IFERROR(SUMIFS(Infrastructure[2031],
Infrastructure[[variable_type]:[variable_type]],"H2_outflow",
Infrastructure[[cluster]:[cluster]],$B$458,
Infrastructure[[pipe_cluster_end]:[pipe_cluster_end]],$B463)*PJ2TWh,"")</f>
        <v>0</v>
      </c>
      <c r="N463" s="51">
        <f>IFERROR(SUMIFS(Infrastructure[2032],
Infrastructure[[variable_type]:[variable_type]],"H2_outflow",
Infrastructure[[cluster]:[cluster]],$B$458,
Infrastructure[[pipe_cluster_end]:[pipe_cluster_end]],$B463)*PJ2TWh,"")</f>
        <v>0</v>
      </c>
      <c r="O463" s="51">
        <f>IFERROR(SUMIFS(Infrastructure[2033],
Infrastructure[[variable_type]:[variable_type]],"H2_outflow",
Infrastructure[[cluster]:[cluster]],$B$458,
Infrastructure[[pipe_cluster_end]:[pipe_cluster_end]],$B463)*PJ2TWh,"")</f>
        <v>0</v>
      </c>
      <c r="P463" s="51">
        <f>IFERROR(SUMIFS(Infrastructure[2034],
Infrastructure[[variable_type]:[variable_type]],"H2_outflow",
Infrastructure[[cluster]:[cluster]],$B$458,
Infrastructure[[pipe_cluster_end]:[pipe_cluster_end]],$B463)*PJ2TWh,"")</f>
        <v>0</v>
      </c>
      <c r="Q463" s="51">
        <f>IFERROR(SUMIFS(Infrastructure[2035],
Infrastructure[[variable_type]:[variable_type]],"H2_outflow",
Infrastructure[[cluster]:[cluster]],$B$458,
Infrastructure[[pipe_cluster_end]:[pipe_cluster_end]],$B463)*PJ2TWh,"")</f>
        <v>0</v>
      </c>
      <c r="R463" s="51">
        <f>IFERROR(SUMIFS(Infrastructure[2036],
Infrastructure[[variable_type]:[variable_type]],"H2_outflow",
Infrastructure[[cluster]:[cluster]],$B$458,
Infrastructure[[pipe_cluster_end]:[pipe_cluster_end]],$B463)*PJ2TWh,"")</f>
        <v>0</v>
      </c>
      <c r="S463" s="51">
        <f>IFERROR(SUMIFS(Infrastructure[2037],
Infrastructure[[variable_type]:[variable_type]],"H2_outflow",
Infrastructure[[cluster]:[cluster]],$B$458,
Infrastructure[[pipe_cluster_end]:[pipe_cluster_end]],$B463)*PJ2TWh,"")</f>
        <v>0</v>
      </c>
      <c r="T463" s="51">
        <f>IFERROR(SUMIFS(Infrastructure[2038],
Infrastructure[[variable_type]:[variable_type]],"H2_outflow",
Infrastructure[[cluster]:[cluster]],$B$458,
Infrastructure[[pipe_cluster_end]:[pipe_cluster_end]],$B463)*PJ2TWh,"")</f>
        <v>0</v>
      </c>
      <c r="U463" s="51">
        <f>IFERROR(SUMIFS(Infrastructure[2039],
Infrastructure[[variable_type]:[variable_type]],"H2_outflow",
Infrastructure[[cluster]:[cluster]],$B$458,
Infrastructure[[pipe_cluster_end]:[pipe_cluster_end]],$B463)*PJ2TWh,"")</f>
        <v>0</v>
      </c>
      <c r="V463" s="51">
        <f>IFERROR(SUMIFS(Infrastructure[2040],
Infrastructure[[variable_type]:[variable_type]],"H2_outflow",
Infrastructure[[cluster]:[cluster]],$B$458,
Infrastructure[[pipe_cluster_end]:[pipe_cluster_end]],$B463)*PJ2TWh,"")</f>
        <v>0</v>
      </c>
      <c r="W463" s="51">
        <f>IFERROR(SUMIFS(Infrastructure[2041],
Infrastructure[[variable_type]:[variable_type]],"H2_outflow",
Infrastructure[[cluster]:[cluster]],$B$458,
Infrastructure[[pipe_cluster_end]:[pipe_cluster_end]],$B463)*PJ2TWh,"")</f>
        <v>0</v>
      </c>
      <c r="X463" s="51">
        <f>IFERROR(SUMIFS(Infrastructure[2042],
Infrastructure[[variable_type]:[variable_type]],"H2_outflow",
Infrastructure[[cluster]:[cluster]],$B$458,
Infrastructure[[pipe_cluster_end]:[pipe_cluster_end]],$B463)*PJ2TWh,"")</f>
        <v>0</v>
      </c>
      <c r="Y463" s="51">
        <f>IFERROR(SUMIFS(Infrastructure[2043],
Infrastructure[[variable_type]:[variable_type]],"H2_outflow",
Infrastructure[[cluster]:[cluster]],$B$458,
Infrastructure[[pipe_cluster_end]:[pipe_cluster_end]],$B463)*PJ2TWh,"")</f>
        <v>0</v>
      </c>
      <c r="Z463" s="51">
        <f>IFERROR(SUMIFS(Infrastructure[2044],
Infrastructure[[variable_type]:[variable_type]],"H2_outflow",
Infrastructure[[cluster]:[cluster]],$B$458,
Infrastructure[[pipe_cluster_end]:[pipe_cluster_end]],$B463)*PJ2TWh,"")</f>
        <v>0</v>
      </c>
      <c r="AA463" s="51">
        <f>IFERROR(SUMIFS(Infrastructure[2045],
Infrastructure[[variable_type]:[variable_type]],"H2_outflow",
Infrastructure[[cluster]:[cluster]],$B$458,
Infrastructure[[pipe_cluster_end]:[pipe_cluster_end]],$B463)*PJ2TWh,"")</f>
        <v>0</v>
      </c>
      <c r="AB463" s="51">
        <f>IFERROR(SUMIFS(Infrastructure[2046],
Infrastructure[[variable_type]:[variable_type]],"H2_outflow",
Infrastructure[[cluster]:[cluster]],$B$458,
Infrastructure[[pipe_cluster_end]:[pipe_cluster_end]],$B463)*PJ2TWh,"")</f>
        <v>0</v>
      </c>
      <c r="AC463" s="51">
        <f>IFERROR(SUMIFS(Infrastructure[2047],
Infrastructure[[variable_type]:[variable_type]],"H2_outflow",
Infrastructure[[cluster]:[cluster]],$B$458,
Infrastructure[[pipe_cluster_end]:[pipe_cluster_end]],$B463)*PJ2TWh,"")</f>
        <v>0</v>
      </c>
      <c r="AD463" s="51">
        <f>IFERROR(SUMIFS(Infrastructure[2048],
Infrastructure[[variable_type]:[variable_type]],"H2_outflow",
Infrastructure[[cluster]:[cluster]],$B$458,
Infrastructure[[pipe_cluster_end]:[pipe_cluster_end]],$B463)*PJ2TWh,"")</f>
        <v>0</v>
      </c>
      <c r="AE463" s="51">
        <f>IFERROR(SUMIFS(Infrastructure[2049],
Infrastructure[[variable_type]:[variable_type]],"H2_outflow",
Infrastructure[[cluster]:[cluster]],$B$458,
Infrastructure[[pipe_cluster_end]:[pipe_cluster_end]],$B463)*PJ2TWh,"")</f>
        <v>0</v>
      </c>
      <c r="AF463" s="51">
        <f>IFERROR(SUMIFS(Infrastructure[2050],
Infrastructure[[variable_type]:[variable_type]],"H2_outflow",
Infrastructure[[cluster]:[cluster]],$B$458,
Infrastructure[[pipe_cluster_end]:[pipe_cluster_end]],$B463)*PJ2TWh,"")</f>
        <v>0</v>
      </c>
      <c r="AG463" s="51">
        <f>IFERROR(SUMIFS(Infrastructure[2051],
Infrastructure[[variable_type]:[variable_type]],"H2_outflow",
Infrastructure[[cluster]:[cluster]],$B$458,
Infrastructure[[pipe_cluster_end]:[pipe_cluster_end]],$B463)*PJ2TWh,"")</f>
        <v>0</v>
      </c>
    </row>
    <row r="464" spans="1:36" x14ac:dyDescent="0.45">
      <c r="A464" s="2"/>
      <c r="B464" s="24" t="s">
        <v>74</v>
      </c>
      <c r="C464" s="51">
        <f>IFERROR(SUMIFS(Infrastructure[2021],
Infrastructure[[variable_type]:[variable_type]],"H2_outflow",
Infrastructure[[cluster]:[cluster]],$B$458,
Infrastructure[[pipe_cluster_end]:[pipe_cluster_end]],$B464)*PJ2TWh,"")</f>
        <v>0</v>
      </c>
      <c r="D464" s="51">
        <f>IFERROR(SUMIFS(Infrastructure[2022],
Infrastructure[[variable_type]:[variable_type]],"H2_outflow",
Infrastructure[[cluster]:[cluster]],$B$458,
Infrastructure[[pipe_cluster_end]:[pipe_cluster_end]],$B464)*PJ2TWh,"")</f>
        <v>0</v>
      </c>
      <c r="E464" s="51">
        <f>IFERROR(SUMIFS(Infrastructure[2023],
Infrastructure[[variable_type]:[variable_type]],"H2_outflow",
Infrastructure[[cluster]:[cluster]],$B$458,
Infrastructure[[pipe_cluster_end]:[pipe_cluster_end]],$B464)*PJ2TWh,"")</f>
        <v>0</v>
      </c>
      <c r="F464" s="51">
        <f>IFERROR(SUMIFS(Infrastructure[2024],
Infrastructure[[variable_type]:[variable_type]],"H2_outflow",
Infrastructure[[cluster]:[cluster]],$B$458,
Infrastructure[[pipe_cluster_end]:[pipe_cluster_end]],$B464)*PJ2TWh,"")</f>
        <v>0</v>
      </c>
      <c r="G464" s="51">
        <f>IFERROR(SUMIFS(Infrastructure[2025],
Infrastructure[[variable_type]:[variable_type]],"H2_outflow",
Infrastructure[[cluster]:[cluster]],$B$458,
Infrastructure[[pipe_cluster_end]:[pipe_cluster_end]],$B464)*PJ2TWh,"")</f>
        <v>0</v>
      </c>
      <c r="H464" s="51">
        <f>IFERROR(SUMIFS(Infrastructure[2026],
Infrastructure[[variable_type]:[variable_type]],"H2_outflow",
Infrastructure[[cluster]:[cluster]],$B$458,
Infrastructure[[pipe_cluster_end]:[pipe_cluster_end]],$B464)*PJ2TWh,"")</f>
        <v>0</v>
      </c>
      <c r="I464" s="51">
        <f>IFERROR(SUMIFS(Infrastructure[2027],
Infrastructure[[variable_type]:[variable_type]],"H2_outflow",
Infrastructure[[cluster]:[cluster]],$B$458,
Infrastructure[[pipe_cluster_end]:[pipe_cluster_end]],$B464)*PJ2TWh,"")</f>
        <v>0</v>
      </c>
      <c r="J464" s="51">
        <f>IFERROR(SUMIFS(Infrastructure[2028],
Infrastructure[[variable_type]:[variable_type]],"H2_outflow",
Infrastructure[[cluster]:[cluster]],$B$458,
Infrastructure[[pipe_cluster_end]:[pipe_cluster_end]],$B464)*PJ2TWh,"")</f>
        <v>0</v>
      </c>
      <c r="K464" s="51">
        <f>IFERROR(SUMIFS(Infrastructure[2029],
Infrastructure[[variable_type]:[variable_type]],"H2_outflow",
Infrastructure[[cluster]:[cluster]],$B$458,
Infrastructure[[pipe_cluster_end]:[pipe_cluster_end]],$B464)*PJ2TWh,"")</f>
        <v>0</v>
      </c>
      <c r="L464" s="51">
        <f>IFERROR(SUMIFS(Infrastructure[2030],
Infrastructure[[variable_type]:[variable_type]],"H2_outflow",
Infrastructure[[cluster]:[cluster]],$B$458,
Infrastructure[[pipe_cluster_end]:[pipe_cluster_end]],$B464)*PJ2TWh,"")</f>
        <v>0</v>
      </c>
      <c r="M464" s="51">
        <f>IFERROR(SUMIFS(Infrastructure[2031],
Infrastructure[[variable_type]:[variable_type]],"H2_outflow",
Infrastructure[[cluster]:[cluster]],$B$458,
Infrastructure[[pipe_cluster_end]:[pipe_cluster_end]],$B464)*PJ2TWh,"")</f>
        <v>0</v>
      </c>
      <c r="N464" s="51">
        <f>IFERROR(SUMIFS(Infrastructure[2032],
Infrastructure[[variable_type]:[variable_type]],"H2_outflow",
Infrastructure[[cluster]:[cluster]],$B$458,
Infrastructure[[pipe_cluster_end]:[pipe_cluster_end]],$B464)*PJ2TWh,"")</f>
        <v>0</v>
      </c>
      <c r="O464" s="51">
        <f>IFERROR(SUMIFS(Infrastructure[2033],
Infrastructure[[variable_type]:[variable_type]],"H2_outflow",
Infrastructure[[cluster]:[cluster]],$B$458,
Infrastructure[[pipe_cluster_end]:[pipe_cluster_end]],$B464)*PJ2TWh,"")</f>
        <v>0</v>
      </c>
      <c r="P464" s="51">
        <f>IFERROR(SUMIFS(Infrastructure[2034],
Infrastructure[[variable_type]:[variable_type]],"H2_outflow",
Infrastructure[[cluster]:[cluster]],$B$458,
Infrastructure[[pipe_cluster_end]:[pipe_cluster_end]],$B464)*PJ2TWh,"")</f>
        <v>0</v>
      </c>
      <c r="Q464" s="51">
        <f>IFERROR(SUMIFS(Infrastructure[2035],
Infrastructure[[variable_type]:[variable_type]],"H2_outflow",
Infrastructure[[cluster]:[cluster]],$B$458,
Infrastructure[[pipe_cluster_end]:[pipe_cluster_end]],$B464)*PJ2TWh,"")</f>
        <v>0</v>
      </c>
      <c r="R464" s="51">
        <f>IFERROR(SUMIFS(Infrastructure[2036],
Infrastructure[[variable_type]:[variable_type]],"H2_outflow",
Infrastructure[[cluster]:[cluster]],$B$458,
Infrastructure[[pipe_cluster_end]:[pipe_cluster_end]],$B464)*PJ2TWh,"")</f>
        <v>0</v>
      </c>
      <c r="S464" s="51">
        <f>IFERROR(SUMIFS(Infrastructure[2037],
Infrastructure[[variable_type]:[variable_type]],"H2_outflow",
Infrastructure[[cluster]:[cluster]],$B$458,
Infrastructure[[pipe_cluster_end]:[pipe_cluster_end]],$B464)*PJ2TWh,"")</f>
        <v>0</v>
      </c>
      <c r="T464" s="51">
        <f>IFERROR(SUMIFS(Infrastructure[2038],
Infrastructure[[variable_type]:[variable_type]],"H2_outflow",
Infrastructure[[cluster]:[cluster]],$B$458,
Infrastructure[[pipe_cluster_end]:[pipe_cluster_end]],$B464)*PJ2TWh,"")</f>
        <v>0</v>
      </c>
      <c r="U464" s="51">
        <f>IFERROR(SUMIFS(Infrastructure[2039],
Infrastructure[[variable_type]:[variable_type]],"H2_outflow",
Infrastructure[[cluster]:[cluster]],$B$458,
Infrastructure[[pipe_cluster_end]:[pipe_cluster_end]],$B464)*PJ2TWh,"")</f>
        <v>0</v>
      </c>
      <c r="V464" s="51">
        <f>IFERROR(SUMIFS(Infrastructure[2040],
Infrastructure[[variable_type]:[variable_type]],"H2_outflow",
Infrastructure[[cluster]:[cluster]],$B$458,
Infrastructure[[pipe_cluster_end]:[pipe_cluster_end]],$B464)*PJ2TWh,"")</f>
        <v>0</v>
      </c>
      <c r="W464" s="51">
        <f>IFERROR(SUMIFS(Infrastructure[2041],
Infrastructure[[variable_type]:[variable_type]],"H2_outflow",
Infrastructure[[cluster]:[cluster]],$B$458,
Infrastructure[[pipe_cluster_end]:[pipe_cluster_end]],$B464)*PJ2TWh,"")</f>
        <v>0</v>
      </c>
      <c r="X464" s="51">
        <f>IFERROR(SUMIFS(Infrastructure[2042],
Infrastructure[[variable_type]:[variable_type]],"H2_outflow",
Infrastructure[[cluster]:[cluster]],$B$458,
Infrastructure[[pipe_cluster_end]:[pipe_cluster_end]],$B464)*PJ2TWh,"")</f>
        <v>0</v>
      </c>
      <c r="Y464" s="51">
        <f>IFERROR(SUMIFS(Infrastructure[2043],
Infrastructure[[variable_type]:[variable_type]],"H2_outflow",
Infrastructure[[cluster]:[cluster]],$B$458,
Infrastructure[[pipe_cluster_end]:[pipe_cluster_end]],$B464)*PJ2TWh,"")</f>
        <v>0</v>
      </c>
      <c r="Z464" s="51">
        <f>IFERROR(SUMIFS(Infrastructure[2044],
Infrastructure[[variable_type]:[variable_type]],"H2_outflow",
Infrastructure[[cluster]:[cluster]],$B$458,
Infrastructure[[pipe_cluster_end]:[pipe_cluster_end]],$B464)*PJ2TWh,"")</f>
        <v>0</v>
      </c>
      <c r="AA464" s="51">
        <f>IFERROR(SUMIFS(Infrastructure[2045],
Infrastructure[[variable_type]:[variable_type]],"H2_outflow",
Infrastructure[[cluster]:[cluster]],$B$458,
Infrastructure[[pipe_cluster_end]:[pipe_cluster_end]],$B464)*PJ2TWh,"")</f>
        <v>0</v>
      </c>
      <c r="AB464" s="51">
        <f>IFERROR(SUMIFS(Infrastructure[2046],
Infrastructure[[variable_type]:[variable_type]],"H2_outflow",
Infrastructure[[cluster]:[cluster]],$B$458,
Infrastructure[[pipe_cluster_end]:[pipe_cluster_end]],$B464)*PJ2TWh,"")</f>
        <v>0</v>
      </c>
      <c r="AC464" s="51">
        <f>IFERROR(SUMIFS(Infrastructure[2047],
Infrastructure[[variable_type]:[variable_type]],"H2_outflow",
Infrastructure[[cluster]:[cluster]],$B$458,
Infrastructure[[pipe_cluster_end]:[pipe_cluster_end]],$B464)*PJ2TWh,"")</f>
        <v>0</v>
      </c>
      <c r="AD464" s="51">
        <f>IFERROR(SUMIFS(Infrastructure[2048],
Infrastructure[[variable_type]:[variable_type]],"H2_outflow",
Infrastructure[[cluster]:[cluster]],$B$458,
Infrastructure[[pipe_cluster_end]:[pipe_cluster_end]],$B464)*PJ2TWh,"")</f>
        <v>0</v>
      </c>
      <c r="AE464" s="51">
        <f>IFERROR(SUMIFS(Infrastructure[2049],
Infrastructure[[variable_type]:[variable_type]],"H2_outflow",
Infrastructure[[cluster]:[cluster]],$B$458,
Infrastructure[[pipe_cluster_end]:[pipe_cluster_end]],$B464)*PJ2TWh,"")</f>
        <v>0</v>
      </c>
      <c r="AF464" s="51">
        <f>IFERROR(SUMIFS(Infrastructure[2050],
Infrastructure[[variable_type]:[variable_type]],"H2_outflow",
Infrastructure[[cluster]:[cluster]],$B$458,
Infrastructure[[pipe_cluster_end]:[pipe_cluster_end]],$B464)*PJ2TWh,"")</f>
        <v>0</v>
      </c>
      <c r="AG464" s="51">
        <f>IFERROR(SUMIFS(Infrastructure[2051],
Infrastructure[[variable_type]:[variable_type]],"H2_outflow",
Infrastructure[[cluster]:[cluster]],$B$458,
Infrastructure[[pipe_cluster_end]:[pipe_cluster_end]],$B464)*PJ2TWh,"")</f>
        <v>0</v>
      </c>
    </row>
    <row r="465" spans="1:33" x14ac:dyDescent="0.45">
      <c r="A465" s="2"/>
      <c r="B465" s="24" t="s">
        <v>75</v>
      </c>
      <c r="C465" s="51">
        <f>IFERROR(SUMIFS(Infrastructure[2021],
Infrastructure[[variable_type]:[variable_type]],"H2_outflow",
Infrastructure[[cluster]:[cluster]],$B$458,
Infrastructure[[pipe_cluster_end]:[pipe_cluster_end]],$B465)*PJ2TWh,"")</f>
        <v>0</v>
      </c>
      <c r="D465" s="51">
        <f>IFERROR(SUMIFS(Infrastructure[2022],
Infrastructure[[variable_type]:[variable_type]],"H2_outflow",
Infrastructure[[cluster]:[cluster]],$B$458,
Infrastructure[[pipe_cluster_end]:[pipe_cluster_end]],$B465)*PJ2TWh,"")</f>
        <v>0</v>
      </c>
      <c r="E465" s="51">
        <f>IFERROR(SUMIFS(Infrastructure[2023],
Infrastructure[[variable_type]:[variable_type]],"H2_outflow",
Infrastructure[[cluster]:[cluster]],$B$458,
Infrastructure[[pipe_cluster_end]:[pipe_cluster_end]],$B465)*PJ2TWh,"")</f>
        <v>0</v>
      </c>
      <c r="F465" s="51">
        <f>IFERROR(SUMIFS(Infrastructure[2024],
Infrastructure[[variable_type]:[variable_type]],"H2_outflow",
Infrastructure[[cluster]:[cluster]],$B$458,
Infrastructure[[pipe_cluster_end]:[pipe_cluster_end]],$B465)*PJ2TWh,"")</f>
        <v>0</v>
      </c>
      <c r="G465" s="51">
        <f>IFERROR(SUMIFS(Infrastructure[2025],
Infrastructure[[variable_type]:[variable_type]],"H2_outflow",
Infrastructure[[cluster]:[cluster]],$B$458,
Infrastructure[[pipe_cluster_end]:[pipe_cluster_end]],$B465)*PJ2TWh,"")</f>
        <v>0</v>
      </c>
      <c r="H465" s="51">
        <f>IFERROR(SUMIFS(Infrastructure[2026],
Infrastructure[[variable_type]:[variable_type]],"H2_outflow",
Infrastructure[[cluster]:[cluster]],$B$458,
Infrastructure[[pipe_cluster_end]:[pipe_cluster_end]],$B465)*PJ2TWh,"")</f>
        <v>0</v>
      </c>
      <c r="I465" s="51">
        <f>IFERROR(SUMIFS(Infrastructure[2027],
Infrastructure[[variable_type]:[variable_type]],"H2_outflow",
Infrastructure[[cluster]:[cluster]],$B$458,
Infrastructure[[pipe_cluster_end]:[pipe_cluster_end]],$B465)*PJ2TWh,"")</f>
        <v>0</v>
      </c>
      <c r="J465" s="51">
        <f>IFERROR(SUMIFS(Infrastructure[2028],
Infrastructure[[variable_type]:[variable_type]],"H2_outflow",
Infrastructure[[cluster]:[cluster]],$B$458,
Infrastructure[[pipe_cluster_end]:[pipe_cluster_end]],$B465)*PJ2TWh,"")</f>
        <v>0</v>
      </c>
      <c r="K465" s="51">
        <f>IFERROR(SUMIFS(Infrastructure[2029],
Infrastructure[[variable_type]:[variable_type]],"H2_outflow",
Infrastructure[[cluster]:[cluster]],$B$458,
Infrastructure[[pipe_cluster_end]:[pipe_cluster_end]],$B465)*PJ2TWh,"")</f>
        <v>0</v>
      </c>
      <c r="L465" s="51">
        <f>IFERROR(SUMIFS(Infrastructure[2030],
Infrastructure[[variable_type]:[variable_type]],"H2_outflow",
Infrastructure[[cluster]:[cluster]],$B$458,
Infrastructure[[pipe_cluster_end]:[pipe_cluster_end]],$B465)*PJ2TWh,"")</f>
        <v>0</v>
      </c>
      <c r="M465" s="51">
        <f>IFERROR(SUMIFS(Infrastructure[2031],
Infrastructure[[variable_type]:[variable_type]],"H2_outflow",
Infrastructure[[cluster]:[cluster]],$B$458,
Infrastructure[[pipe_cluster_end]:[pipe_cluster_end]],$B465)*PJ2TWh,"")</f>
        <v>0</v>
      </c>
      <c r="N465" s="51">
        <f>IFERROR(SUMIFS(Infrastructure[2032],
Infrastructure[[variable_type]:[variable_type]],"H2_outflow",
Infrastructure[[cluster]:[cluster]],$B$458,
Infrastructure[[pipe_cluster_end]:[pipe_cluster_end]],$B465)*PJ2TWh,"")</f>
        <v>0</v>
      </c>
      <c r="O465" s="51">
        <f>IFERROR(SUMIFS(Infrastructure[2033],
Infrastructure[[variable_type]:[variable_type]],"H2_outflow",
Infrastructure[[cluster]:[cluster]],$B$458,
Infrastructure[[pipe_cluster_end]:[pipe_cluster_end]],$B465)*PJ2TWh,"")</f>
        <v>0</v>
      </c>
      <c r="P465" s="51">
        <f>IFERROR(SUMIFS(Infrastructure[2034],
Infrastructure[[variable_type]:[variable_type]],"H2_outflow",
Infrastructure[[cluster]:[cluster]],$B$458,
Infrastructure[[pipe_cluster_end]:[pipe_cluster_end]],$B465)*PJ2TWh,"")</f>
        <v>0</v>
      </c>
      <c r="Q465" s="51">
        <f>IFERROR(SUMIFS(Infrastructure[2035],
Infrastructure[[variable_type]:[variable_type]],"H2_outflow",
Infrastructure[[cluster]:[cluster]],$B$458,
Infrastructure[[pipe_cluster_end]:[pipe_cluster_end]],$B465)*PJ2TWh,"")</f>
        <v>0</v>
      </c>
      <c r="R465" s="51">
        <f>IFERROR(SUMIFS(Infrastructure[2036],
Infrastructure[[variable_type]:[variable_type]],"H2_outflow",
Infrastructure[[cluster]:[cluster]],$B$458,
Infrastructure[[pipe_cluster_end]:[pipe_cluster_end]],$B465)*PJ2TWh,"")</f>
        <v>0</v>
      </c>
      <c r="S465" s="51">
        <f>IFERROR(SUMIFS(Infrastructure[2037],
Infrastructure[[variable_type]:[variable_type]],"H2_outflow",
Infrastructure[[cluster]:[cluster]],$B$458,
Infrastructure[[pipe_cluster_end]:[pipe_cluster_end]],$B465)*PJ2TWh,"")</f>
        <v>0</v>
      </c>
      <c r="T465" s="51">
        <f>IFERROR(SUMIFS(Infrastructure[2038],
Infrastructure[[variable_type]:[variable_type]],"H2_outflow",
Infrastructure[[cluster]:[cluster]],$B$458,
Infrastructure[[pipe_cluster_end]:[pipe_cluster_end]],$B465)*PJ2TWh,"")</f>
        <v>0</v>
      </c>
      <c r="U465" s="51">
        <f>IFERROR(SUMIFS(Infrastructure[2039],
Infrastructure[[variable_type]:[variable_type]],"H2_outflow",
Infrastructure[[cluster]:[cluster]],$B$458,
Infrastructure[[pipe_cluster_end]:[pipe_cluster_end]],$B465)*PJ2TWh,"")</f>
        <v>0</v>
      </c>
      <c r="V465" s="51">
        <f>IFERROR(SUMIFS(Infrastructure[2040],
Infrastructure[[variable_type]:[variable_type]],"H2_outflow",
Infrastructure[[cluster]:[cluster]],$B$458,
Infrastructure[[pipe_cluster_end]:[pipe_cluster_end]],$B465)*PJ2TWh,"")</f>
        <v>0</v>
      </c>
      <c r="W465" s="51">
        <f>IFERROR(SUMIFS(Infrastructure[2041],
Infrastructure[[variable_type]:[variable_type]],"H2_outflow",
Infrastructure[[cluster]:[cluster]],$B$458,
Infrastructure[[pipe_cluster_end]:[pipe_cluster_end]],$B465)*PJ2TWh,"")</f>
        <v>0</v>
      </c>
      <c r="X465" s="51">
        <f>IFERROR(SUMIFS(Infrastructure[2042],
Infrastructure[[variable_type]:[variable_type]],"H2_outflow",
Infrastructure[[cluster]:[cluster]],$B$458,
Infrastructure[[pipe_cluster_end]:[pipe_cluster_end]],$B465)*PJ2TWh,"")</f>
        <v>0</v>
      </c>
      <c r="Y465" s="51">
        <f>IFERROR(SUMIFS(Infrastructure[2043],
Infrastructure[[variable_type]:[variable_type]],"H2_outflow",
Infrastructure[[cluster]:[cluster]],$B$458,
Infrastructure[[pipe_cluster_end]:[pipe_cluster_end]],$B465)*PJ2TWh,"")</f>
        <v>0</v>
      </c>
      <c r="Z465" s="51">
        <f>IFERROR(SUMIFS(Infrastructure[2044],
Infrastructure[[variable_type]:[variable_type]],"H2_outflow",
Infrastructure[[cluster]:[cluster]],$B$458,
Infrastructure[[pipe_cluster_end]:[pipe_cluster_end]],$B465)*PJ2TWh,"")</f>
        <v>0</v>
      </c>
      <c r="AA465" s="51">
        <f>IFERROR(SUMIFS(Infrastructure[2045],
Infrastructure[[variable_type]:[variable_type]],"H2_outflow",
Infrastructure[[cluster]:[cluster]],$B$458,
Infrastructure[[pipe_cluster_end]:[pipe_cluster_end]],$B465)*PJ2TWh,"")</f>
        <v>0</v>
      </c>
      <c r="AB465" s="51">
        <f>IFERROR(SUMIFS(Infrastructure[2046],
Infrastructure[[variable_type]:[variable_type]],"H2_outflow",
Infrastructure[[cluster]:[cluster]],$B$458,
Infrastructure[[pipe_cluster_end]:[pipe_cluster_end]],$B465)*PJ2TWh,"")</f>
        <v>0</v>
      </c>
      <c r="AC465" s="51">
        <f>IFERROR(SUMIFS(Infrastructure[2047],
Infrastructure[[variable_type]:[variable_type]],"H2_outflow",
Infrastructure[[cluster]:[cluster]],$B$458,
Infrastructure[[pipe_cluster_end]:[pipe_cluster_end]],$B465)*PJ2TWh,"")</f>
        <v>0</v>
      </c>
      <c r="AD465" s="51">
        <f>IFERROR(SUMIFS(Infrastructure[2048],
Infrastructure[[variable_type]:[variable_type]],"H2_outflow",
Infrastructure[[cluster]:[cluster]],$B$458,
Infrastructure[[pipe_cluster_end]:[pipe_cluster_end]],$B465)*PJ2TWh,"")</f>
        <v>0</v>
      </c>
      <c r="AE465" s="51">
        <f>IFERROR(SUMIFS(Infrastructure[2049],
Infrastructure[[variable_type]:[variable_type]],"H2_outflow",
Infrastructure[[cluster]:[cluster]],$B$458,
Infrastructure[[pipe_cluster_end]:[pipe_cluster_end]],$B465)*PJ2TWh,"")</f>
        <v>0</v>
      </c>
      <c r="AF465" s="51">
        <f>IFERROR(SUMIFS(Infrastructure[2050],
Infrastructure[[variable_type]:[variable_type]],"H2_outflow",
Infrastructure[[cluster]:[cluster]],$B$458,
Infrastructure[[pipe_cluster_end]:[pipe_cluster_end]],$B465)*PJ2TWh,"")</f>
        <v>0</v>
      </c>
      <c r="AG465" s="51">
        <f>IFERROR(SUMIFS(Infrastructure[2051],
Infrastructure[[variable_type]:[variable_type]],"H2_outflow",
Infrastructure[[cluster]:[cluster]],$B$458,
Infrastructure[[pipe_cluster_end]:[pipe_cluster_end]],$B465)*PJ2TWh,"")</f>
        <v>0</v>
      </c>
    </row>
    <row r="466" spans="1:33" x14ac:dyDescent="0.45">
      <c r="A466" s="2"/>
      <c r="B466" s="24" t="s">
        <v>76</v>
      </c>
      <c r="C466" s="51">
        <f>IFERROR(SUMIFS(Infrastructure[2021],
Infrastructure[[variable_type]:[variable_type]],"H2_outflow",
Infrastructure[[cluster]:[cluster]],$B$458,
Infrastructure[[pipe_cluster_end]:[pipe_cluster_end]],$B466)*PJ2TWh,"")</f>
        <v>0</v>
      </c>
      <c r="D466" s="51">
        <f>IFERROR(SUMIFS(Infrastructure[2022],
Infrastructure[[variable_type]:[variable_type]],"H2_outflow",
Infrastructure[[cluster]:[cluster]],$B$458,
Infrastructure[[pipe_cluster_end]:[pipe_cluster_end]],$B466)*PJ2TWh,"")</f>
        <v>0</v>
      </c>
      <c r="E466" s="51">
        <f>IFERROR(SUMIFS(Infrastructure[2023],
Infrastructure[[variable_type]:[variable_type]],"H2_outflow",
Infrastructure[[cluster]:[cluster]],$B$458,
Infrastructure[[pipe_cluster_end]:[pipe_cluster_end]],$B466)*PJ2TWh,"")</f>
        <v>0</v>
      </c>
      <c r="F466" s="51">
        <f>IFERROR(SUMIFS(Infrastructure[2024],
Infrastructure[[variable_type]:[variable_type]],"H2_outflow",
Infrastructure[[cluster]:[cluster]],$B$458,
Infrastructure[[pipe_cluster_end]:[pipe_cluster_end]],$B466)*PJ2TWh,"")</f>
        <v>0</v>
      </c>
      <c r="G466" s="51">
        <f>IFERROR(SUMIFS(Infrastructure[2025],
Infrastructure[[variable_type]:[variable_type]],"H2_outflow",
Infrastructure[[cluster]:[cluster]],$B$458,
Infrastructure[[pipe_cluster_end]:[pipe_cluster_end]],$B466)*PJ2TWh,"")</f>
        <v>0</v>
      </c>
      <c r="H466" s="51">
        <f>IFERROR(SUMIFS(Infrastructure[2026],
Infrastructure[[variable_type]:[variable_type]],"H2_outflow",
Infrastructure[[cluster]:[cluster]],$B$458,
Infrastructure[[pipe_cluster_end]:[pipe_cluster_end]],$B466)*PJ2TWh,"")</f>
        <v>0</v>
      </c>
      <c r="I466" s="51">
        <f>IFERROR(SUMIFS(Infrastructure[2027],
Infrastructure[[variable_type]:[variable_type]],"H2_outflow",
Infrastructure[[cluster]:[cluster]],$B$458,
Infrastructure[[pipe_cluster_end]:[pipe_cluster_end]],$B466)*PJ2TWh,"")</f>
        <v>0</v>
      </c>
      <c r="J466" s="51">
        <f>IFERROR(SUMIFS(Infrastructure[2028],
Infrastructure[[variable_type]:[variable_type]],"H2_outflow",
Infrastructure[[cluster]:[cluster]],$B$458,
Infrastructure[[pipe_cluster_end]:[pipe_cluster_end]],$B466)*PJ2TWh,"")</f>
        <v>0</v>
      </c>
      <c r="K466" s="51">
        <f>IFERROR(SUMIFS(Infrastructure[2029],
Infrastructure[[variable_type]:[variable_type]],"H2_outflow",
Infrastructure[[cluster]:[cluster]],$B$458,
Infrastructure[[pipe_cluster_end]:[pipe_cluster_end]],$B466)*PJ2TWh,"")</f>
        <v>0</v>
      </c>
      <c r="L466" s="51">
        <f>IFERROR(SUMIFS(Infrastructure[2030],
Infrastructure[[variable_type]:[variable_type]],"H2_outflow",
Infrastructure[[cluster]:[cluster]],$B$458,
Infrastructure[[pipe_cluster_end]:[pipe_cluster_end]],$B466)*PJ2TWh,"")</f>
        <v>0</v>
      </c>
      <c r="M466" s="51">
        <f>IFERROR(SUMIFS(Infrastructure[2031],
Infrastructure[[variable_type]:[variable_type]],"H2_outflow",
Infrastructure[[cluster]:[cluster]],$B$458,
Infrastructure[[pipe_cluster_end]:[pipe_cluster_end]],$B466)*PJ2TWh,"")</f>
        <v>0</v>
      </c>
      <c r="N466" s="51">
        <f>IFERROR(SUMIFS(Infrastructure[2032],
Infrastructure[[variable_type]:[variable_type]],"H2_outflow",
Infrastructure[[cluster]:[cluster]],$B$458,
Infrastructure[[pipe_cluster_end]:[pipe_cluster_end]],$B466)*PJ2TWh,"")</f>
        <v>0</v>
      </c>
      <c r="O466" s="51">
        <f>IFERROR(SUMIFS(Infrastructure[2033],
Infrastructure[[variable_type]:[variable_type]],"H2_outflow",
Infrastructure[[cluster]:[cluster]],$B$458,
Infrastructure[[pipe_cluster_end]:[pipe_cluster_end]],$B466)*PJ2TWh,"")</f>
        <v>0</v>
      </c>
      <c r="P466" s="51">
        <f>IFERROR(SUMIFS(Infrastructure[2034],
Infrastructure[[variable_type]:[variable_type]],"H2_outflow",
Infrastructure[[cluster]:[cluster]],$B$458,
Infrastructure[[pipe_cluster_end]:[pipe_cluster_end]],$B466)*PJ2TWh,"")</f>
        <v>0</v>
      </c>
      <c r="Q466" s="51">
        <f>IFERROR(SUMIFS(Infrastructure[2035],
Infrastructure[[variable_type]:[variable_type]],"H2_outflow",
Infrastructure[[cluster]:[cluster]],$B$458,
Infrastructure[[pipe_cluster_end]:[pipe_cluster_end]],$B466)*PJ2TWh,"")</f>
        <v>0</v>
      </c>
      <c r="R466" s="51">
        <f>IFERROR(SUMIFS(Infrastructure[2036],
Infrastructure[[variable_type]:[variable_type]],"H2_outflow",
Infrastructure[[cluster]:[cluster]],$B$458,
Infrastructure[[pipe_cluster_end]:[pipe_cluster_end]],$B466)*PJ2TWh,"")</f>
        <v>0</v>
      </c>
      <c r="S466" s="51">
        <f>IFERROR(SUMIFS(Infrastructure[2037],
Infrastructure[[variable_type]:[variable_type]],"H2_outflow",
Infrastructure[[cluster]:[cluster]],$B$458,
Infrastructure[[pipe_cluster_end]:[pipe_cluster_end]],$B466)*PJ2TWh,"")</f>
        <v>0</v>
      </c>
      <c r="T466" s="51">
        <f>IFERROR(SUMIFS(Infrastructure[2038],
Infrastructure[[variable_type]:[variable_type]],"H2_outflow",
Infrastructure[[cluster]:[cluster]],$B$458,
Infrastructure[[pipe_cluster_end]:[pipe_cluster_end]],$B466)*PJ2TWh,"")</f>
        <v>0</v>
      </c>
      <c r="U466" s="51">
        <f>IFERROR(SUMIFS(Infrastructure[2039],
Infrastructure[[variable_type]:[variable_type]],"H2_outflow",
Infrastructure[[cluster]:[cluster]],$B$458,
Infrastructure[[pipe_cluster_end]:[pipe_cluster_end]],$B466)*PJ2TWh,"")</f>
        <v>0</v>
      </c>
      <c r="V466" s="51">
        <f>IFERROR(SUMIFS(Infrastructure[2040],
Infrastructure[[variable_type]:[variable_type]],"H2_outflow",
Infrastructure[[cluster]:[cluster]],$B$458,
Infrastructure[[pipe_cluster_end]:[pipe_cluster_end]],$B466)*PJ2TWh,"")</f>
        <v>0</v>
      </c>
      <c r="W466" s="51">
        <f>IFERROR(SUMIFS(Infrastructure[2041],
Infrastructure[[variable_type]:[variable_type]],"H2_outflow",
Infrastructure[[cluster]:[cluster]],$B$458,
Infrastructure[[pipe_cluster_end]:[pipe_cluster_end]],$B466)*PJ2TWh,"")</f>
        <v>0</v>
      </c>
      <c r="X466" s="51">
        <f>IFERROR(SUMIFS(Infrastructure[2042],
Infrastructure[[variable_type]:[variable_type]],"H2_outflow",
Infrastructure[[cluster]:[cluster]],$B$458,
Infrastructure[[pipe_cluster_end]:[pipe_cluster_end]],$B466)*PJ2TWh,"")</f>
        <v>0</v>
      </c>
      <c r="Y466" s="51">
        <f>IFERROR(SUMIFS(Infrastructure[2043],
Infrastructure[[variable_type]:[variable_type]],"H2_outflow",
Infrastructure[[cluster]:[cluster]],$B$458,
Infrastructure[[pipe_cluster_end]:[pipe_cluster_end]],$B466)*PJ2TWh,"")</f>
        <v>0</v>
      </c>
      <c r="Z466" s="51">
        <f>IFERROR(SUMIFS(Infrastructure[2044],
Infrastructure[[variable_type]:[variable_type]],"H2_outflow",
Infrastructure[[cluster]:[cluster]],$B$458,
Infrastructure[[pipe_cluster_end]:[pipe_cluster_end]],$B466)*PJ2TWh,"")</f>
        <v>0</v>
      </c>
      <c r="AA466" s="51">
        <f>IFERROR(SUMIFS(Infrastructure[2045],
Infrastructure[[variable_type]:[variable_type]],"H2_outflow",
Infrastructure[[cluster]:[cluster]],$B$458,
Infrastructure[[pipe_cluster_end]:[pipe_cluster_end]],$B466)*PJ2TWh,"")</f>
        <v>0</v>
      </c>
      <c r="AB466" s="51">
        <f>IFERROR(SUMIFS(Infrastructure[2046],
Infrastructure[[variable_type]:[variable_type]],"H2_outflow",
Infrastructure[[cluster]:[cluster]],$B$458,
Infrastructure[[pipe_cluster_end]:[pipe_cluster_end]],$B466)*PJ2TWh,"")</f>
        <v>0</v>
      </c>
      <c r="AC466" s="51">
        <f>IFERROR(SUMIFS(Infrastructure[2047],
Infrastructure[[variable_type]:[variable_type]],"H2_outflow",
Infrastructure[[cluster]:[cluster]],$B$458,
Infrastructure[[pipe_cluster_end]:[pipe_cluster_end]],$B466)*PJ2TWh,"")</f>
        <v>0</v>
      </c>
      <c r="AD466" s="51">
        <f>IFERROR(SUMIFS(Infrastructure[2048],
Infrastructure[[variable_type]:[variable_type]],"H2_outflow",
Infrastructure[[cluster]:[cluster]],$B$458,
Infrastructure[[pipe_cluster_end]:[pipe_cluster_end]],$B466)*PJ2TWh,"")</f>
        <v>0</v>
      </c>
      <c r="AE466" s="51">
        <f>IFERROR(SUMIFS(Infrastructure[2049],
Infrastructure[[variable_type]:[variable_type]],"H2_outflow",
Infrastructure[[cluster]:[cluster]],$B$458,
Infrastructure[[pipe_cluster_end]:[pipe_cluster_end]],$B466)*PJ2TWh,"")</f>
        <v>0</v>
      </c>
      <c r="AF466" s="51">
        <f>IFERROR(SUMIFS(Infrastructure[2050],
Infrastructure[[variable_type]:[variable_type]],"H2_outflow",
Infrastructure[[cluster]:[cluster]],$B$458,
Infrastructure[[pipe_cluster_end]:[pipe_cluster_end]],$B466)*PJ2TWh,"")</f>
        <v>0</v>
      </c>
      <c r="AG466" s="51">
        <f>IFERROR(SUMIFS(Infrastructure[2051],
Infrastructure[[variable_type]:[variable_type]],"H2_outflow",
Infrastructure[[cluster]:[cluster]],$B$458,
Infrastructure[[pipe_cluster_end]:[pipe_cluster_end]],$B466)*PJ2TWh,"")</f>
        <v>0</v>
      </c>
    </row>
    <row r="467" spans="1:33" x14ac:dyDescent="0.45">
      <c r="A467" s="2"/>
      <c r="B467" s="24" t="s">
        <v>77</v>
      </c>
      <c r="C467" s="51">
        <f>IFERROR(SUMIFS(Infrastructure[2021],
Infrastructure[[variable_type]:[variable_type]],"H2_outflow",
Infrastructure[[cluster]:[cluster]],$B$458,
Infrastructure[[pipe_cluster_end]:[pipe_cluster_end]],$B467)*PJ2TWh,"")</f>
        <v>0</v>
      </c>
      <c r="D467" s="51">
        <f>IFERROR(SUMIFS(Infrastructure[2022],
Infrastructure[[variable_type]:[variable_type]],"H2_outflow",
Infrastructure[[cluster]:[cluster]],$B$458,
Infrastructure[[pipe_cluster_end]:[pipe_cluster_end]],$B467)*PJ2TWh,"")</f>
        <v>0</v>
      </c>
      <c r="E467" s="51">
        <f>IFERROR(SUMIFS(Infrastructure[2023],
Infrastructure[[variable_type]:[variable_type]],"H2_outflow",
Infrastructure[[cluster]:[cluster]],$B$458,
Infrastructure[[pipe_cluster_end]:[pipe_cluster_end]],$B467)*PJ2TWh,"")</f>
        <v>0</v>
      </c>
      <c r="F467" s="51">
        <f>IFERROR(SUMIFS(Infrastructure[2024],
Infrastructure[[variable_type]:[variable_type]],"H2_outflow",
Infrastructure[[cluster]:[cluster]],$B$458,
Infrastructure[[pipe_cluster_end]:[pipe_cluster_end]],$B467)*PJ2TWh,"")</f>
        <v>0</v>
      </c>
      <c r="G467" s="51">
        <f>IFERROR(SUMIFS(Infrastructure[2025],
Infrastructure[[variable_type]:[variable_type]],"H2_outflow",
Infrastructure[[cluster]:[cluster]],$B$458,
Infrastructure[[pipe_cluster_end]:[pipe_cluster_end]],$B467)*PJ2TWh,"")</f>
        <v>0</v>
      </c>
      <c r="H467" s="51">
        <f>IFERROR(SUMIFS(Infrastructure[2026],
Infrastructure[[variable_type]:[variable_type]],"H2_outflow",
Infrastructure[[cluster]:[cluster]],$B$458,
Infrastructure[[pipe_cluster_end]:[pipe_cluster_end]],$B467)*PJ2TWh,"")</f>
        <v>0</v>
      </c>
      <c r="I467" s="51">
        <f>IFERROR(SUMIFS(Infrastructure[2027],
Infrastructure[[variable_type]:[variable_type]],"H2_outflow",
Infrastructure[[cluster]:[cluster]],$B$458,
Infrastructure[[pipe_cluster_end]:[pipe_cluster_end]],$B467)*PJ2TWh,"")</f>
        <v>0</v>
      </c>
      <c r="J467" s="51">
        <f>IFERROR(SUMIFS(Infrastructure[2028],
Infrastructure[[variable_type]:[variable_type]],"H2_outflow",
Infrastructure[[cluster]:[cluster]],$B$458,
Infrastructure[[pipe_cluster_end]:[pipe_cluster_end]],$B467)*PJ2TWh,"")</f>
        <v>0</v>
      </c>
      <c r="K467" s="51">
        <f>IFERROR(SUMIFS(Infrastructure[2029],
Infrastructure[[variable_type]:[variable_type]],"H2_outflow",
Infrastructure[[cluster]:[cluster]],$B$458,
Infrastructure[[pipe_cluster_end]:[pipe_cluster_end]],$B467)*PJ2TWh,"")</f>
        <v>0</v>
      </c>
      <c r="L467" s="51">
        <f>IFERROR(SUMIFS(Infrastructure[2030],
Infrastructure[[variable_type]:[variable_type]],"H2_outflow",
Infrastructure[[cluster]:[cluster]],$B$458,
Infrastructure[[pipe_cluster_end]:[pipe_cluster_end]],$B467)*PJ2TWh,"")</f>
        <v>0</v>
      </c>
      <c r="M467" s="51">
        <f>IFERROR(SUMIFS(Infrastructure[2031],
Infrastructure[[variable_type]:[variable_type]],"H2_outflow",
Infrastructure[[cluster]:[cluster]],$B$458,
Infrastructure[[pipe_cluster_end]:[pipe_cluster_end]],$B467)*PJ2TWh,"")</f>
        <v>0</v>
      </c>
      <c r="N467" s="51">
        <f>IFERROR(SUMIFS(Infrastructure[2032],
Infrastructure[[variable_type]:[variable_type]],"H2_outflow",
Infrastructure[[cluster]:[cluster]],$B$458,
Infrastructure[[pipe_cluster_end]:[pipe_cluster_end]],$B467)*PJ2TWh,"")</f>
        <v>0</v>
      </c>
      <c r="O467" s="51">
        <f>IFERROR(SUMIFS(Infrastructure[2033],
Infrastructure[[variable_type]:[variable_type]],"H2_outflow",
Infrastructure[[cluster]:[cluster]],$B$458,
Infrastructure[[pipe_cluster_end]:[pipe_cluster_end]],$B467)*PJ2TWh,"")</f>
        <v>0</v>
      </c>
      <c r="P467" s="51">
        <f>IFERROR(SUMIFS(Infrastructure[2034],
Infrastructure[[variable_type]:[variable_type]],"H2_outflow",
Infrastructure[[cluster]:[cluster]],$B$458,
Infrastructure[[pipe_cluster_end]:[pipe_cluster_end]],$B467)*PJ2TWh,"")</f>
        <v>0</v>
      </c>
      <c r="Q467" s="51">
        <f>IFERROR(SUMIFS(Infrastructure[2035],
Infrastructure[[variable_type]:[variable_type]],"H2_outflow",
Infrastructure[[cluster]:[cluster]],$B$458,
Infrastructure[[pipe_cluster_end]:[pipe_cluster_end]],$B467)*PJ2TWh,"")</f>
        <v>0</v>
      </c>
      <c r="R467" s="51">
        <f>IFERROR(SUMIFS(Infrastructure[2036],
Infrastructure[[variable_type]:[variable_type]],"H2_outflow",
Infrastructure[[cluster]:[cluster]],$B$458,
Infrastructure[[pipe_cluster_end]:[pipe_cluster_end]],$B467)*PJ2TWh,"")</f>
        <v>0</v>
      </c>
      <c r="S467" s="51">
        <f>IFERROR(SUMIFS(Infrastructure[2037],
Infrastructure[[variable_type]:[variable_type]],"H2_outflow",
Infrastructure[[cluster]:[cluster]],$B$458,
Infrastructure[[pipe_cluster_end]:[pipe_cluster_end]],$B467)*PJ2TWh,"")</f>
        <v>0</v>
      </c>
      <c r="T467" s="51">
        <f>IFERROR(SUMIFS(Infrastructure[2038],
Infrastructure[[variable_type]:[variable_type]],"H2_outflow",
Infrastructure[[cluster]:[cluster]],$B$458,
Infrastructure[[pipe_cluster_end]:[pipe_cluster_end]],$B467)*PJ2TWh,"")</f>
        <v>0</v>
      </c>
      <c r="U467" s="51">
        <f>IFERROR(SUMIFS(Infrastructure[2039],
Infrastructure[[variable_type]:[variable_type]],"H2_outflow",
Infrastructure[[cluster]:[cluster]],$B$458,
Infrastructure[[pipe_cluster_end]:[pipe_cluster_end]],$B467)*PJ2TWh,"")</f>
        <v>0</v>
      </c>
      <c r="V467" s="51">
        <f>IFERROR(SUMIFS(Infrastructure[2040],
Infrastructure[[variable_type]:[variable_type]],"H2_outflow",
Infrastructure[[cluster]:[cluster]],$B$458,
Infrastructure[[pipe_cluster_end]:[pipe_cluster_end]],$B467)*PJ2TWh,"")</f>
        <v>0</v>
      </c>
      <c r="W467" s="51">
        <f>IFERROR(SUMIFS(Infrastructure[2041],
Infrastructure[[variable_type]:[variable_type]],"H2_outflow",
Infrastructure[[cluster]:[cluster]],$B$458,
Infrastructure[[pipe_cluster_end]:[pipe_cluster_end]],$B467)*PJ2TWh,"")</f>
        <v>0</v>
      </c>
      <c r="X467" s="51">
        <f>IFERROR(SUMIFS(Infrastructure[2042],
Infrastructure[[variable_type]:[variable_type]],"H2_outflow",
Infrastructure[[cluster]:[cluster]],$B$458,
Infrastructure[[pipe_cluster_end]:[pipe_cluster_end]],$B467)*PJ2TWh,"")</f>
        <v>0</v>
      </c>
      <c r="Y467" s="51">
        <f>IFERROR(SUMIFS(Infrastructure[2043],
Infrastructure[[variable_type]:[variable_type]],"H2_outflow",
Infrastructure[[cluster]:[cluster]],$B$458,
Infrastructure[[pipe_cluster_end]:[pipe_cluster_end]],$B467)*PJ2TWh,"")</f>
        <v>0</v>
      </c>
      <c r="Z467" s="51">
        <f>IFERROR(SUMIFS(Infrastructure[2044],
Infrastructure[[variable_type]:[variable_type]],"H2_outflow",
Infrastructure[[cluster]:[cluster]],$B$458,
Infrastructure[[pipe_cluster_end]:[pipe_cluster_end]],$B467)*PJ2TWh,"")</f>
        <v>0</v>
      </c>
      <c r="AA467" s="51">
        <f>IFERROR(SUMIFS(Infrastructure[2045],
Infrastructure[[variable_type]:[variable_type]],"H2_outflow",
Infrastructure[[cluster]:[cluster]],$B$458,
Infrastructure[[pipe_cluster_end]:[pipe_cluster_end]],$B467)*PJ2TWh,"")</f>
        <v>0</v>
      </c>
      <c r="AB467" s="51">
        <f>IFERROR(SUMIFS(Infrastructure[2046],
Infrastructure[[variable_type]:[variable_type]],"H2_outflow",
Infrastructure[[cluster]:[cluster]],$B$458,
Infrastructure[[pipe_cluster_end]:[pipe_cluster_end]],$B467)*PJ2TWh,"")</f>
        <v>0</v>
      </c>
      <c r="AC467" s="51">
        <f>IFERROR(SUMIFS(Infrastructure[2047],
Infrastructure[[variable_type]:[variable_type]],"H2_outflow",
Infrastructure[[cluster]:[cluster]],$B$458,
Infrastructure[[pipe_cluster_end]:[pipe_cluster_end]],$B467)*PJ2TWh,"")</f>
        <v>0</v>
      </c>
      <c r="AD467" s="51">
        <f>IFERROR(SUMIFS(Infrastructure[2048],
Infrastructure[[variable_type]:[variable_type]],"H2_outflow",
Infrastructure[[cluster]:[cluster]],$B$458,
Infrastructure[[pipe_cluster_end]:[pipe_cluster_end]],$B467)*PJ2TWh,"")</f>
        <v>0</v>
      </c>
      <c r="AE467" s="51">
        <f>IFERROR(SUMIFS(Infrastructure[2049],
Infrastructure[[variable_type]:[variable_type]],"H2_outflow",
Infrastructure[[cluster]:[cluster]],$B$458,
Infrastructure[[pipe_cluster_end]:[pipe_cluster_end]],$B467)*PJ2TWh,"")</f>
        <v>0</v>
      </c>
      <c r="AF467" s="51">
        <f>IFERROR(SUMIFS(Infrastructure[2050],
Infrastructure[[variable_type]:[variable_type]],"H2_outflow",
Infrastructure[[cluster]:[cluster]],$B$458,
Infrastructure[[pipe_cluster_end]:[pipe_cluster_end]],$B467)*PJ2TWh,"")</f>
        <v>0</v>
      </c>
      <c r="AG467" s="51">
        <f>IFERROR(SUMIFS(Infrastructure[2051],
Infrastructure[[variable_type]:[variable_type]],"H2_outflow",
Infrastructure[[cluster]:[cluster]],$B$458,
Infrastructure[[pipe_cluster_end]:[pipe_cluster_end]],$B467)*PJ2TWh,"")</f>
        <v>0</v>
      </c>
    </row>
    <row r="468" spans="1:33" x14ac:dyDescent="0.45">
      <c r="A468" s="2"/>
      <c r="B468" s="24" t="s">
        <v>78</v>
      </c>
      <c r="C468" s="51">
        <f>IFERROR(SUMIFS(Infrastructure[2021],
Infrastructure[[variable_type]:[variable_type]],"H2_outflow",
Infrastructure[[cluster]:[cluster]],$B$458,
Infrastructure[[pipe_cluster_end]:[pipe_cluster_end]],$B468)*PJ2TWh,"")</f>
        <v>0</v>
      </c>
      <c r="D468" s="51">
        <f>IFERROR(SUMIFS(Infrastructure[2022],
Infrastructure[[variable_type]:[variable_type]],"H2_outflow",
Infrastructure[[cluster]:[cluster]],$B$458,
Infrastructure[[pipe_cluster_end]:[pipe_cluster_end]],$B468)*PJ2TWh,"")</f>
        <v>0</v>
      </c>
      <c r="E468" s="51">
        <f>IFERROR(SUMIFS(Infrastructure[2023],
Infrastructure[[variable_type]:[variable_type]],"H2_outflow",
Infrastructure[[cluster]:[cluster]],$B$458,
Infrastructure[[pipe_cluster_end]:[pipe_cluster_end]],$B468)*PJ2TWh,"")</f>
        <v>0</v>
      </c>
      <c r="F468" s="51">
        <f>IFERROR(SUMIFS(Infrastructure[2024],
Infrastructure[[variable_type]:[variable_type]],"H2_outflow",
Infrastructure[[cluster]:[cluster]],$B$458,
Infrastructure[[pipe_cluster_end]:[pipe_cluster_end]],$B468)*PJ2TWh,"")</f>
        <v>0</v>
      </c>
      <c r="G468" s="51">
        <f>IFERROR(SUMIFS(Infrastructure[2025],
Infrastructure[[variable_type]:[variable_type]],"H2_outflow",
Infrastructure[[cluster]:[cluster]],$B$458,
Infrastructure[[pipe_cluster_end]:[pipe_cluster_end]],$B468)*PJ2TWh,"")</f>
        <v>0</v>
      </c>
      <c r="H468" s="51">
        <f>IFERROR(SUMIFS(Infrastructure[2026],
Infrastructure[[variable_type]:[variable_type]],"H2_outflow",
Infrastructure[[cluster]:[cluster]],$B$458,
Infrastructure[[pipe_cluster_end]:[pipe_cluster_end]],$B468)*PJ2TWh,"")</f>
        <v>0</v>
      </c>
      <c r="I468" s="51">
        <f>IFERROR(SUMIFS(Infrastructure[2027],
Infrastructure[[variable_type]:[variable_type]],"H2_outflow",
Infrastructure[[cluster]:[cluster]],$B$458,
Infrastructure[[pipe_cluster_end]:[pipe_cluster_end]],$B468)*PJ2TWh,"")</f>
        <v>0</v>
      </c>
      <c r="J468" s="51">
        <f>IFERROR(SUMIFS(Infrastructure[2028],
Infrastructure[[variable_type]:[variable_type]],"H2_outflow",
Infrastructure[[cluster]:[cluster]],$B$458,
Infrastructure[[pipe_cluster_end]:[pipe_cluster_end]],$B468)*PJ2TWh,"")</f>
        <v>0</v>
      </c>
      <c r="K468" s="51">
        <f>IFERROR(SUMIFS(Infrastructure[2029],
Infrastructure[[variable_type]:[variable_type]],"H2_outflow",
Infrastructure[[cluster]:[cluster]],$B$458,
Infrastructure[[pipe_cluster_end]:[pipe_cluster_end]],$B468)*PJ2TWh,"")</f>
        <v>0</v>
      </c>
      <c r="L468" s="51">
        <f>IFERROR(SUMIFS(Infrastructure[2030],
Infrastructure[[variable_type]:[variable_type]],"H2_outflow",
Infrastructure[[cluster]:[cluster]],$B$458,
Infrastructure[[pipe_cluster_end]:[pipe_cluster_end]],$B468)*PJ2TWh,"")</f>
        <v>0</v>
      </c>
      <c r="M468" s="51">
        <f>IFERROR(SUMIFS(Infrastructure[2031],
Infrastructure[[variable_type]:[variable_type]],"H2_outflow",
Infrastructure[[cluster]:[cluster]],$B$458,
Infrastructure[[pipe_cluster_end]:[pipe_cluster_end]],$B468)*PJ2TWh,"")</f>
        <v>0</v>
      </c>
      <c r="N468" s="51">
        <f>IFERROR(SUMIFS(Infrastructure[2032],
Infrastructure[[variable_type]:[variable_type]],"H2_outflow",
Infrastructure[[cluster]:[cluster]],$B$458,
Infrastructure[[pipe_cluster_end]:[pipe_cluster_end]],$B468)*PJ2TWh,"")</f>
        <v>0</v>
      </c>
      <c r="O468" s="51">
        <f>IFERROR(SUMIFS(Infrastructure[2033],
Infrastructure[[variable_type]:[variable_type]],"H2_outflow",
Infrastructure[[cluster]:[cluster]],$B$458,
Infrastructure[[pipe_cluster_end]:[pipe_cluster_end]],$B468)*PJ2TWh,"")</f>
        <v>0</v>
      </c>
      <c r="P468" s="51">
        <f>IFERROR(SUMIFS(Infrastructure[2034],
Infrastructure[[variable_type]:[variable_type]],"H2_outflow",
Infrastructure[[cluster]:[cluster]],$B$458,
Infrastructure[[pipe_cluster_end]:[pipe_cluster_end]],$B468)*PJ2TWh,"")</f>
        <v>0</v>
      </c>
      <c r="Q468" s="51">
        <f>IFERROR(SUMIFS(Infrastructure[2035],
Infrastructure[[variable_type]:[variable_type]],"H2_outflow",
Infrastructure[[cluster]:[cluster]],$B$458,
Infrastructure[[pipe_cluster_end]:[pipe_cluster_end]],$B468)*PJ2TWh,"")</f>
        <v>0</v>
      </c>
      <c r="R468" s="51">
        <f>IFERROR(SUMIFS(Infrastructure[2036],
Infrastructure[[variable_type]:[variable_type]],"H2_outflow",
Infrastructure[[cluster]:[cluster]],$B$458,
Infrastructure[[pipe_cluster_end]:[pipe_cluster_end]],$B468)*PJ2TWh,"")</f>
        <v>0</v>
      </c>
      <c r="S468" s="51">
        <f>IFERROR(SUMIFS(Infrastructure[2037],
Infrastructure[[variable_type]:[variable_type]],"H2_outflow",
Infrastructure[[cluster]:[cluster]],$B$458,
Infrastructure[[pipe_cluster_end]:[pipe_cluster_end]],$B468)*PJ2TWh,"")</f>
        <v>0</v>
      </c>
      <c r="T468" s="51">
        <f>IFERROR(SUMIFS(Infrastructure[2038],
Infrastructure[[variable_type]:[variable_type]],"H2_outflow",
Infrastructure[[cluster]:[cluster]],$B$458,
Infrastructure[[pipe_cluster_end]:[pipe_cluster_end]],$B468)*PJ2TWh,"")</f>
        <v>0</v>
      </c>
      <c r="U468" s="51">
        <f>IFERROR(SUMIFS(Infrastructure[2039],
Infrastructure[[variable_type]:[variable_type]],"H2_outflow",
Infrastructure[[cluster]:[cluster]],$B$458,
Infrastructure[[pipe_cluster_end]:[pipe_cluster_end]],$B468)*PJ2TWh,"")</f>
        <v>0</v>
      </c>
      <c r="V468" s="51">
        <f>IFERROR(SUMIFS(Infrastructure[2040],
Infrastructure[[variable_type]:[variable_type]],"H2_outflow",
Infrastructure[[cluster]:[cluster]],$B$458,
Infrastructure[[pipe_cluster_end]:[pipe_cluster_end]],$B468)*PJ2TWh,"")</f>
        <v>0</v>
      </c>
      <c r="W468" s="51">
        <f>IFERROR(SUMIFS(Infrastructure[2041],
Infrastructure[[variable_type]:[variable_type]],"H2_outflow",
Infrastructure[[cluster]:[cluster]],$B$458,
Infrastructure[[pipe_cluster_end]:[pipe_cluster_end]],$B468)*PJ2TWh,"")</f>
        <v>0</v>
      </c>
      <c r="X468" s="51">
        <f>IFERROR(SUMIFS(Infrastructure[2042],
Infrastructure[[variable_type]:[variable_type]],"H2_outflow",
Infrastructure[[cluster]:[cluster]],$B$458,
Infrastructure[[pipe_cluster_end]:[pipe_cluster_end]],$B468)*PJ2TWh,"")</f>
        <v>0</v>
      </c>
      <c r="Y468" s="51">
        <f>IFERROR(SUMIFS(Infrastructure[2043],
Infrastructure[[variable_type]:[variable_type]],"H2_outflow",
Infrastructure[[cluster]:[cluster]],$B$458,
Infrastructure[[pipe_cluster_end]:[pipe_cluster_end]],$B468)*PJ2TWh,"")</f>
        <v>0</v>
      </c>
      <c r="Z468" s="51">
        <f>IFERROR(SUMIFS(Infrastructure[2044],
Infrastructure[[variable_type]:[variable_type]],"H2_outflow",
Infrastructure[[cluster]:[cluster]],$B$458,
Infrastructure[[pipe_cluster_end]:[pipe_cluster_end]],$B468)*PJ2TWh,"")</f>
        <v>0</v>
      </c>
      <c r="AA468" s="51">
        <f>IFERROR(SUMIFS(Infrastructure[2045],
Infrastructure[[variable_type]:[variable_type]],"H2_outflow",
Infrastructure[[cluster]:[cluster]],$B$458,
Infrastructure[[pipe_cluster_end]:[pipe_cluster_end]],$B468)*PJ2TWh,"")</f>
        <v>0</v>
      </c>
      <c r="AB468" s="51">
        <f>IFERROR(SUMIFS(Infrastructure[2046],
Infrastructure[[variable_type]:[variable_type]],"H2_outflow",
Infrastructure[[cluster]:[cluster]],$B$458,
Infrastructure[[pipe_cluster_end]:[pipe_cluster_end]],$B468)*PJ2TWh,"")</f>
        <v>0</v>
      </c>
      <c r="AC468" s="51">
        <f>IFERROR(SUMIFS(Infrastructure[2047],
Infrastructure[[variable_type]:[variable_type]],"H2_outflow",
Infrastructure[[cluster]:[cluster]],$B$458,
Infrastructure[[pipe_cluster_end]:[pipe_cluster_end]],$B468)*PJ2TWh,"")</f>
        <v>0</v>
      </c>
      <c r="AD468" s="51">
        <f>IFERROR(SUMIFS(Infrastructure[2048],
Infrastructure[[variable_type]:[variable_type]],"H2_outflow",
Infrastructure[[cluster]:[cluster]],$B$458,
Infrastructure[[pipe_cluster_end]:[pipe_cluster_end]],$B468)*PJ2TWh,"")</f>
        <v>0</v>
      </c>
      <c r="AE468" s="51">
        <f>IFERROR(SUMIFS(Infrastructure[2049],
Infrastructure[[variable_type]:[variable_type]],"H2_outflow",
Infrastructure[[cluster]:[cluster]],$B$458,
Infrastructure[[pipe_cluster_end]:[pipe_cluster_end]],$B468)*PJ2TWh,"")</f>
        <v>0</v>
      </c>
      <c r="AF468" s="51">
        <f>IFERROR(SUMIFS(Infrastructure[2050],
Infrastructure[[variable_type]:[variable_type]],"H2_outflow",
Infrastructure[[cluster]:[cluster]],$B$458,
Infrastructure[[pipe_cluster_end]:[pipe_cluster_end]],$B468)*PJ2TWh,"")</f>
        <v>0</v>
      </c>
      <c r="AG468" s="51">
        <f>IFERROR(SUMIFS(Infrastructure[2051],
Infrastructure[[variable_type]:[variable_type]],"H2_outflow",
Infrastructure[[cluster]:[cluster]],$B$458,
Infrastructure[[pipe_cluster_end]:[pipe_cluster_end]],$B468)*PJ2TWh,"")</f>
        <v>0</v>
      </c>
    </row>
    <row r="469" spans="1:33" x14ac:dyDescent="0.45">
      <c r="A469" s="2"/>
      <c r="B469" s="6" t="s">
        <v>52</v>
      </c>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row>
    <row r="470" spans="1:33" x14ac:dyDescent="0.45">
      <c r="A470" s="2"/>
      <c r="B470" s="24" t="s">
        <v>70</v>
      </c>
      <c r="C470" s="51">
        <f>IFERROR(SUMIFS(Infrastructure[2021],
Infrastructure[[variable_type]:[variable_type]],"H2_outflow",
Infrastructure[[cluster]:[cluster]],$B$469,
Infrastructure[[pipe_cluster_end]:[pipe_cluster_end]],$B470)*PJ2TWh,"")</f>
        <v>0</v>
      </c>
      <c r="D470" s="51">
        <f>IFERROR(SUMIFS(Infrastructure[2022],
Infrastructure[[variable_type]:[variable_type]],"H2_outflow",
Infrastructure[[cluster]:[cluster]],$B$469,
Infrastructure[[pipe_cluster_end]:[pipe_cluster_end]],$B470)*PJ2TWh,"")</f>
        <v>0</v>
      </c>
      <c r="E470" s="51">
        <f>IFERROR(SUMIFS(Infrastructure[2023],
Infrastructure[[variable_type]:[variable_type]],"H2_outflow",
Infrastructure[[cluster]:[cluster]],$B$469,
Infrastructure[[pipe_cluster_end]:[pipe_cluster_end]],$B470)*PJ2TWh,"")</f>
        <v>0</v>
      </c>
      <c r="F470" s="51">
        <f>IFERROR(SUMIFS(Infrastructure[2024],
Infrastructure[[variable_type]:[variable_type]],"H2_outflow",
Infrastructure[[cluster]:[cluster]],$B$469,
Infrastructure[[pipe_cluster_end]:[pipe_cluster_end]],$B470)*PJ2TWh,"")</f>
        <v>0</v>
      </c>
      <c r="G470" s="51">
        <f>IFERROR(SUMIFS(Infrastructure[2025],
Infrastructure[[variable_type]:[variable_type]],"H2_outflow",
Infrastructure[[cluster]:[cluster]],$B$469,
Infrastructure[[pipe_cluster_end]:[pipe_cluster_end]],$B470)*PJ2TWh,"")</f>
        <v>0</v>
      </c>
      <c r="H470" s="51">
        <f>IFERROR(SUMIFS(Infrastructure[2026],
Infrastructure[[variable_type]:[variable_type]],"H2_outflow",
Infrastructure[[cluster]:[cluster]],$B$469,
Infrastructure[[pipe_cluster_end]:[pipe_cluster_end]],$B470)*PJ2TWh,"")</f>
        <v>0</v>
      </c>
      <c r="I470" s="51">
        <f>IFERROR(SUMIFS(Infrastructure[2027],
Infrastructure[[variable_type]:[variable_type]],"H2_outflow",
Infrastructure[[cluster]:[cluster]],$B$469,
Infrastructure[[pipe_cluster_end]:[pipe_cluster_end]],$B470)*PJ2TWh,"")</f>
        <v>0</v>
      </c>
      <c r="J470" s="51">
        <f>IFERROR(SUMIFS(Infrastructure[2028],
Infrastructure[[variable_type]:[variable_type]],"H2_outflow",
Infrastructure[[cluster]:[cluster]],$B$469,
Infrastructure[[pipe_cluster_end]:[pipe_cluster_end]],$B470)*PJ2TWh,"")</f>
        <v>0</v>
      </c>
      <c r="K470" s="51">
        <f>IFERROR(SUMIFS(Infrastructure[2029],
Infrastructure[[variable_type]:[variable_type]],"H2_outflow",
Infrastructure[[cluster]:[cluster]],$B$469,
Infrastructure[[pipe_cluster_end]:[pipe_cluster_end]],$B470)*PJ2TWh,"")</f>
        <v>0</v>
      </c>
      <c r="L470" s="51">
        <f>IFERROR(SUMIFS(Infrastructure[2030],
Infrastructure[[variable_type]:[variable_type]],"H2_outflow",
Infrastructure[[cluster]:[cluster]],$B$469,
Infrastructure[[pipe_cluster_end]:[pipe_cluster_end]],$B470)*PJ2TWh,"")</f>
        <v>0</v>
      </c>
      <c r="M470" s="51">
        <f>IFERROR(SUMIFS(Infrastructure[2031],
Infrastructure[[variable_type]:[variable_type]],"H2_outflow",
Infrastructure[[cluster]:[cluster]],$B$469,
Infrastructure[[pipe_cluster_end]:[pipe_cluster_end]],$B470)*PJ2TWh,"")</f>
        <v>0</v>
      </c>
      <c r="N470" s="51">
        <f>IFERROR(SUMIFS(Infrastructure[2032],
Infrastructure[[variable_type]:[variable_type]],"H2_outflow",
Infrastructure[[cluster]:[cluster]],$B$469,
Infrastructure[[pipe_cluster_end]:[pipe_cluster_end]],$B470)*PJ2TWh,"")</f>
        <v>0</v>
      </c>
      <c r="O470" s="51">
        <f>IFERROR(SUMIFS(Infrastructure[2033],
Infrastructure[[variable_type]:[variable_type]],"H2_outflow",
Infrastructure[[cluster]:[cluster]],$B$469,
Infrastructure[[pipe_cluster_end]:[pipe_cluster_end]],$B470)*PJ2TWh,"")</f>
        <v>0</v>
      </c>
      <c r="P470" s="51">
        <f>IFERROR(SUMIFS(Infrastructure[2034],
Infrastructure[[variable_type]:[variable_type]],"H2_outflow",
Infrastructure[[cluster]:[cluster]],$B$469,
Infrastructure[[pipe_cluster_end]:[pipe_cluster_end]],$B470)*PJ2TWh,"")</f>
        <v>0</v>
      </c>
      <c r="Q470" s="51">
        <f>IFERROR(SUMIFS(Infrastructure[2035],
Infrastructure[[variable_type]:[variable_type]],"H2_outflow",
Infrastructure[[cluster]:[cluster]],$B$469,
Infrastructure[[pipe_cluster_end]:[pipe_cluster_end]],$B470)*PJ2TWh,"")</f>
        <v>0</v>
      </c>
      <c r="R470" s="51">
        <f>IFERROR(SUMIFS(Infrastructure[2036],
Infrastructure[[variable_type]:[variable_type]],"H2_outflow",
Infrastructure[[cluster]:[cluster]],$B$469,
Infrastructure[[pipe_cluster_end]:[pipe_cluster_end]],$B470)*PJ2TWh,"")</f>
        <v>0</v>
      </c>
      <c r="S470" s="51">
        <f>IFERROR(SUMIFS(Infrastructure[2037],
Infrastructure[[variable_type]:[variable_type]],"H2_outflow",
Infrastructure[[cluster]:[cluster]],$B$469,
Infrastructure[[pipe_cluster_end]:[pipe_cluster_end]],$B470)*PJ2TWh,"")</f>
        <v>0</v>
      </c>
      <c r="T470" s="51">
        <f>IFERROR(SUMIFS(Infrastructure[2038],
Infrastructure[[variable_type]:[variable_type]],"H2_outflow",
Infrastructure[[cluster]:[cluster]],$B$469,
Infrastructure[[pipe_cluster_end]:[pipe_cluster_end]],$B470)*PJ2TWh,"")</f>
        <v>0</v>
      </c>
      <c r="U470" s="51">
        <f>IFERROR(SUMIFS(Infrastructure[2039],
Infrastructure[[variable_type]:[variable_type]],"H2_outflow",
Infrastructure[[cluster]:[cluster]],$B$469,
Infrastructure[[pipe_cluster_end]:[pipe_cluster_end]],$B470)*PJ2TWh,"")</f>
        <v>0</v>
      </c>
      <c r="V470" s="51">
        <f>IFERROR(SUMIFS(Infrastructure[2040],
Infrastructure[[variable_type]:[variable_type]],"H2_outflow",
Infrastructure[[cluster]:[cluster]],$B$469,
Infrastructure[[pipe_cluster_end]:[pipe_cluster_end]],$B470)*PJ2TWh,"")</f>
        <v>0</v>
      </c>
      <c r="W470" s="51">
        <f>IFERROR(SUMIFS(Infrastructure[2041],
Infrastructure[[variable_type]:[variable_type]],"H2_outflow",
Infrastructure[[cluster]:[cluster]],$B$469,
Infrastructure[[pipe_cluster_end]:[pipe_cluster_end]],$B470)*PJ2TWh,"")</f>
        <v>0</v>
      </c>
      <c r="X470" s="51">
        <f>IFERROR(SUMIFS(Infrastructure[2042],
Infrastructure[[variable_type]:[variable_type]],"H2_outflow",
Infrastructure[[cluster]:[cluster]],$B$469,
Infrastructure[[pipe_cluster_end]:[pipe_cluster_end]],$B470)*PJ2TWh,"")</f>
        <v>0</v>
      </c>
      <c r="Y470" s="51">
        <f>IFERROR(SUMIFS(Infrastructure[2043],
Infrastructure[[variable_type]:[variable_type]],"H2_outflow",
Infrastructure[[cluster]:[cluster]],$B$469,
Infrastructure[[pipe_cluster_end]:[pipe_cluster_end]],$B470)*PJ2TWh,"")</f>
        <v>0</v>
      </c>
      <c r="Z470" s="51">
        <f>IFERROR(SUMIFS(Infrastructure[2044],
Infrastructure[[variable_type]:[variable_type]],"H2_outflow",
Infrastructure[[cluster]:[cluster]],$B$469,
Infrastructure[[pipe_cluster_end]:[pipe_cluster_end]],$B470)*PJ2TWh,"")</f>
        <v>0</v>
      </c>
      <c r="AA470" s="51">
        <f>IFERROR(SUMIFS(Infrastructure[2045],
Infrastructure[[variable_type]:[variable_type]],"H2_outflow",
Infrastructure[[cluster]:[cluster]],$B$469,
Infrastructure[[pipe_cluster_end]:[pipe_cluster_end]],$B470)*PJ2TWh,"")</f>
        <v>0</v>
      </c>
      <c r="AB470" s="51">
        <f>IFERROR(SUMIFS(Infrastructure[2046],
Infrastructure[[variable_type]:[variable_type]],"H2_outflow",
Infrastructure[[cluster]:[cluster]],$B$469,
Infrastructure[[pipe_cluster_end]:[pipe_cluster_end]],$B470)*PJ2TWh,"")</f>
        <v>0</v>
      </c>
      <c r="AC470" s="51">
        <f>IFERROR(SUMIFS(Infrastructure[2047],
Infrastructure[[variable_type]:[variable_type]],"H2_outflow",
Infrastructure[[cluster]:[cluster]],$B$469,
Infrastructure[[pipe_cluster_end]:[pipe_cluster_end]],$B470)*PJ2TWh,"")</f>
        <v>0</v>
      </c>
      <c r="AD470" s="51">
        <f>IFERROR(SUMIFS(Infrastructure[2048],
Infrastructure[[variable_type]:[variable_type]],"H2_outflow",
Infrastructure[[cluster]:[cluster]],$B$469,
Infrastructure[[pipe_cluster_end]:[pipe_cluster_end]],$B470)*PJ2TWh,"")</f>
        <v>0</v>
      </c>
      <c r="AE470" s="51">
        <f>IFERROR(SUMIFS(Infrastructure[2049],
Infrastructure[[variable_type]:[variable_type]],"H2_outflow",
Infrastructure[[cluster]:[cluster]],$B$469,
Infrastructure[[pipe_cluster_end]:[pipe_cluster_end]],$B470)*PJ2TWh,"")</f>
        <v>0</v>
      </c>
      <c r="AF470" s="51">
        <f>IFERROR(SUMIFS(Infrastructure[2050],
Infrastructure[[variable_type]:[variable_type]],"H2_outflow",
Infrastructure[[cluster]:[cluster]],$B$469,
Infrastructure[[pipe_cluster_end]:[pipe_cluster_end]],$B470)*PJ2TWh,"")</f>
        <v>0</v>
      </c>
      <c r="AG470" s="51">
        <f>IFERROR(SUMIFS(Infrastructure[2051],
Infrastructure[[variable_type]:[variable_type]],"H2_outflow",
Infrastructure[[cluster]:[cluster]],$B$469,
Infrastructure[[pipe_cluster_end]:[pipe_cluster_end]],$B470)*PJ2TWh,"")</f>
        <v>0</v>
      </c>
    </row>
    <row r="471" spans="1:33" x14ac:dyDescent="0.45">
      <c r="A471" s="2"/>
      <c r="B471" s="24" t="s">
        <v>52</v>
      </c>
      <c r="C471" s="51">
        <f>IFERROR(SUMIFS(Infrastructure[2021],
Infrastructure[[variable_type]:[variable_type]],"H2_outflow",
Infrastructure[[cluster]:[cluster]],$B$469,
Infrastructure[[pipe_cluster_end]:[pipe_cluster_end]],$B471)*PJ2TWh,"")</f>
        <v>0</v>
      </c>
      <c r="D471" s="51">
        <f>IFERROR(SUMIFS(Infrastructure[2022],
Infrastructure[[variable_type]:[variable_type]],"H2_outflow",
Infrastructure[[cluster]:[cluster]],$B$469,
Infrastructure[[pipe_cluster_end]:[pipe_cluster_end]],$B471)*PJ2TWh,"")</f>
        <v>0</v>
      </c>
      <c r="E471" s="51">
        <f>IFERROR(SUMIFS(Infrastructure[2023],
Infrastructure[[variable_type]:[variable_type]],"H2_outflow",
Infrastructure[[cluster]:[cluster]],$B$469,
Infrastructure[[pipe_cluster_end]:[pipe_cluster_end]],$B471)*PJ2TWh,"")</f>
        <v>0</v>
      </c>
      <c r="F471" s="51">
        <f>IFERROR(SUMIFS(Infrastructure[2024],
Infrastructure[[variable_type]:[variable_type]],"H2_outflow",
Infrastructure[[cluster]:[cluster]],$B$469,
Infrastructure[[pipe_cluster_end]:[pipe_cluster_end]],$B471)*PJ2TWh,"")</f>
        <v>0</v>
      </c>
      <c r="G471" s="51">
        <f>IFERROR(SUMIFS(Infrastructure[2025],
Infrastructure[[variable_type]:[variable_type]],"H2_outflow",
Infrastructure[[cluster]:[cluster]],$B$469,
Infrastructure[[pipe_cluster_end]:[pipe_cluster_end]],$B471)*PJ2TWh,"")</f>
        <v>0</v>
      </c>
      <c r="H471" s="51">
        <f>IFERROR(SUMIFS(Infrastructure[2026],
Infrastructure[[variable_type]:[variable_type]],"H2_outflow",
Infrastructure[[cluster]:[cluster]],$B$469,
Infrastructure[[pipe_cluster_end]:[pipe_cluster_end]],$B471)*PJ2TWh,"")</f>
        <v>0</v>
      </c>
      <c r="I471" s="51">
        <f>IFERROR(SUMIFS(Infrastructure[2027],
Infrastructure[[variable_type]:[variable_type]],"H2_outflow",
Infrastructure[[cluster]:[cluster]],$B$469,
Infrastructure[[pipe_cluster_end]:[pipe_cluster_end]],$B471)*PJ2TWh,"")</f>
        <v>0</v>
      </c>
      <c r="J471" s="51">
        <f>IFERROR(SUMIFS(Infrastructure[2028],
Infrastructure[[variable_type]:[variable_type]],"H2_outflow",
Infrastructure[[cluster]:[cluster]],$B$469,
Infrastructure[[pipe_cluster_end]:[pipe_cluster_end]],$B471)*PJ2TWh,"")</f>
        <v>0</v>
      </c>
      <c r="K471" s="51">
        <f>IFERROR(SUMIFS(Infrastructure[2029],
Infrastructure[[variable_type]:[variable_type]],"H2_outflow",
Infrastructure[[cluster]:[cluster]],$B$469,
Infrastructure[[pipe_cluster_end]:[pipe_cluster_end]],$B471)*PJ2TWh,"")</f>
        <v>0</v>
      </c>
      <c r="L471" s="51">
        <f>IFERROR(SUMIFS(Infrastructure[2030],
Infrastructure[[variable_type]:[variable_type]],"H2_outflow",
Infrastructure[[cluster]:[cluster]],$B$469,
Infrastructure[[pipe_cluster_end]:[pipe_cluster_end]],$B471)*PJ2TWh,"")</f>
        <v>0</v>
      </c>
      <c r="M471" s="51">
        <f>IFERROR(SUMIFS(Infrastructure[2031],
Infrastructure[[variable_type]:[variable_type]],"H2_outflow",
Infrastructure[[cluster]:[cluster]],$B$469,
Infrastructure[[pipe_cluster_end]:[pipe_cluster_end]],$B471)*PJ2TWh,"")</f>
        <v>0</v>
      </c>
      <c r="N471" s="51">
        <f>IFERROR(SUMIFS(Infrastructure[2032],
Infrastructure[[variable_type]:[variable_type]],"H2_outflow",
Infrastructure[[cluster]:[cluster]],$B$469,
Infrastructure[[pipe_cluster_end]:[pipe_cluster_end]],$B471)*PJ2TWh,"")</f>
        <v>0</v>
      </c>
      <c r="O471" s="51">
        <f>IFERROR(SUMIFS(Infrastructure[2033],
Infrastructure[[variable_type]:[variable_type]],"H2_outflow",
Infrastructure[[cluster]:[cluster]],$B$469,
Infrastructure[[pipe_cluster_end]:[pipe_cluster_end]],$B471)*PJ2TWh,"")</f>
        <v>0</v>
      </c>
      <c r="P471" s="51">
        <f>IFERROR(SUMIFS(Infrastructure[2034],
Infrastructure[[variable_type]:[variable_type]],"H2_outflow",
Infrastructure[[cluster]:[cluster]],$B$469,
Infrastructure[[pipe_cluster_end]:[pipe_cluster_end]],$B471)*PJ2TWh,"")</f>
        <v>0</v>
      </c>
      <c r="Q471" s="51">
        <f>IFERROR(SUMIFS(Infrastructure[2035],
Infrastructure[[variable_type]:[variable_type]],"H2_outflow",
Infrastructure[[cluster]:[cluster]],$B$469,
Infrastructure[[pipe_cluster_end]:[pipe_cluster_end]],$B471)*PJ2TWh,"")</f>
        <v>0</v>
      </c>
      <c r="R471" s="51">
        <f>IFERROR(SUMIFS(Infrastructure[2036],
Infrastructure[[variable_type]:[variable_type]],"H2_outflow",
Infrastructure[[cluster]:[cluster]],$B$469,
Infrastructure[[pipe_cluster_end]:[pipe_cluster_end]],$B471)*PJ2TWh,"")</f>
        <v>0</v>
      </c>
      <c r="S471" s="51">
        <f>IFERROR(SUMIFS(Infrastructure[2037],
Infrastructure[[variable_type]:[variable_type]],"H2_outflow",
Infrastructure[[cluster]:[cluster]],$B$469,
Infrastructure[[pipe_cluster_end]:[pipe_cluster_end]],$B471)*PJ2TWh,"")</f>
        <v>0</v>
      </c>
      <c r="T471" s="51">
        <f>IFERROR(SUMIFS(Infrastructure[2038],
Infrastructure[[variable_type]:[variable_type]],"H2_outflow",
Infrastructure[[cluster]:[cluster]],$B$469,
Infrastructure[[pipe_cluster_end]:[pipe_cluster_end]],$B471)*PJ2TWh,"")</f>
        <v>0</v>
      </c>
      <c r="U471" s="51">
        <f>IFERROR(SUMIFS(Infrastructure[2039],
Infrastructure[[variable_type]:[variable_type]],"H2_outflow",
Infrastructure[[cluster]:[cluster]],$B$469,
Infrastructure[[pipe_cluster_end]:[pipe_cluster_end]],$B471)*PJ2TWh,"")</f>
        <v>0</v>
      </c>
      <c r="V471" s="51">
        <f>IFERROR(SUMIFS(Infrastructure[2040],
Infrastructure[[variable_type]:[variable_type]],"H2_outflow",
Infrastructure[[cluster]:[cluster]],$B$469,
Infrastructure[[pipe_cluster_end]:[pipe_cluster_end]],$B471)*PJ2TWh,"")</f>
        <v>0</v>
      </c>
      <c r="W471" s="51">
        <f>IFERROR(SUMIFS(Infrastructure[2041],
Infrastructure[[variable_type]:[variable_type]],"H2_outflow",
Infrastructure[[cluster]:[cluster]],$B$469,
Infrastructure[[pipe_cluster_end]:[pipe_cluster_end]],$B471)*PJ2TWh,"")</f>
        <v>0</v>
      </c>
      <c r="X471" s="51">
        <f>IFERROR(SUMIFS(Infrastructure[2042],
Infrastructure[[variable_type]:[variable_type]],"H2_outflow",
Infrastructure[[cluster]:[cluster]],$B$469,
Infrastructure[[pipe_cluster_end]:[pipe_cluster_end]],$B471)*PJ2TWh,"")</f>
        <v>0</v>
      </c>
      <c r="Y471" s="51">
        <f>IFERROR(SUMIFS(Infrastructure[2043],
Infrastructure[[variable_type]:[variable_type]],"H2_outflow",
Infrastructure[[cluster]:[cluster]],$B$469,
Infrastructure[[pipe_cluster_end]:[pipe_cluster_end]],$B471)*PJ2TWh,"")</f>
        <v>0</v>
      </c>
      <c r="Z471" s="51">
        <f>IFERROR(SUMIFS(Infrastructure[2044],
Infrastructure[[variable_type]:[variable_type]],"H2_outflow",
Infrastructure[[cluster]:[cluster]],$B$469,
Infrastructure[[pipe_cluster_end]:[pipe_cluster_end]],$B471)*PJ2TWh,"")</f>
        <v>0</v>
      </c>
      <c r="AA471" s="51">
        <f>IFERROR(SUMIFS(Infrastructure[2045],
Infrastructure[[variable_type]:[variable_type]],"H2_outflow",
Infrastructure[[cluster]:[cluster]],$B$469,
Infrastructure[[pipe_cluster_end]:[pipe_cluster_end]],$B471)*PJ2TWh,"")</f>
        <v>0</v>
      </c>
      <c r="AB471" s="51">
        <f>IFERROR(SUMIFS(Infrastructure[2046],
Infrastructure[[variable_type]:[variable_type]],"H2_outflow",
Infrastructure[[cluster]:[cluster]],$B$469,
Infrastructure[[pipe_cluster_end]:[pipe_cluster_end]],$B471)*PJ2TWh,"")</f>
        <v>0</v>
      </c>
      <c r="AC471" s="51">
        <f>IFERROR(SUMIFS(Infrastructure[2047],
Infrastructure[[variable_type]:[variable_type]],"H2_outflow",
Infrastructure[[cluster]:[cluster]],$B$469,
Infrastructure[[pipe_cluster_end]:[pipe_cluster_end]],$B471)*PJ2TWh,"")</f>
        <v>0</v>
      </c>
      <c r="AD471" s="51">
        <f>IFERROR(SUMIFS(Infrastructure[2048],
Infrastructure[[variable_type]:[variable_type]],"H2_outflow",
Infrastructure[[cluster]:[cluster]],$B$469,
Infrastructure[[pipe_cluster_end]:[pipe_cluster_end]],$B471)*PJ2TWh,"")</f>
        <v>0</v>
      </c>
      <c r="AE471" s="51">
        <f>IFERROR(SUMIFS(Infrastructure[2049],
Infrastructure[[variable_type]:[variable_type]],"H2_outflow",
Infrastructure[[cluster]:[cluster]],$B$469,
Infrastructure[[pipe_cluster_end]:[pipe_cluster_end]],$B471)*PJ2TWh,"")</f>
        <v>0</v>
      </c>
      <c r="AF471" s="51">
        <f>IFERROR(SUMIFS(Infrastructure[2050],
Infrastructure[[variable_type]:[variable_type]],"H2_outflow",
Infrastructure[[cluster]:[cluster]],$B$469,
Infrastructure[[pipe_cluster_end]:[pipe_cluster_end]],$B471)*PJ2TWh,"")</f>
        <v>0</v>
      </c>
      <c r="AG471" s="51">
        <f>IFERROR(SUMIFS(Infrastructure[2051],
Infrastructure[[variable_type]:[variable_type]],"H2_outflow",
Infrastructure[[cluster]:[cluster]],$B$469,
Infrastructure[[pipe_cluster_end]:[pipe_cluster_end]],$B471)*PJ2TWh,"")</f>
        <v>0</v>
      </c>
    </row>
    <row r="472" spans="1:33" x14ac:dyDescent="0.45">
      <c r="A472" s="2"/>
      <c r="B472" s="24" t="s">
        <v>71</v>
      </c>
      <c r="C472" s="51">
        <f>IFERROR(SUMIFS(Infrastructure[2021],
Infrastructure[[variable_type]:[variable_type]],"H2_outflow",
Infrastructure[[cluster]:[cluster]],$B$469,
Infrastructure[[pipe_cluster_end]:[pipe_cluster_end]],$B472)*PJ2TWh,"")</f>
        <v>0</v>
      </c>
      <c r="D472" s="51">
        <f>IFERROR(SUMIFS(Infrastructure[2022],
Infrastructure[[variable_type]:[variable_type]],"H2_outflow",
Infrastructure[[cluster]:[cluster]],$B$469,
Infrastructure[[pipe_cluster_end]:[pipe_cluster_end]],$B472)*PJ2TWh,"")</f>
        <v>0</v>
      </c>
      <c r="E472" s="51">
        <f>IFERROR(SUMIFS(Infrastructure[2023],
Infrastructure[[variable_type]:[variable_type]],"H2_outflow",
Infrastructure[[cluster]:[cluster]],$B$469,
Infrastructure[[pipe_cluster_end]:[pipe_cluster_end]],$B472)*PJ2TWh,"")</f>
        <v>0</v>
      </c>
      <c r="F472" s="51">
        <f>IFERROR(SUMIFS(Infrastructure[2024],
Infrastructure[[variable_type]:[variable_type]],"H2_outflow",
Infrastructure[[cluster]:[cluster]],$B$469,
Infrastructure[[pipe_cluster_end]:[pipe_cluster_end]],$B472)*PJ2TWh,"")</f>
        <v>0</v>
      </c>
      <c r="G472" s="51">
        <f>IFERROR(SUMIFS(Infrastructure[2025],
Infrastructure[[variable_type]:[variable_type]],"H2_outflow",
Infrastructure[[cluster]:[cluster]],$B$469,
Infrastructure[[pipe_cluster_end]:[pipe_cluster_end]],$B472)*PJ2TWh,"")</f>
        <v>0</v>
      </c>
      <c r="H472" s="51">
        <f>IFERROR(SUMIFS(Infrastructure[2026],
Infrastructure[[variable_type]:[variable_type]],"H2_outflow",
Infrastructure[[cluster]:[cluster]],$B$469,
Infrastructure[[pipe_cluster_end]:[pipe_cluster_end]],$B472)*PJ2TWh,"")</f>
        <v>0</v>
      </c>
      <c r="I472" s="51">
        <f>IFERROR(SUMIFS(Infrastructure[2027],
Infrastructure[[variable_type]:[variable_type]],"H2_outflow",
Infrastructure[[cluster]:[cluster]],$B$469,
Infrastructure[[pipe_cluster_end]:[pipe_cluster_end]],$B472)*PJ2TWh,"")</f>
        <v>0</v>
      </c>
      <c r="J472" s="51">
        <f>IFERROR(SUMIFS(Infrastructure[2028],
Infrastructure[[variable_type]:[variable_type]],"H2_outflow",
Infrastructure[[cluster]:[cluster]],$B$469,
Infrastructure[[pipe_cluster_end]:[pipe_cluster_end]],$B472)*PJ2TWh,"")</f>
        <v>0</v>
      </c>
      <c r="K472" s="51">
        <f>IFERROR(SUMIFS(Infrastructure[2029],
Infrastructure[[variable_type]:[variable_type]],"H2_outflow",
Infrastructure[[cluster]:[cluster]],$B$469,
Infrastructure[[pipe_cluster_end]:[pipe_cluster_end]],$B472)*PJ2TWh,"")</f>
        <v>0</v>
      </c>
      <c r="L472" s="51">
        <f>IFERROR(SUMIFS(Infrastructure[2030],
Infrastructure[[variable_type]:[variable_type]],"H2_outflow",
Infrastructure[[cluster]:[cluster]],$B$469,
Infrastructure[[pipe_cluster_end]:[pipe_cluster_end]],$B472)*PJ2TWh,"")</f>
        <v>0</v>
      </c>
      <c r="M472" s="51">
        <f>IFERROR(SUMIFS(Infrastructure[2031],
Infrastructure[[variable_type]:[variable_type]],"H2_outflow",
Infrastructure[[cluster]:[cluster]],$B$469,
Infrastructure[[pipe_cluster_end]:[pipe_cluster_end]],$B472)*PJ2TWh,"")</f>
        <v>0</v>
      </c>
      <c r="N472" s="51">
        <f>IFERROR(SUMIFS(Infrastructure[2032],
Infrastructure[[variable_type]:[variable_type]],"H2_outflow",
Infrastructure[[cluster]:[cluster]],$B$469,
Infrastructure[[pipe_cluster_end]:[pipe_cluster_end]],$B472)*PJ2TWh,"")</f>
        <v>0</v>
      </c>
      <c r="O472" s="51">
        <f>IFERROR(SUMIFS(Infrastructure[2033],
Infrastructure[[variable_type]:[variable_type]],"H2_outflow",
Infrastructure[[cluster]:[cluster]],$B$469,
Infrastructure[[pipe_cluster_end]:[pipe_cluster_end]],$B472)*PJ2TWh,"")</f>
        <v>0</v>
      </c>
      <c r="P472" s="51">
        <f>IFERROR(SUMIFS(Infrastructure[2034],
Infrastructure[[variable_type]:[variable_type]],"H2_outflow",
Infrastructure[[cluster]:[cluster]],$B$469,
Infrastructure[[pipe_cluster_end]:[pipe_cluster_end]],$B472)*PJ2TWh,"")</f>
        <v>0</v>
      </c>
      <c r="Q472" s="51">
        <f>IFERROR(SUMIFS(Infrastructure[2035],
Infrastructure[[variable_type]:[variable_type]],"H2_outflow",
Infrastructure[[cluster]:[cluster]],$B$469,
Infrastructure[[pipe_cluster_end]:[pipe_cluster_end]],$B472)*PJ2TWh,"")</f>
        <v>0</v>
      </c>
      <c r="R472" s="51">
        <f>IFERROR(SUMIFS(Infrastructure[2036],
Infrastructure[[variable_type]:[variable_type]],"H2_outflow",
Infrastructure[[cluster]:[cluster]],$B$469,
Infrastructure[[pipe_cluster_end]:[pipe_cluster_end]],$B472)*PJ2TWh,"")</f>
        <v>0</v>
      </c>
      <c r="S472" s="51">
        <f>IFERROR(SUMIFS(Infrastructure[2037],
Infrastructure[[variable_type]:[variable_type]],"H2_outflow",
Infrastructure[[cluster]:[cluster]],$B$469,
Infrastructure[[pipe_cluster_end]:[pipe_cluster_end]],$B472)*PJ2TWh,"")</f>
        <v>0</v>
      </c>
      <c r="T472" s="51">
        <f>IFERROR(SUMIFS(Infrastructure[2038],
Infrastructure[[variable_type]:[variable_type]],"H2_outflow",
Infrastructure[[cluster]:[cluster]],$B$469,
Infrastructure[[pipe_cluster_end]:[pipe_cluster_end]],$B472)*PJ2TWh,"")</f>
        <v>0</v>
      </c>
      <c r="U472" s="51">
        <f>IFERROR(SUMIFS(Infrastructure[2039],
Infrastructure[[variable_type]:[variable_type]],"H2_outflow",
Infrastructure[[cluster]:[cluster]],$B$469,
Infrastructure[[pipe_cluster_end]:[pipe_cluster_end]],$B472)*PJ2TWh,"")</f>
        <v>0</v>
      </c>
      <c r="V472" s="51">
        <f>IFERROR(SUMIFS(Infrastructure[2040],
Infrastructure[[variable_type]:[variable_type]],"H2_outflow",
Infrastructure[[cluster]:[cluster]],$B$469,
Infrastructure[[pipe_cluster_end]:[pipe_cluster_end]],$B472)*PJ2TWh,"")</f>
        <v>0</v>
      </c>
      <c r="W472" s="51">
        <f>IFERROR(SUMIFS(Infrastructure[2041],
Infrastructure[[variable_type]:[variable_type]],"H2_outflow",
Infrastructure[[cluster]:[cluster]],$B$469,
Infrastructure[[pipe_cluster_end]:[pipe_cluster_end]],$B472)*PJ2TWh,"")</f>
        <v>0</v>
      </c>
      <c r="X472" s="51">
        <f>IFERROR(SUMIFS(Infrastructure[2042],
Infrastructure[[variable_type]:[variable_type]],"H2_outflow",
Infrastructure[[cluster]:[cluster]],$B$469,
Infrastructure[[pipe_cluster_end]:[pipe_cluster_end]],$B472)*PJ2TWh,"")</f>
        <v>0</v>
      </c>
      <c r="Y472" s="51">
        <f>IFERROR(SUMIFS(Infrastructure[2043],
Infrastructure[[variable_type]:[variable_type]],"H2_outflow",
Infrastructure[[cluster]:[cluster]],$B$469,
Infrastructure[[pipe_cluster_end]:[pipe_cluster_end]],$B472)*PJ2TWh,"")</f>
        <v>0</v>
      </c>
      <c r="Z472" s="51">
        <f>IFERROR(SUMIFS(Infrastructure[2044],
Infrastructure[[variable_type]:[variable_type]],"H2_outflow",
Infrastructure[[cluster]:[cluster]],$B$469,
Infrastructure[[pipe_cluster_end]:[pipe_cluster_end]],$B472)*PJ2TWh,"")</f>
        <v>0</v>
      </c>
      <c r="AA472" s="51">
        <f>IFERROR(SUMIFS(Infrastructure[2045],
Infrastructure[[variable_type]:[variable_type]],"H2_outflow",
Infrastructure[[cluster]:[cluster]],$B$469,
Infrastructure[[pipe_cluster_end]:[pipe_cluster_end]],$B472)*PJ2TWh,"")</f>
        <v>0</v>
      </c>
      <c r="AB472" s="51">
        <f>IFERROR(SUMIFS(Infrastructure[2046],
Infrastructure[[variable_type]:[variable_type]],"H2_outflow",
Infrastructure[[cluster]:[cluster]],$B$469,
Infrastructure[[pipe_cluster_end]:[pipe_cluster_end]],$B472)*PJ2TWh,"")</f>
        <v>0</v>
      </c>
      <c r="AC472" s="51">
        <f>IFERROR(SUMIFS(Infrastructure[2047],
Infrastructure[[variable_type]:[variable_type]],"H2_outflow",
Infrastructure[[cluster]:[cluster]],$B$469,
Infrastructure[[pipe_cluster_end]:[pipe_cluster_end]],$B472)*PJ2TWh,"")</f>
        <v>0</v>
      </c>
      <c r="AD472" s="51">
        <f>IFERROR(SUMIFS(Infrastructure[2048],
Infrastructure[[variable_type]:[variable_type]],"H2_outflow",
Infrastructure[[cluster]:[cluster]],$B$469,
Infrastructure[[pipe_cluster_end]:[pipe_cluster_end]],$B472)*PJ2TWh,"")</f>
        <v>0</v>
      </c>
      <c r="AE472" s="51">
        <f>IFERROR(SUMIFS(Infrastructure[2049],
Infrastructure[[variable_type]:[variable_type]],"H2_outflow",
Infrastructure[[cluster]:[cluster]],$B$469,
Infrastructure[[pipe_cluster_end]:[pipe_cluster_end]],$B472)*PJ2TWh,"")</f>
        <v>0</v>
      </c>
      <c r="AF472" s="51">
        <f>IFERROR(SUMIFS(Infrastructure[2050],
Infrastructure[[variable_type]:[variable_type]],"H2_outflow",
Infrastructure[[cluster]:[cluster]],$B$469,
Infrastructure[[pipe_cluster_end]:[pipe_cluster_end]],$B472)*PJ2TWh,"")</f>
        <v>0</v>
      </c>
      <c r="AG472" s="51">
        <f>IFERROR(SUMIFS(Infrastructure[2051],
Infrastructure[[variable_type]:[variable_type]],"H2_outflow",
Infrastructure[[cluster]:[cluster]],$B$469,
Infrastructure[[pipe_cluster_end]:[pipe_cluster_end]],$B472)*PJ2TWh,"")</f>
        <v>0</v>
      </c>
    </row>
    <row r="473" spans="1:33" x14ac:dyDescent="0.45">
      <c r="A473" s="2"/>
      <c r="B473" s="24" t="s">
        <v>72</v>
      </c>
      <c r="C473" s="51">
        <f>IFERROR(SUMIFS(Infrastructure[2021],
Infrastructure[[variable_type]:[variable_type]],"H2_outflow",
Infrastructure[[cluster]:[cluster]],$B$469,
Infrastructure[[pipe_cluster_end]:[pipe_cluster_end]],$B473)*PJ2TWh,"")</f>
        <v>0</v>
      </c>
      <c r="D473" s="51">
        <f>IFERROR(SUMIFS(Infrastructure[2022],
Infrastructure[[variable_type]:[variable_type]],"H2_outflow",
Infrastructure[[cluster]:[cluster]],$B$469,
Infrastructure[[pipe_cluster_end]:[pipe_cluster_end]],$B473)*PJ2TWh,"")</f>
        <v>0</v>
      </c>
      <c r="E473" s="51">
        <f>IFERROR(SUMIFS(Infrastructure[2023],
Infrastructure[[variable_type]:[variable_type]],"H2_outflow",
Infrastructure[[cluster]:[cluster]],$B$469,
Infrastructure[[pipe_cluster_end]:[pipe_cluster_end]],$B473)*PJ2TWh,"")</f>
        <v>0</v>
      </c>
      <c r="F473" s="51">
        <f>IFERROR(SUMIFS(Infrastructure[2024],
Infrastructure[[variable_type]:[variable_type]],"H2_outflow",
Infrastructure[[cluster]:[cluster]],$B$469,
Infrastructure[[pipe_cluster_end]:[pipe_cluster_end]],$B473)*PJ2TWh,"")</f>
        <v>0</v>
      </c>
      <c r="G473" s="51">
        <f>IFERROR(SUMIFS(Infrastructure[2025],
Infrastructure[[variable_type]:[variable_type]],"H2_outflow",
Infrastructure[[cluster]:[cluster]],$B$469,
Infrastructure[[pipe_cluster_end]:[pipe_cluster_end]],$B473)*PJ2TWh,"")</f>
        <v>0</v>
      </c>
      <c r="H473" s="51">
        <f>IFERROR(SUMIFS(Infrastructure[2026],
Infrastructure[[variable_type]:[variable_type]],"H2_outflow",
Infrastructure[[cluster]:[cluster]],$B$469,
Infrastructure[[pipe_cluster_end]:[pipe_cluster_end]],$B473)*PJ2TWh,"")</f>
        <v>0</v>
      </c>
      <c r="I473" s="51">
        <f>IFERROR(SUMIFS(Infrastructure[2027],
Infrastructure[[variable_type]:[variable_type]],"H2_outflow",
Infrastructure[[cluster]:[cluster]],$B$469,
Infrastructure[[pipe_cluster_end]:[pipe_cluster_end]],$B473)*PJ2TWh,"")</f>
        <v>0</v>
      </c>
      <c r="J473" s="51">
        <f>IFERROR(SUMIFS(Infrastructure[2028],
Infrastructure[[variable_type]:[variable_type]],"H2_outflow",
Infrastructure[[cluster]:[cluster]],$B$469,
Infrastructure[[pipe_cluster_end]:[pipe_cluster_end]],$B473)*PJ2TWh,"")</f>
        <v>0</v>
      </c>
      <c r="K473" s="51">
        <f>IFERROR(SUMIFS(Infrastructure[2029],
Infrastructure[[variable_type]:[variable_type]],"H2_outflow",
Infrastructure[[cluster]:[cluster]],$B$469,
Infrastructure[[pipe_cluster_end]:[pipe_cluster_end]],$B473)*PJ2TWh,"")</f>
        <v>0</v>
      </c>
      <c r="L473" s="51">
        <f>IFERROR(SUMIFS(Infrastructure[2030],
Infrastructure[[variable_type]:[variable_type]],"H2_outflow",
Infrastructure[[cluster]:[cluster]],$B$469,
Infrastructure[[pipe_cluster_end]:[pipe_cluster_end]],$B473)*PJ2TWh,"")</f>
        <v>0</v>
      </c>
      <c r="M473" s="51">
        <f>IFERROR(SUMIFS(Infrastructure[2031],
Infrastructure[[variable_type]:[variable_type]],"H2_outflow",
Infrastructure[[cluster]:[cluster]],$B$469,
Infrastructure[[pipe_cluster_end]:[pipe_cluster_end]],$B473)*PJ2TWh,"")</f>
        <v>0</v>
      </c>
      <c r="N473" s="51">
        <f>IFERROR(SUMIFS(Infrastructure[2032],
Infrastructure[[variable_type]:[variable_type]],"H2_outflow",
Infrastructure[[cluster]:[cluster]],$B$469,
Infrastructure[[pipe_cluster_end]:[pipe_cluster_end]],$B473)*PJ2TWh,"")</f>
        <v>0</v>
      </c>
      <c r="O473" s="51">
        <f>IFERROR(SUMIFS(Infrastructure[2033],
Infrastructure[[variable_type]:[variable_type]],"H2_outflow",
Infrastructure[[cluster]:[cluster]],$B$469,
Infrastructure[[pipe_cluster_end]:[pipe_cluster_end]],$B473)*PJ2TWh,"")</f>
        <v>0</v>
      </c>
      <c r="P473" s="51">
        <f>IFERROR(SUMIFS(Infrastructure[2034],
Infrastructure[[variable_type]:[variable_type]],"H2_outflow",
Infrastructure[[cluster]:[cluster]],$B$469,
Infrastructure[[pipe_cluster_end]:[pipe_cluster_end]],$B473)*PJ2TWh,"")</f>
        <v>0</v>
      </c>
      <c r="Q473" s="51">
        <f>IFERROR(SUMIFS(Infrastructure[2035],
Infrastructure[[variable_type]:[variable_type]],"H2_outflow",
Infrastructure[[cluster]:[cluster]],$B$469,
Infrastructure[[pipe_cluster_end]:[pipe_cluster_end]],$B473)*PJ2TWh,"")</f>
        <v>0</v>
      </c>
      <c r="R473" s="51">
        <f>IFERROR(SUMIFS(Infrastructure[2036],
Infrastructure[[variable_type]:[variable_type]],"H2_outflow",
Infrastructure[[cluster]:[cluster]],$B$469,
Infrastructure[[pipe_cluster_end]:[pipe_cluster_end]],$B473)*PJ2TWh,"")</f>
        <v>0</v>
      </c>
      <c r="S473" s="51">
        <f>IFERROR(SUMIFS(Infrastructure[2037],
Infrastructure[[variable_type]:[variable_type]],"H2_outflow",
Infrastructure[[cluster]:[cluster]],$B$469,
Infrastructure[[pipe_cluster_end]:[pipe_cluster_end]],$B473)*PJ2TWh,"")</f>
        <v>0</v>
      </c>
      <c r="T473" s="51">
        <f>IFERROR(SUMIFS(Infrastructure[2038],
Infrastructure[[variable_type]:[variable_type]],"H2_outflow",
Infrastructure[[cluster]:[cluster]],$B$469,
Infrastructure[[pipe_cluster_end]:[pipe_cluster_end]],$B473)*PJ2TWh,"")</f>
        <v>0</v>
      </c>
      <c r="U473" s="51">
        <f>IFERROR(SUMIFS(Infrastructure[2039],
Infrastructure[[variable_type]:[variable_type]],"H2_outflow",
Infrastructure[[cluster]:[cluster]],$B$469,
Infrastructure[[pipe_cluster_end]:[pipe_cluster_end]],$B473)*PJ2TWh,"")</f>
        <v>0</v>
      </c>
      <c r="V473" s="51">
        <f>IFERROR(SUMIFS(Infrastructure[2040],
Infrastructure[[variable_type]:[variable_type]],"H2_outflow",
Infrastructure[[cluster]:[cluster]],$B$469,
Infrastructure[[pipe_cluster_end]:[pipe_cluster_end]],$B473)*PJ2TWh,"")</f>
        <v>0</v>
      </c>
      <c r="W473" s="51">
        <f>IFERROR(SUMIFS(Infrastructure[2041],
Infrastructure[[variable_type]:[variable_type]],"H2_outflow",
Infrastructure[[cluster]:[cluster]],$B$469,
Infrastructure[[pipe_cluster_end]:[pipe_cluster_end]],$B473)*PJ2TWh,"")</f>
        <v>0</v>
      </c>
      <c r="X473" s="51">
        <f>IFERROR(SUMIFS(Infrastructure[2042],
Infrastructure[[variable_type]:[variable_type]],"H2_outflow",
Infrastructure[[cluster]:[cluster]],$B$469,
Infrastructure[[pipe_cluster_end]:[pipe_cluster_end]],$B473)*PJ2TWh,"")</f>
        <v>0</v>
      </c>
      <c r="Y473" s="51">
        <f>IFERROR(SUMIFS(Infrastructure[2043],
Infrastructure[[variable_type]:[variable_type]],"H2_outflow",
Infrastructure[[cluster]:[cluster]],$B$469,
Infrastructure[[pipe_cluster_end]:[pipe_cluster_end]],$B473)*PJ2TWh,"")</f>
        <v>0</v>
      </c>
      <c r="Z473" s="51">
        <f>IFERROR(SUMIFS(Infrastructure[2044],
Infrastructure[[variable_type]:[variable_type]],"H2_outflow",
Infrastructure[[cluster]:[cluster]],$B$469,
Infrastructure[[pipe_cluster_end]:[pipe_cluster_end]],$B473)*PJ2TWh,"")</f>
        <v>0</v>
      </c>
      <c r="AA473" s="51">
        <f>IFERROR(SUMIFS(Infrastructure[2045],
Infrastructure[[variable_type]:[variable_type]],"H2_outflow",
Infrastructure[[cluster]:[cluster]],$B$469,
Infrastructure[[pipe_cluster_end]:[pipe_cluster_end]],$B473)*PJ2TWh,"")</f>
        <v>0</v>
      </c>
      <c r="AB473" s="51">
        <f>IFERROR(SUMIFS(Infrastructure[2046],
Infrastructure[[variable_type]:[variable_type]],"H2_outflow",
Infrastructure[[cluster]:[cluster]],$B$469,
Infrastructure[[pipe_cluster_end]:[pipe_cluster_end]],$B473)*PJ2TWh,"")</f>
        <v>0</v>
      </c>
      <c r="AC473" s="51">
        <f>IFERROR(SUMIFS(Infrastructure[2047],
Infrastructure[[variable_type]:[variable_type]],"H2_outflow",
Infrastructure[[cluster]:[cluster]],$B$469,
Infrastructure[[pipe_cluster_end]:[pipe_cluster_end]],$B473)*PJ2TWh,"")</f>
        <v>0</v>
      </c>
      <c r="AD473" s="51">
        <f>IFERROR(SUMIFS(Infrastructure[2048],
Infrastructure[[variable_type]:[variable_type]],"H2_outflow",
Infrastructure[[cluster]:[cluster]],$B$469,
Infrastructure[[pipe_cluster_end]:[pipe_cluster_end]],$B473)*PJ2TWh,"")</f>
        <v>0</v>
      </c>
      <c r="AE473" s="51">
        <f>IFERROR(SUMIFS(Infrastructure[2049],
Infrastructure[[variable_type]:[variable_type]],"H2_outflow",
Infrastructure[[cluster]:[cluster]],$B$469,
Infrastructure[[pipe_cluster_end]:[pipe_cluster_end]],$B473)*PJ2TWh,"")</f>
        <v>0</v>
      </c>
      <c r="AF473" s="51">
        <f>IFERROR(SUMIFS(Infrastructure[2050],
Infrastructure[[variable_type]:[variable_type]],"H2_outflow",
Infrastructure[[cluster]:[cluster]],$B$469,
Infrastructure[[pipe_cluster_end]:[pipe_cluster_end]],$B473)*PJ2TWh,"")</f>
        <v>0</v>
      </c>
      <c r="AG473" s="51">
        <f>IFERROR(SUMIFS(Infrastructure[2051],
Infrastructure[[variable_type]:[variable_type]],"H2_outflow",
Infrastructure[[cluster]:[cluster]],$B$469,
Infrastructure[[pipe_cluster_end]:[pipe_cluster_end]],$B473)*PJ2TWh,"")</f>
        <v>0</v>
      </c>
    </row>
    <row r="474" spans="1:33" x14ac:dyDescent="0.45">
      <c r="A474" s="2"/>
      <c r="B474" s="24" t="s">
        <v>73</v>
      </c>
      <c r="C474" s="51">
        <f>IFERROR(SUMIFS(Infrastructure[2021],
Infrastructure[[variable_type]:[variable_type]],"H2_outflow",
Infrastructure[[cluster]:[cluster]],$B$469,
Infrastructure[[pipe_cluster_end]:[pipe_cluster_end]],$B474)*PJ2TWh,"")</f>
        <v>0</v>
      </c>
      <c r="D474" s="51">
        <f>IFERROR(SUMIFS(Infrastructure[2022],
Infrastructure[[variable_type]:[variable_type]],"H2_outflow",
Infrastructure[[cluster]:[cluster]],$B$469,
Infrastructure[[pipe_cluster_end]:[pipe_cluster_end]],$B474)*PJ2TWh,"")</f>
        <v>0</v>
      </c>
      <c r="E474" s="51">
        <f>IFERROR(SUMIFS(Infrastructure[2023],
Infrastructure[[variable_type]:[variable_type]],"H2_outflow",
Infrastructure[[cluster]:[cluster]],$B$469,
Infrastructure[[pipe_cluster_end]:[pipe_cluster_end]],$B474)*PJ2TWh,"")</f>
        <v>0</v>
      </c>
      <c r="F474" s="51">
        <f>IFERROR(SUMIFS(Infrastructure[2024],
Infrastructure[[variable_type]:[variable_type]],"H2_outflow",
Infrastructure[[cluster]:[cluster]],$B$469,
Infrastructure[[pipe_cluster_end]:[pipe_cluster_end]],$B474)*PJ2TWh,"")</f>
        <v>0</v>
      </c>
      <c r="G474" s="51">
        <f>IFERROR(SUMIFS(Infrastructure[2025],
Infrastructure[[variable_type]:[variable_type]],"H2_outflow",
Infrastructure[[cluster]:[cluster]],$B$469,
Infrastructure[[pipe_cluster_end]:[pipe_cluster_end]],$B474)*PJ2TWh,"")</f>
        <v>0</v>
      </c>
      <c r="H474" s="51">
        <f>IFERROR(SUMIFS(Infrastructure[2026],
Infrastructure[[variable_type]:[variable_type]],"H2_outflow",
Infrastructure[[cluster]:[cluster]],$B$469,
Infrastructure[[pipe_cluster_end]:[pipe_cluster_end]],$B474)*PJ2TWh,"")</f>
        <v>0</v>
      </c>
      <c r="I474" s="51">
        <f>IFERROR(SUMIFS(Infrastructure[2027],
Infrastructure[[variable_type]:[variable_type]],"H2_outflow",
Infrastructure[[cluster]:[cluster]],$B$469,
Infrastructure[[pipe_cluster_end]:[pipe_cluster_end]],$B474)*PJ2TWh,"")</f>
        <v>0</v>
      </c>
      <c r="J474" s="51">
        <f>IFERROR(SUMIFS(Infrastructure[2028],
Infrastructure[[variable_type]:[variable_type]],"H2_outflow",
Infrastructure[[cluster]:[cluster]],$B$469,
Infrastructure[[pipe_cluster_end]:[pipe_cluster_end]],$B474)*PJ2TWh,"")</f>
        <v>0</v>
      </c>
      <c r="K474" s="51">
        <f>IFERROR(SUMIFS(Infrastructure[2029],
Infrastructure[[variable_type]:[variable_type]],"H2_outflow",
Infrastructure[[cluster]:[cluster]],$B$469,
Infrastructure[[pipe_cluster_end]:[pipe_cluster_end]],$B474)*PJ2TWh,"")</f>
        <v>0</v>
      </c>
      <c r="L474" s="51">
        <f>IFERROR(SUMIFS(Infrastructure[2030],
Infrastructure[[variable_type]:[variable_type]],"H2_outflow",
Infrastructure[[cluster]:[cluster]],$B$469,
Infrastructure[[pipe_cluster_end]:[pipe_cluster_end]],$B474)*PJ2TWh,"")</f>
        <v>0</v>
      </c>
      <c r="M474" s="51">
        <f>IFERROR(SUMIFS(Infrastructure[2031],
Infrastructure[[variable_type]:[variable_type]],"H2_outflow",
Infrastructure[[cluster]:[cluster]],$B$469,
Infrastructure[[pipe_cluster_end]:[pipe_cluster_end]],$B474)*PJ2TWh,"")</f>
        <v>0</v>
      </c>
      <c r="N474" s="51">
        <f>IFERROR(SUMIFS(Infrastructure[2032],
Infrastructure[[variable_type]:[variable_type]],"H2_outflow",
Infrastructure[[cluster]:[cluster]],$B$469,
Infrastructure[[pipe_cluster_end]:[pipe_cluster_end]],$B474)*PJ2TWh,"")</f>
        <v>0</v>
      </c>
      <c r="O474" s="51">
        <f>IFERROR(SUMIFS(Infrastructure[2033],
Infrastructure[[variable_type]:[variable_type]],"H2_outflow",
Infrastructure[[cluster]:[cluster]],$B$469,
Infrastructure[[pipe_cluster_end]:[pipe_cluster_end]],$B474)*PJ2TWh,"")</f>
        <v>0</v>
      </c>
      <c r="P474" s="51">
        <f>IFERROR(SUMIFS(Infrastructure[2034],
Infrastructure[[variable_type]:[variable_type]],"H2_outflow",
Infrastructure[[cluster]:[cluster]],$B$469,
Infrastructure[[pipe_cluster_end]:[pipe_cluster_end]],$B474)*PJ2TWh,"")</f>
        <v>0</v>
      </c>
      <c r="Q474" s="51">
        <f>IFERROR(SUMIFS(Infrastructure[2035],
Infrastructure[[variable_type]:[variable_type]],"H2_outflow",
Infrastructure[[cluster]:[cluster]],$B$469,
Infrastructure[[pipe_cluster_end]:[pipe_cluster_end]],$B474)*PJ2TWh,"")</f>
        <v>0</v>
      </c>
      <c r="R474" s="51">
        <f>IFERROR(SUMIFS(Infrastructure[2036],
Infrastructure[[variable_type]:[variable_type]],"H2_outflow",
Infrastructure[[cluster]:[cluster]],$B$469,
Infrastructure[[pipe_cluster_end]:[pipe_cluster_end]],$B474)*PJ2TWh,"")</f>
        <v>0</v>
      </c>
      <c r="S474" s="51">
        <f>IFERROR(SUMIFS(Infrastructure[2037],
Infrastructure[[variable_type]:[variable_type]],"H2_outflow",
Infrastructure[[cluster]:[cluster]],$B$469,
Infrastructure[[pipe_cluster_end]:[pipe_cluster_end]],$B474)*PJ2TWh,"")</f>
        <v>0</v>
      </c>
      <c r="T474" s="51">
        <f>IFERROR(SUMIFS(Infrastructure[2038],
Infrastructure[[variable_type]:[variable_type]],"H2_outflow",
Infrastructure[[cluster]:[cluster]],$B$469,
Infrastructure[[pipe_cluster_end]:[pipe_cluster_end]],$B474)*PJ2TWh,"")</f>
        <v>0</v>
      </c>
      <c r="U474" s="51">
        <f>IFERROR(SUMIFS(Infrastructure[2039],
Infrastructure[[variable_type]:[variable_type]],"H2_outflow",
Infrastructure[[cluster]:[cluster]],$B$469,
Infrastructure[[pipe_cluster_end]:[pipe_cluster_end]],$B474)*PJ2TWh,"")</f>
        <v>0</v>
      </c>
      <c r="V474" s="51">
        <f>IFERROR(SUMIFS(Infrastructure[2040],
Infrastructure[[variable_type]:[variable_type]],"H2_outflow",
Infrastructure[[cluster]:[cluster]],$B$469,
Infrastructure[[pipe_cluster_end]:[pipe_cluster_end]],$B474)*PJ2TWh,"")</f>
        <v>0</v>
      </c>
      <c r="W474" s="51">
        <f>IFERROR(SUMIFS(Infrastructure[2041],
Infrastructure[[variable_type]:[variable_type]],"H2_outflow",
Infrastructure[[cluster]:[cluster]],$B$469,
Infrastructure[[pipe_cluster_end]:[pipe_cluster_end]],$B474)*PJ2TWh,"")</f>
        <v>0</v>
      </c>
      <c r="X474" s="51">
        <f>IFERROR(SUMIFS(Infrastructure[2042],
Infrastructure[[variable_type]:[variable_type]],"H2_outflow",
Infrastructure[[cluster]:[cluster]],$B$469,
Infrastructure[[pipe_cluster_end]:[pipe_cluster_end]],$B474)*PJ2TWh,"")</f>
        <v>0</v>
      </c>
      <c r="Y474" s="51">
        <f>IFERROR(SUMIFS(Infrastructure[2043],
Infrastructure[[variable_type]:[variable_type]],"H2_outflow",
Infrastructure[[cluster]:[cluster]],$B$469,
Infrastructure[[pipe_cluster_end]:[pipe_cluster_end]],$B474)*PJ2TWh,"")</f>
        <v>0</v>
      </c>
      <c r="Z474" s="51">
        <f>IFERROR(SUMIFS(Infrastructure[2044],
Infrastructure[[variable_type]:[variable_type]],"H2_outflow",
Infrastructure[[cluster]:[cluster]],$B$469,
Infrastructure[[pipe_cluster_end]:[pipe_cluster_end]],$B474)*PJ2TWh,"")</f>
        <v>0</v>
      </c>
      <c r="AA474" s="51">
        <f>IFERROR(SUMIFS(Infrastructure[2045],
Infrastructure[[variable_type]:[variable_type]],"H2_outflow",
Infrastructure[[cluster]:[cluster]],$B$469,
Infrastructure[[pipe_cluster_end]:[pipe_cluster_end]],$B474)*PJ2TWh,"")</f>
        <v>0</v>
      </c>
      <c r="AB474" s="51">
        <f>IFERROR(SUMIFS(Infrastructure[2046],
Infrastructure[[variable_type]:[variable_type]],"H2_outflow",
Infrastructure[[cluster]:[cluster]],$B$469,
Infrastructure[[pipe_cluster_end]:[pipe_cluster_end]],$B474)*PJ2TWh,"")</f>
        <v>0</v>
      </c>
      <c r="AC474" s="51">
        <f>IFERROR(SUMIFS(Infrastructure[2047],
Infrastructure[[variable_type]:[variable_type]],"H2_outflow",
Infrastructure[[cluster]:[cluster]],$B$469,
Infrastructure[[pipe_cluster_end]:[pipe_cluster_end]],$B474)*PJ2TWh,"")</f>
        <v>0</v>
      </c>
      <c r="AD474" s="51">
        <f>IFERROR(SUMIFS(Infrastructure[2048],
Infrastructure[[variable_type]:[variable_type]],"H2_outflow",
Infrastructure[[cluster]:[cluster]],$B$469,
Infrastructure[[pipe_cluster_end]:[pipe_cluster_end]],$B474)*PJ2TWh,"")</f>
        <v>0</v>
      </c>
      <c r="AE474" s="51">
        <f>IFERROR(SUMIFS(Infrastructure[2049],
Infrastructure[[variable_type]:[variable_type]],"H2_outflow",
Infrastructure[[cluster]:[cluster]],$B$469,
Infrastructure[[pipe_cluster_end]:[pipe_cluster_end]],$B474)*PJ2TWh,"")</f>
        <v>0</v>
      </c>
      <c r="AF474" s="51">
        <f>IFERROR(SUMIFS(Infrastructure[2050],
Infrastructure[[variable_type]:[variable_type]],"H2_outflow",
Infrastructure[[cluster]:[cluster]],$B$469,
Infrastructure[[pipe_cluster_end]:[pipe_cluster_end]],$B474)*PJ2TWh,"")</f>
        <v>0</v>
      </c>
      <c r="AG474" s="51">
        <f>IFERROR(SUMIFS(Infrastructure[2051],
Infrastructure[[variable_type]:[variable_type]],"H2_outflow",
Infrastructure[[cluster]:[cluster]],$B$469,
Infrastructure[[pipe_cluster_end]:[pipe_cluster_end]],$B474)*PJ2TWh,"")</f>
        <v>0</v>
      </c>
    </row>
    <row r="475" spans="1:33" x14ac:dyDescent="0.45">
      <c r="A475" s="2"/>
      <c r="B475" s="24" t="s">
        <v>74</v>
      </c>
      <c r="C475" s="51">
        <f>IFERROR(SUMIFS(Infrastructure[2021],
Infrastructure[[variable_type]:[variable_type]],"H2_outflow",
Infrastructure[[cluster]:[cluster]],$B$469,
Infrastructure[[pipe_cluster_end]:[pipe_cluster_end]],$B475)*PJ2TWh,"")</f>
        <v>0</v>
      </c>
      <c r="D475" s="51">
        <f>IFERROR(SUMIFS(Infrastructure[2022],
Infrastructure[[variable_type]:[variable_type]],"H2_outflow",
Infrastructure[[cluster]:[cluster]],$B$469,
Infrastructure[[pipe_cluster_end]:[pipe_cluster_end]],$B475)*PJ2TWh,"")</f>
        <v>0</v>
      </c>
      <c r="E475" s="51">
        <f>IFERROR(SUMIFS(Infrastructure[2023],
Infrastructure[[variable_type]:[variable_type]],"H2_outflow",
Infrastructure[[cluster]:[cluster]],$B$469,
Infrastructure[[pipe_cluster_end]:[pipe_cluster_end]],$B475)*PJ2TWh,"")</f>
        <v>0</v>
      </c>
      <c r="F475" s="51">
        <f>IFERROR(SUMIFS(Infrastructure[2024],
Infrastructure[[variable_type]:[variable_type]],"H2_outflow",
Infrastructure[[cluster]:[cluster]],$B$469,
Infrastructure[[pipe_cluster_end]:[pipe_cluster_end]],$B475)*PJ2TWh,"")</f>
        <v>0</v>
      </c>
      <c r="G475" s="51">
        <f>IFERROR(SUMIFS(Infrastructure[2025],
Infrastructure[[variable_type]:[variable_type]],"H2_outflow",
Infrastructure[[cluster]:[cluster]],$B$469,
Infrastructure[[pipe_cluster_end]:[pipe_cluster_end]],$B475)*PJ2TWh,"")</f>
        <v>0</v>
      </c>
      <c r="H475" s="51">
        <f>IFERROR(SUMIFS(Infrastructure[2026],
Infrastructure[[variable_type]:[variable_type]],"H2_outflow",
Infrastructure[[cluster]:[cluster]],$B$469,
Infrastructure[[pipe_cluster_end]:[pipe_cluster_end]],$B475)*PJ2TWh,"")</f>
        <v>0</v>
      </c>
      <c r="I475" s="51">
        <f>IFERROR(SUMIFS(Infrastructure[2027],
Infrastructure[[variable_type]:[variable_type]],"H2_outflow",
Infrastructure[[cluster]:[cluster]],$B$469,
Infrastructure[[pipe_cluster_end]:[pipe_cluster_end]],$B475)*PJ2TWh,"")</f>
        <v>0</v>
      </c>
      <c r="J475" s="51">
        <f>IFERROR(SUMIFS(Infrastructure[2028],
Infrastructure[[variable_type]:[variable_type]],"H2_outflow",
Infrastructure[[cluster]:[cluster]],$B$469,
Infrastructure[[pipe_cluster_end]:[pipe_cluster_end]],$B475)*PJ2TWh,"")</f>
        <v>0</v>
      </c>
      <c r="K475" s="51">
        <f>IFERROR(SUMIFS(Infrastructure[2029],
Infrastructure[[variable_type]:[variable_type]],"H2_outflow",
Infrastructure[[cluster]:[cluster]],$B$469,
Infrastructure[[pipe_cluster_end]:[pipe_cluster_end]],$B475)*PJ2TWh,"")</f>
        <v>0</v>
      </c>
      <c r="L475" s="51">
        <f>IFERROR(SUMIFS(Infrastructure[2030],
Infrastructure[[variable_type]:[variable_type]],"H2_outflow",
Infrastructure[[cluster]:[cluster]],$B$469,
Infrastructure[[pipe_cluster_end]:[pipe_cluster_end]],$B475)*PJ2TWh,"")</f>
        <v>0</v>
      </c>
      <c r="M475" s="51">
        <f>IFERROR(SUMIFS(Infrastructure[2031],
Infrastructure[[variable_type]:[variable_type]],"H2_outflow",
Infrastructure[[cluster]:[cluster]],$B$469,
Infrastructure[[pipe_cluster_end]:[pipe_cluster_end]],$B475)*PJ2TWh,"")</f>
        <v>0</v>
      </c>
      <c r="N475" s="51">
        <f>IFERROR(SUMIFS(Infrastructure[2032],
Infrastructure[[variable_type]:[variable_type]],"H2_outflow",
Infrastructure[[cluster]:[cluster]],$B$469,
Infrastructure[[pipe_cluster_end]:[pipe_cluster_end]],$B475)*PJ2TWh,"")</f>
        <v>0</v>
      </c>
      <c r="O475" s="51">
        <f>IFERROR(SUMIFS(Infrastructure[2033],
Infrastructure[[variable_type]:[variable_type]],"H2_outflow",
Infrastructure[[cluster]:[cluster]],$B$469,
Infrastructure[[pipe_cluster_end]:[pipe_cluster_end]],$B475)*PJ2TWh,"")</f>
        <v>0</v>
      </c>
      <c r="P475" s="51">
        <f>IFERROR(SUMIFS(Infrastructure[2034],
Infrastructure[[variable_type]:[variable_type]],"H2_outflow",
Infrastructure[[cluster]:[cluster]],$B$469,
Infrastructure[[pipe_cluster_end]:[pipe_cluster_end]],$B475)*PJ2TWh,"")</f>
        <v>0</v>
      </c>
      <c r="Q475" s="51">
        <f>IFERROR(SUMIFS(Infrastructure[2035],
Infrastructure[[variable_type]:[variable_type]],"H2_outflow",
Infrastructure[[cluster]:[cluster]],$B$469,
Infrastructure[[pipe_cluster_end]:[pipe_cluster_end]],$B475)*PJ2TWh,"")</f>
        <v>0</v>
      </c>
      <c r="R475" s="51">
        <f>IFERROR(SUMIFS(Infrastructure[2036],
Infrastructure[[variable_type]:[variable_type]],"H2_outflow",
Infrastructure[[cluster]:[cluster]],$B$469,
Infrastructure[[pipe_cluster_end]:[pipe_cluster_end]],$B475)*PJ2TWh,"")</f>
        <v>0</v>
      </c>
      <c r="S475" s="51">
        <f>IFERROR(SUMIFS(Infrastructure[2037],
Infrastructure[[variable_type]:[variable_type]],"H2_outflow",
Infrastructure[[cluster]:[cluster]],$B$469,
Infrastructure[[pipe_cluster_end]:[pipe_cluster_end]],$B475)*PJ2TWh,"")</f>
        <v>0</v>
      </c>
      <c r="T475" s="51">
        <f>IFERROR(SUMIFS(Infrastructure[2038],
Infrastructure[[variable_type]:[variable_type]],"H2_outflow",
Infrastructure[[cluster]:[cluster]],$B$469,
Infrastructure[[pipe_cluster_end]:[pipe_cluster_end]],$B475)*PJ2TWh,"")</f>
        <v>0</v>
      </c>
      <c r="U475" s="51">
        <f>IFERROR(SUMIFS(Infrastructure[2039],
Infrastructure[[variable_type]:[variable_type]],"H2_outflow",
Infrastructure[[cluster]:[cluster]],$B$469,
Infrastructure[[pipe_cluster_end]:[pipe_cluster_end]],$B475)*PJ2TWh,"")</f>
        <v>0</v>
      </c>
      <c r="V475" s="51">
        <f>IFERROR(SUMIFS(Infrastructure[2040],
Infrastructure[[variable_type]:[variable_type]],"H2_outflow",
Infrastructure[[cluster]:[cluster]],$B$469,
Infrastructure[[pipe_cluster_end]:[pipe_cluster_end]],$B475)*PJ2TWh,"")</f>
        <v>0</v>
      </c>
      <c r="W475" s="51">
        <f>IFERROR(SUMIFS(Infrastructure[2041],
Infrastructure[[variable_type]:[variable_type]],"H2_outflow",
Infrastructure[[cluster]:[cluster]],$B$469,
Infrastructure[[pipe_cluster_end]:[pipe_cluster_end]],$B475)*PJ2TWh,"")</f>
        <v>0</v>
      </c>
      <c r="X475" s="51">
        <f>IFERROR(SUMIFS(Infrastructure[2042],
Infrastructure[[variable_type]:[variable_type]],"H2_outflow",
Infrastructure[[cluster]:[cluster]],$B$469,
Infrastructure[[pipe_cluster_end]:[pipe_cluster_end]],$B475)*PJ2TWh,"")</f>
        <v>0</v>
      </c>
      <c r="Y475" s="51">
        <f>IFERROR(SUMIFS(Infrastructure[2043],
Infrastructure[[variable_type]:[variable_type]],"H2_outflow",
Infrastructure[[cluster]:[cluster]],$B$469,
Infrastructure[[pipe_cluster_end]:[pipe_cluster_end]],$B475)*PJ2TWh,"")</f>
        <v>0</v>
      </c>
      <c r="Z475" s="51">
        <f>IFERROR(SUMIFS(Infrastructure[2044],
Infrastructure[[variable_type]:[variable_type]],"H2_outflow",
Infrastructure[[cluster]:[cluster]],$B$469,
Infrastructure[[pipe_cluster_end]:[pipe_cluster_end]],$B475)*PJ2TWh,"")</f>
        <v>0</v>
      </c>
      <c r="AA475" s="51">
        <f>IFERROR(SUMIFS(Infrastructure[2045],
Infrastructure[[variable_type]:[variable_type]],"H2_outflow",
Infrastructure[[cluster]:[cluster]],$B$469,
Infrastructure[[pipe_cluster_end]:[pipe_cluster_end]],$B475)*PJ2TWh,"")</f>
        <v>0</v>
      </c>
      <c r="AB475" s="51">
        <f>IFERROR(SUMIFS(Infrastructure[2046],
Infrastructure[[variable_type]:[variable_type]],"H2_outflow",
Infrastructure[[cluster]:[cluster]],$B$469,
Infrastructure[[pipe_cluster_end]:[pipe_cluster_end]],$B475)*PJ2TWh,"")</f>
        <v>0</v>
      </c>
      <c r="AC475" s="51">
        <f>IFERROR(SUMIFS(Infrastructure[2047],
Infrastructure[[variable_type]:[variable_type]],"H2_outflow",
Infrastructure[[cluster]:[cluster]],$B$469,
Infrastructure[[pipe_cluster_end]:[pipe_cluster_end]],$B475)*PJ2TWh,"")</f>
        <v>0</v>
      </c>
      <c r="AD475" s="51">
        <f>IFERROR(SUMIFS(Infrastructure[2048],
Infrastructure[[variable_type]:[variable_type]],"H2_outflow",
Infrastructure[[cluster]:[cluster]],$B$469,
Infrastructure[[pipe_cluster_end]:[pipe_cluster_end]],$B475)*PJ2TWh,"")</f>
        <v>0</v>
      </c>
      <c r="AE475" s="51">
        <f>IFERROR(SUMIFS(Infrastructure[2049],
Infrastructure[[variable_type]:[variable_type]],"H2_outflow",
Infrastructure[[cluster]:[cluster]],$B$469,
Infrastructure[[pipe_cluster_end]:[pipe_cluster_end]],$B475)*PJ2TWh,"")</f>
        <v>0</v>
      </c>
      <c r="AF475" s="51">
        <f>IFERROR(SUMIFS(Infrastructure[2050],
Infrastructure[[variable_type]:[variable_type]],"H2_outflow",
Infrastructure[[cluster]:[cluster]],$B$469,
Infrastructure[[pipe_cluster_end]:[pipe_cluster_end]],$B475)*PJ2TWh,"")</f>
        <v>0</v>
      </c>
      <c r="AG475" s="51">
        <f>IFERROR(SUMIFS(Infrastructure[2051],
Infrastructure[[variable_type]:[variable_type]],"H2_outflow",
Infrastructure[[cluster]:[cluster]],$B$469,
Infrastructure[[pipe_cluster_end]:[pipe_cluster_end]],$B475)*PJ2TWh,"")</f>
        <v>0</v>
      </c>
    </row>
    <row r="476" spans="1:33" x14ac:dyDescent="0.45">
      <c r="A476" s="2"/>
      <c r="B476" s="24" t="s">
        <v>75</v>
      </c>
      <c r="C476" s="51">
        <f>IFERROR(SUMIFS(Infrastructure[2021],
Infrastructure[[variable_type]:[variable_type]],"H2_outflow",
Infrastructure[[cluster]:[cluster]],$B$469,
Infrastructure[[pipe_cluster_end]:[pipe_cluster_end]],$B476)*PJ2TWh,"")</f>
        <v>0</v>
      </c>
      <c r="D476" s="51">
        <f>IFERROR(SUMIFS(Infrastructure[2022],
Infrastructure[[variable_type]:[variable_type]],"H2_outflow",
Infrastructure[[cluster]:[cluster]],$B$469,
Infrastructure[[pipe_cluster_end]:[pipe_cluster_end]],$B476)*PJ2TWh,"")</f>
        <v>0</v>
      </c>
      <c r="E476" s="51">
        <f>IFERROR(SUMIFS(Infrastructure[2023],
Infrastructure[[variable_type]:[variable_type]],"H2_outflow",
Infrastructure[[cluster]:[cluster]],$B$469,
Infrastructure[[pipe_cluster_end]:[pipe_cluster_end]],$B476)*PJ2TWh,"")</f>
        <v>0</v>
      </c>
      <c r="F476" s="51">
        <f>IFERROR(SUMIFS(Infrastructure[2024],
Infrastructure[[variable_type]:[variable_type]],"H2_outflow",
Infrastructure[[cluster]:[cluster]],$B$469,
Infrastructure[[pipe_cluster_end]:[pipe_cluster_end]],$B476)*PJ2TWh,"")</f>
        <v>0</v>
      </c>
      <c r="G476" s="51">
        <f>IFERROR(SUMIFS(Infrastructure[2025],
Infrastructure[[variable_type]:[variable_type]],"H2_outflow",
Infrastructure[[cluster]:[cluster]],$B$469,
Infrastructure[[pipe_cluster_end]:[pipe_cluster_end]],$B476)*PJ2TWh,"")</f>
        <v>0</v>
      </c>
      <c r="H476" s="51">
        <f>IFERROR(SUMIFS(Infrastructure[2026],
Infrastructure[[variable_type]:[variable_type]],"H2_outflow",
Infrastructure[[cluster]:[cluster]],$B$469,
Infrastructure[[pipe_cluster_end]:[pipe_cluster_end]],$B476)*PJ2TWh,"")</f>
        <v>0</v>
      </c>
      <c r="I476" s="51">
        <f>IFERROR(SUMIFS(Infrastructure[2027],
Infrastructure[[variable_type]:[variable_type]],"H2_outflow",
Infrastructure[[cluster]:[cluster]],$B$469,
Infrastructure[[pipe_cluster_end]:[pipe_cluster_end]],$B476)*PJ2TWh,"")</f>
        <v>0</v>
      </c>
      <c r="J476" s="51">
        <f>IFERROR(SUMIFS(Infrastructure[2028],
Infrastructure[[variable_type]:[variable_type]],"H2_outflow",
Infrastructure[[cluster]:[cluster]],$B$469,
Infrastructure[[pipe_cluster_end]:[pipe_cluster_end]],$B476)*PJ2TWh,"")</f>
        <v>0</v>
      </c>
      <c r="K476" s="51">
        <f>IFERROR(SUMIFS(Infrastructure[2029],
Infrastructure[[variable_type]:[variable_type]],"H2_outflow",
Infrastructure[[cluster]:[cluster]],$B$469,
Infrastructure[[pipe_cluster_end]:[pipe_cluster_end]],$B476)*PJ2TWh,"")</f>
        <v>0</v>
      </c>
      <c r="L476" s="51">
        <f>IFERROR(SUMIFS(Infrastructure[2030],
Infrastructure[[variable_type]:[variable_type]],"H2_outflow",
Infrastructure[[cluster]:[cluster]],$B$469,
Infrastructure[[pipe_cluster_end]:[pipe_cluster_end]],$B476)*PJ2TWh,"")</f>
        <v>0</v>
      </c>
      <c r="M476" s="51">
        <f>IFERROR(SUMIFS(Infrastructure[2031],
Infrastructure[[variable_type]:[variable_type]],"H2_outflow",
Infrastructure[[cluster]:[cluster]],$B$469,
Infrastructure[[pipe_cluster_end]:[pipe_cluster_end]],$B476)*PJ2TWh,"")</f>
        <v>0</v>
      </c>
      <c r="N476" s="51">
        <f>IFERROR(SUMIFS(Infrastructure[2032],
Infrastructure[[variable_type]:[variable_type]],"H2_outflow",
Infrastructure[[cluster]:[cluster]],$B$469,
Infrastructure[[pipe_cluster_end]:[pipe_cluster_end]],$B476)*PJ2TWh,"")</f>
        <v>0</v>
      </c>
      <c r="O476" s="51">
        <f>IFERROR(SUMIFS(Infrastructure[2033],
Infrastructure[[variable_type]:[variable_type]],"H2_outflow",
Infrastructure[[cluster]:[cluster]],$B$469,
Infrastructure[[pipe_cluster_end]:[pipe_cluster_end]],$B476)*PJ2TWh,"")</f>
        <v>0</v>
      </c>
      <c r="P476" s="51">
        <f>IFERROR(SUMIFS(Infrastructure[2034],
Infrastructure[[variable_type]:[variable_type]],"H2_outflow",
Infrastructure[[cluster]:[cluster]],$B$469,
Infrastructure[[pipe_cluster_end]:[pipe_cluster_end]],$B476)*PJ2TWh,"")</f>
        <v>0</v>
      </c>
      <c r="Q476" s="51">
        <f>IFERROR(SUMIFS(Infrastructure[2035],
Infrastructure[[variable_type]:[variable_type]],"H2_outflow",
Infrastructure[[cluster]:[cluster]],$B$469,
Infrastructure[[pipe_cluster_end]:[pipe_cluster_end]],$B476)*PJ2TWh,"")</f>
        <v>0</v>
      </c>
      <c r="R476" s="51">
        <f>IFERROR(SUMIFS(Infrastructure[2036],
Infrastructure[[variable_type]:[variable_type]],"H2_outflow",
Infrastructure[[cluster]:[cluster]],$B$469,
Infrastructure[[pipe_cluster_end]:[pipe_cluster_end]],$B476)*PJ2TWh,"")</f>
        <v>0</v>
      </c>
      <c r="S476" s="51">
        <f>IFERROR(SUMIFS(Infrastructure[2037],
Infrastructure[[variable_type]:[variable_type]],"H2_outflow",
Infrastructure[[cluster]:[cluster]],$B$469,
Infrastructure[[pipe_cluster_end]:[pipe_cluster_end]],$B476)*PJ2TWh,"")</f>
        <v>0</v>
      </c>
      <c r="T476" s="51">
        <f>IFERROR(SUMIFS(Infrastructure[2038],
Infrastructure[[variable_type]:[variable_type]],"H2_outflow",
Infrastructure[[cluster]:[cluster]],$B$469,
Infrastructure[[pipe_cluster_end]:[pipe_cluster_end]],$B476)*PJ2TWh,"")</f>
        <v>0</v>
      </c>
      <c r="U476" s="51">
        <f>IFERROR(SUMIFS(Infrastructure[2039],
Infrastructure[[variable_type]:[variable_type]],"H2_outflow",
Infrastructure[[cluster]:[cluster]],$B$469,
Infrastructure[[pipe_cluster_end]:[pipe_cluster_end]],$B476)*PJ2TWh,"")</f>
        <v>0</v>
      </c>
      <c r="V476" s="51">
        <f>IFERROR(SUMIFS(Infrastructure[2040],
Infrastructure[[variable_type]:[variable_type]],"H2_outflow",
Infrastructure[[cluster]:[cluster]],$B$469,
Infrastructure[[pipe_cluster_end]:[pipe_cluster_end]],$B476)*PJ2TWh,"")</f>
        <v>0</v>
      </c>
      <c r="W476" s="51">
        <f>IFERROR(SUMIFS(Infrastructure[2041],
Infrastructure[[variable_type]:[variable_type]],"H2_outflow",
Infrastructure[[cluster]:[cluster]],$B$469,
Infrastructure[[pipe_cluster_end]:[pipe_cluster_end]],$B476)*PJ2TWh,"")</f>
        <v>0</v>
      </c>
      <c r="X476" s="51">
        <f>IFERROR(SUMIFS(Infrastructure[2042],
Infrastructure[[variable_type]:[variable_type]],"H2_outflow",
Infrastructure[[cluster]:[cluster]],$B$469,
Infrastructure[[pipe_cluster_end]:[pipe_cluster_end]],$B476)*PJ2TWh,"")</f>
        <v>0</v>
      </c>
      <c r="Y476" s="51">
        <f>IFERROR(SUMIFS(Infrastructure[2043],
Infrastructure[[variable_type]:[variable_type]],"H2_outflow",
Infrastructure[[cluster]:[cluster]],$B$469,
Infrastructure[[pipe_cluster_end]:[pipe_cluster_end]],$B476)*PJ2TWh,"")</f>
        <v>0</v>
      </c>
      <c r="Z476" s="51">
        <f>IFERROR(SUMIFS(Infrastructure[2044],
Infrastructure[[variable_type]:[variable_type]],"H2_outflow",
Infrastructure[[cluster]:[cluster]],$B$469,
Infrastructure[[pipe_cluster_end]:[pipe_cluster_end]],$B476)*PJ2TWh,"")</f>
        <v>0</v>
      </c>
      <c r="AA476" s="51">
        <f>IFERROR(SUMIFS(Infrastructure[2045],
Infrastructure[[variable_type]:[variable_type]],"H2_outflow",
Infrastructure[[cluster]:[cluster]],$B$469,
Infrastructure[[pipe_cluster_end]:[pipe_cluster_end]],$B476)*PJ2TWh,"")</f>
        <v>0</v>
      </c>
      <c r="AB476" s="51">
        <f>IFERROR(SUMIFS(Infrastructure[2046],
Infrastructure[[variable_type]:[variable_type]],"H2_outflow",
Infrastructure[[cluster]:[cluster]],$B$469,
Infrastructure[[pipe_cluster_end]:[pipe_cluster_end]],$B476)*PJ2TWh,"")</f>
        <v>0</v>
      </c>
      <c r="AC476" s="51">
        <f>IFERROR(SUMIFS(Infrastructure[2047],
Infrastructure[[variable_type]:[variable_type]],"H2_outflow",
Infrastructure[[cluster]:[cluster]],$B$469,
Infrastructure[[pipe_cluster_end]:[pipe_cluster_end]],$B476)*PJ2TWh,"")</f>
        <v>0</v>
      </c>
      <c r="AD476" s="51">
        <f>IFERROR(SUMIFS(Infrastructure[2048],
Infrastructure[[variable_type]:[variable_type]],"H2_outflow",
Infrastructure[[cluster]:[cluster]],$B$469,
Infrastructure[[pipe_cluster_end]:[pipe_cluster_end]],$B476)*PJ2TWh,"")</f>
        <v>0</v>
      </c>
      <c r="AE476" s="51">
        <f>IFERROR(SUMIFS(Infrastructure[2049],
Infrastructure[[variable_type]:[variable_type]],"H2_outflow",
Infrastructure[[cluster]:[cluster]],$B$469,
Infrastructure[[pipe_cluster_end]:[pipe_cluster_end]],$B476)*PJ2TWh,"")</f>
        <v>0</v>
      </c>
      <c r="AF476" s="51">
        <f>IFERROR(SUMIFS(Infrastructure[2050],
Infrastructure[[variable_type]:[variable_type]],"H2_outflow",
Infrastructure[[cluster]:[cluster]],$B$469,
Infrastructure[[pipe_cluster_end]:[pipe_cluster_end]],$B476)*PJ2TWh,"")</f>
        <v>0</v>
      </c>
      <c r="AG476" s="51">
        <f>IFERROR(SUMIFS(Infrastructure[2051],
Infrastructure[[variable_type]:[variable_type]],"H2_outflow",
Infrastructure[[cluster]:[cluster]],$B$469,
Infrastructure[[pipe_cluster_end]:[pipe_cluster_end]],$B476)*PJ2TWh,"")</f>
        <v>0</v>
      </c>
    </row>
    <row r="477" spans="1:33" x14ac:dyDescent="0.45">
      <c r="A477" s="2"/>
      <c r="B477" s="24" t="s">
        <v>76</v>
      </c>
      <c r="C477" s="51">
        <f>IFERROR(SUMIFS(Infrastructure[2021],
Infrastructure[[variable_type]:[variable_type]],"H2_outflow",
Infrastructure[[cluster]:[cluster]],$B$469,
Infrastructure[[pipe_cluster_end]:[pipe_cluster_end]],$B477)*PJ2TWh,"")</f>
        <v>0</v>
      </c>
      <c r="D477" s="51">
        <f>IFERROR(SUMIFS(Infrastructure[2022],
Infrastructure[[variable_type]:[variable_type]],"H2_outflow",
Infrastructure[[cluster]:[cluster]],$B$469,
Infrastructure[[pipe_cluster_end]:[pipe_cluster_end]],$B477)*PJ2TWh,"")</f>
        <v>0</v>
      </c>
      <c r="E477" s="51">
        <f>IFERROR(SUMIFS(Infrastructure[2023],
Infrastructure[[variable_type]:[variable_type]],"H2_outflow",
Infrastructure[[cluster]:[cluster]],$B$469,
Infrastructure[[pipe_cluster_end]:[pipe_cluster_end]],$B477)*PJ2TWh,"")</f>
        <v>0</v>
      </c>
      <c r="F477" s="51">
        <f>IFERROR(SUMIFS(Infrastructure[2024],
Infrastructure[[variable_type]:[variable_type]],"H2_outflow",
Infrastructure[[cluster]:[cluster]],$B$469,
Infrastructure[[pipe_cluster_end]:[pipe_cluster_end]],$B477)*PJ2TWh,"")</f>
        <v>0</v>
      </c>
      <c r="G477" s="51">
        <f>IFERROR(SUMIFS(Infrastructure[2025],
Infrastructure[[variable_type]:[variable_type]],"H2_outflow",
Infrastructure[[cluster]:[cluster]],$B$469,
Infrastructure[[pipe_cluster_end]:[pipe_cluster_end]],$B477)*PJ2TWh,"")</f>
        <v>0</v>
      </c>
      <c r="H477" s="51">
        <f>IFERROR(SUMIFS(Infrastructure[2026],
Infrastructure[[variable_type]:[variable_type]],"H2_outflow",
Infrastructure[[cluster]:[cluster]],$B$469,
Infrastructure[[pipe_cluster_end]:[pipe_cluster_end]],$B477)*PJ2TWh,"")</f>
        <v>0</v>
      </c>
      <c r="I477" s="51">
        <f>IFERROR(SUMIFS(Infrastructure[2027],
Infrastructure[[variable_type]:[variable_type]],"H2_outflow",
Infrastructure[[cluster]:[cluster]],$B$469,
Infrastructure[[pipe_cluster_end]:[pipe_cluster_end]],$B477)*PJ2TWh,"")</f>
        <v>0</v>
      </c>
      <c r="J477" s="51">
        <f>IFERROR(SUMIFS(Infrastructure[2028],
Infrastructure[[variable_type]:[variable_type]],"H2_outflow",
Infrastructure[[cluster]:[cluster]],$B$469,
Infrastructure[[pipe_cluster_end]:[pipe_cluster_end]],$B477)*PJ2TWh,"")</f>
        <v>0</v>
      </c>
      <c r="K477" s="51">
        <f>IFERROR(SUMIFS(Infrastructure[2029],
Infrastructure[[variable_type]:[variable_type]],"H2_outflow",
Infrastructure[[cluster]:[cluster]],$B$469,
Infrastructure[[pipe_cluster_end]:[pipe_cluster_end]],$B477)*PJ2TWh,"")</f>
        <v>0</v>
      </c>
      <c r="L477" s="51">
        <f>IFERROR(SUMIFS(Infrastructure[2030],
Infrastructure[[variable_type]:[variable_type]],"H2_outflow",
Infrastructure[[cluster]:[cluster]],$B$469,
Infrastructure[[pipe_cluster_end]:[pipe_cluster_end]],$B477)*PJ2TWh,"")</f>
        <v>0</v>
      </c>
      <c r="M477" s="51">
        <f>IFERROR(SUMIFS(Infrastructure[2031],
Infrastructure[[variable_type]:[variable_type]],"H2_outflow",
Infrastructure[[cluster]:[cluster]],$B$469,
Infrastructure[[pipe_cluster_end]:[pipe_cluster_end]],$B477)*PJ2TWh,"")</f>
        <v>0</v>
      </c>
      <c r="N477" s="51">
        <f>IFERROR(SUMIFS(Infrastructure[2032],
Infrastructure[[variable_type]:[variable_type]],"H2_outflow",
Infrastructure[[cluster]:[cluster]],$B$469,
Infrastructure[[pipe_cluster_end]:[pipe_cluster_end]],$B477)*PJ2TWh,"")</f>
        <v>0</v>
      </c>
      <c r="O477" s="51">
        <f>IFERROR(SUMIFS(Infrastructure[2033],
Infrastructure[[variable_type]:[variable_type]],"H2_outflow",
Infrastructure[[cluster]:[cluster]],$B$469,
Infrastructure[[pipe_cluster_end]:[pipe_cluster_end]],$B477)*PJ2TWh,"")</f>
        <v>0</v>
      </c>
      <c r="P477" s="51">
        <f>IFERROR(SUMIFS(Infrastructure[2034],
Infrastructure[[variable_type]:[variable_type]],"H2_outflow",
Infrastructure[[cluster]:[cluster]],$B$469,
Infrastructure[[pipe_cluster_end]:[pipe_cluster_end]],$B477)*PJ2TWh,"")</f>
        <v>0</v>
      </c>
      <c r="Q477" s="51">
        <f>IFERROR(SUMIFS(Infrastructure[2035],
Infrastructure[[variable_type]:[variable_type]],"H2_outflow",
Infrastructure[[cluster]:[cluster]],$B$469,
Infrastructure[[pipe_cluster_end]:[pipe_cluster_end]],$B477)*PJ2TWh,"")</f>
        <v>0</v>
      </c>
      <c r="R477" s="51">
        <f>IFERROR(SUMIFS(Infrastructure[2036],
Infrastructure[[variable_type]:[variable_type]],"H2_outflow",
Infrastructure[[cluster]:[cluster]],$B$469,
Infrastructure[[pipe_cluster_end]:[pipe_cluster_end]],$B477)*PJ2TWh,"")</f>
        <v>0</v>
      </c>
      <c r="S477" s="51">
        <f>IFERROR(SUMIFS(Infrastructure[2037],
Infrastructure[[variable_type]:[variable_type]],"H2_outflow",
Infrastructure[[cluster]:[cluster]],$B$469,
Infrastructure[[pipe_cluster_end]:[pipe_cluster_end]],$B477)*PJ2TWh,"")</f>
        <v>0</v>
      </c>
      <c r="T477" s="51">
        <f>IFERROR(SUMIFS(Infrastructure[2038],
Infrastructure[[variable_type]:[variable_type]],"H2_outflow",
Infrastructure[[cluster]:[cluster]],$B$469,
Infrastructure[[pipe_cluster_end]:[pipe_cluster_end]],$B477)*PJ2TWh,"")</f>
        <v>0</v>
      </c>
      <c r="U477" s="51">
        <f>IFERROR(SUMIFS(Infrastructure[2039],
Infrastructure[[variable_type]:[variable_type]],"H2_outflow",
Infrastructure[[cluster]:[cluster]],$B$469,
Infrastructure[[pipe_cluster_end]:[pipe_cluster_end]],$B477)*PJ2TWh,"")</f>
        <v>0</v>
      </c>
      <c r="V477" s="51">
        <f>IFERROR(SUMIFS(Infrastructure[2040],
Infrastructure[[variable_type]:[variable_type]],"H2_outflow",
Infrastructure[[cluster]:[cluster]],$B$469,
Infrastructure[[pipe_cluster_end]:[pipe_cluster_end]],$B477)*PJ2TWh,"")</f>
        <v>0</v>
      </c>
      <c r="W477" s="51">
        <f>IFERROR(SUMIFS(Infrastructure[2041],
Infrastructure[[variable_type]:[variable_type]],"H2_outflow",
Infrastructure[[cluster]:[cluster]],$B$469,
Infrastructure[[pipe_cluster_end]:[pipe_cluster_end]],$B477)*PJ2TWh,"")</f>
        <v>0</v>
      </c>
      <c r="X477" s="51">
        <f>IFERROR(SUMIFS(Infrastructure[2042],
Infrastructure[[variable_type]:[variable_type]],"H2_outflow",
Infrastructure[[cluster]:[cluster]],$B$469,
Infrastructure[[pipe_cluster_end]:[pipe_cluster_end]],$B477)*PJ2TWh,"")</f>
        <v>0</v>
      </c>
      <c r="Y477" s="51">
        <f>IFERROR(SUMIFS(Infrastructure[2043],
Infrastructure[[variable_type]:[variable_type]],"H2_outflow",
Infrastructure[[cluster]:[cluster]],$B$469,
Infrastructure[[pipe_cluster_end]:[pipe_cluster_end]],$B477)*PJ2TWh,"")</f>
        <v>0</v>
      </c>
      <c r="Z477" s="51">
        <f>IFERROR(SUMIFS(Infrastructure[2044],
Infrastructure[[variable_type]:[variable_type]],"H2_outflow",
Infrastructure[[cluster]:[cluster]],$B$469,
Infrastructure[[pipe_cluster_end]:[pipe_cluster_end]],$B477)*PJ2TWh,"")</f>
        <v>0</v>
      </c>
      <c r="AA477" s="51">
        <f>IFERROR(SUMIFS(Infrastructure[2045],
Infrastructure[[variable_type]:[variable_type]],"H2_outflow",
Infrastructure[[cluster]:[cluster]],$B$469,
Infrastructure[[pipe_cluster_end]:[pipe_cluster_end]],$B477)*PJ2TWh,"")</f>
        <v>0</v>
      </c>
      <c r="AB477" s="51">
        <f>IFERROR(SUMIFS(Infrastructure[2046],
Infrastructure[[variable_type]:[variable_type]],"H2_outflow",
Infrastructure[[cluster]:[cluster]],$B$469,
Infrastructure[[pipe_cluster_end]:[pipe_cluster_end]],$B477)*PJ2TWh,"")</f>
        <v>0</v>
      </c>
      <c r="AC477" s="51">
        <f>IFERROR(SUMIFS(Infrastructure[2047],
Infrastructure[[variable_type]:[variable_type]],"H2_outflow",
Infrastructure[[cluster]:[cluster]],$B$469,
Infrastructure[[pipe_cluster_end]:[pipe_cluster_end]],$B477)*PJ2TWh,"")</f>
        <v>0</v>
      </c>
      <c r="AD477" s="51">
        <f>IFERROR(SUMIFS(Infrastructure[2048],
Infrastructure[[variable_type]:[variable_type]],"H2_outflow",
Infrastructure[[cluster]:[cluster]],$B$469,
Infrastructure[[pipe_cluster_end]:[pipe_cluster_end]],$B477)*PJ2TWh,"")</f>
        <v>0</v>
      </c>
      <c r="AE477" s="51">
        <f>IFERROR(SUMIFS(Infrastructure[2049],
Infrastructure[[variable_type]:[variable_type]],"H2_outflow",
Infrastructure[[cluster]:[cluster]],$B$469,
Infrastructure[[pipe_cluster_end]:[pipe_cluster_end]],$B477)*PJ2TWh,"")</f>
        <v>0</v>
      </c>
      <c r="AF477" s="51">
        <f>IFERROR(SUMIFS(Infrastructure[2050],
Infrastructure[[variable_type]:[variable_type]],"H2_outflow",
Infrastructure[[cluster]:[cluster]],$B$469,
Infrastructure[[pipe_cluster_end]:[pipe_cluster_end]],$B477)*PJ2TWh,"")</f>
        <v>0</v>
      </c>
      <c r="AG477" s="51">
        <f>IFERROR(SUMIFS(Infrastructure[2051],
Infrastructure[[variable_type]:[variable_type]],"H2_outflow",
Infrastructure[[cluster]:[cluster]],$B$469,
Infrastructure[[pipe_cluster_end]:[pipe_cluster_end]],$B477)*PJ2TWh,"")</f>
        <v>0</v>
      </c>
    </row>
    <row r="478" spans="1:33" x14ac:dyDescent="0.45">
      <c r="A478" s="2"/>
      <c r="B478" s="24" t="s">
        <v>77</v>
      </c>
      <c r="C478" s="51">
        <f>IFERROR(SUMIFS(Infrastructure[2021],
Infrastructure[[variable_type]:[variable_type]],"H2_outflow",
Infrastructure[[cluster]:[cluster]],$B$469,
Infrastructure[[pipe_cluster_end]:[pipe_cluster_end]],$B478)*PJ2TWh,"")</f>
        <v>0</v>
      </c>
      <c r="D478" s="51">
        <f>IFERROR(SUMIFS(Infrastructure[2022],
Infrastructure[[variable_type]:[variable_type]],"H2_outflow",
Infrastructure[[cluster]:[cluster]],$B$469,
Infrastructure[[pipe_cluster_end]:[pipe_cluster_end]],$B478)*PJ2TWh,"")</f>
        <v>0</v>
      </c>
      <c r="E478" s="51">
        <f>IFERROR(SUMIFS(Infrastructure[2023],
Infrastructure[[variable_type]:[variable_type]],"H2_outflow",
Infrastructure[[cluster]:[cluster]],$B$469,
Infrastructure[[pipe_cluster_end]:[pipe_cluster_end]],$B478)*PJ2TWh,"")</f>
        <v>0</v>
      </c>
      <c r="F478" s="51">
        <f>IFERROR(SUMIFS(Infrastructure[2024],
Infrastructure[[variable_type]:[variable_type]],"H2_outflow",
Infrastructure[[cluster]:[cluster]],$B$469,
Infrastructure[[pipe_cluster_end]:[pipe_cluster_end]],$B478)*PJ2TWh,"")</f>
        <v>0</v>
      </c>
      <c r="G478" s="51">
        <f>IFERROR(SUMIFS(Infrastructure[2025],
Infrastructure[[variable_type]:[variable_type]],"H2_outflow",
Infrastructure[[cluster]:[cluster]],$B$469,
Infrastructure[[pipe_cluster_end]:[pipe_cluster_end]],$B478)*PJ2TWh,"")</f>
        <v>0</v>
      </c>
      <c r="H478" s="51">
        <f>IFERROR(SUMIFS(Infrastructure[2026],
Infrastructure[[variable_type]:[variable_type]],"H2_outflow",
Infrastructure[[cluster]:[cluster]],$B$469,
Infrastructure[[pipe_cluster_end]:[pipe_cluster_end]],$B478)*PJ2TWh,"")</f>
        <v>0</v>
      </c>
      <c r="I478" s="51">
        <f>IFERROR(SUMIFS(Infrastructure[2027],
Infrastructure[[variable_type]:[variable_type]],"H2_outflow",
Infrastructure[[cluster]:[cluster]],$B$469,
Infrastructure[[pipe_cluster_end]:[pipe_cluster_end]],$B478)*PJ2TWh,"")</f>
        <v>0</v>
      </c>
      <c r="J478" s="51">
        <f>IFERROR(SUMIFS(Infrastructure[2028],
Infrastructure[[variable_type]:[variable_type]],"H2_outflow",
Infrastructure[[cluster]:[cluster]],$B$469,
Infrastructure[[pipe_cluster_end]:[pipe_cluster_end]],$B478)*PJ2TWh,"")</f>
        <v>0</v>
      </c>
      <c r="K478" s="51">
        <f>IFERROR(SUMIFS(Infrastructure[2029],
Infrastructure[[variable_type]:[variable_type]],"H2_outflow",
Infrastructure[[cluster]:[cluster]],$B$469,
Infrastructure[[pipe_cluster_end]:[pipe_cluster_end]],$B478)*PJ2TWh,"")</f>
        <v>0</v>
      </c>
      <c r="L478" s="51">
        <f>IFERROR(SUMIFS(Infrastructure[2030],
Infrastructure[[variable_type]:[variable_type]],"H2_outflow",
Infrastructure[[cluster]:[cluster]],$B$469,
Infrastructure[[pipe_cluster_end]:[pipe_cluster_end]],$B478)*PJ2TWh,"")</f>
        <v>0</v>
      </c>
      <c r="M478" s="51">
        <f>IFERROR(SUMIFS(Infrastructure[2031],
Infrastructure[[variable_type]:[variable_type]],"H2_outflow",
Infrastructure[[cluster]:[cluster]],$B$469,
Infrastructure[[pipe_cluster_end]:[pipe_cluster_end]],$B478)*PJ2TWh,"")</f>
        <v>0</v>
      </c>
      <c r="N478" s="51">
        <f>IFERROR(SUMIFS(Infrastructure[2032],
Infrastructure[[variable_type]:[variable_type]],"H2_outflow",
Infrastructure[[cluster]:[cluster]],$B$469,
Infrastructure[[pipe_cluster_end]:[pipe_cluster_end]],$B478)*PJ2TWh,"")</f>
        <v>0</v>
      </c>
      <c r="O478" s="51">
        <f>IFERROR(SUMIFS(Infrastructure[2033],
Infrastructure[[variable_type]:[variable_type]],"H2_outflow",
Infrastructure[[cluster]:[cluster]],$B$469,
Infrastructure[[pipe_cluster_end]:[pipe_cluster_end]],$B478)*PJ2TWh,"")</f>
        <v>0</v>
      </c>
      <c r="P478" s="51">
        <f>IFERROR(SUMIFS(Infrastructure[2034],
Infrastructure[[variable_type]:[variable_type]],"H2_outflow",
Infrastructure[[cluster]:[cluster]],$B$469,
Infrastructure[[pipe_cluster_end]:[pipe_cluster_end]],$B478)*PJ2TWh,"")</f>
        <v>0</v>
      </c>
      <c r="Q478" s="51">
        <f>IFERROR(SUMIFS(Infrastructure[2035],
Infrastructure[[variable_type]:[variable_type]],"H2_outflow",
Infrastructure[[cluster]:[cluster]],$B$469,
Infrastructure[[pipe_cluster_end]:[pipe_cluster_end]],$B478)*PJ2TWh,"")</f>
        <v>0</v>
      </c>
      <c r="R478" s="51">
        <f>IFERROR(SUMIFS(Infrastructure[2036],
Infrastructure[[variable_type]:[variable_type]],"H2_outflow",
Infrastructure[[cluster]:[cluster]],$B$469,
Infrastructure[[pipe_cluster_end]:[pipe_cluster_end]],$B478)*PJ2TWh,"")</f>
        <v>0</v>
      </c>
      <c r="S478" s="51">
        <f>IFERROR(SUMIFS(Infrastructure[2037],
Infrastructure[[variable_type]:[variable_type]],"H2_outflow",
Infrastructure[[cluster]:[cluster]],$B$469,
Infrastructure[[pipe_cluster_end]:[pipe_cluster_end]],$B478)*PJ2TWh,"")</f>
        <v>0</v>
      </c>
      <c r="T478" s="51">
        <f>IFERROR(SUMIFS(Infrastructure[2038],
Infrastructure[[variable_type]:[variable_type]],"H2_outflow",
Infrastructure[[cluster]:[cluster]],$B$469,
Infrastructure[[pipe_cluster_end]:[pipe_cluster_end]],$B478)*PJ2TWh,"")</f>
        <v>0</v>
      </c>
      <c r="U478" s="51">
        <f>IFERROR(SUMIFS(Infrastructure[2039],
Infrastructure[[variable_type]:[variable_type]],"H2_outflow",
Infrastructure[[cluster]:[cluster]],$B$469,
Infrastructure[[pipe_cluster_end]:[pipe_cluster_end]],$B478)*PJ2TWh,"")</f>
        <v>0</v>
      </c>
      <c r="V478" s="51">
        <f>IFERROR(SUMIFS(Infrastructure[2040],
Infrastructure[[variable_type]:[variable_type]],"H2_outflow",
Infrastructure[[cluster]:[cluster]],$B$469,
Infrastructure[[pipe_cluster_end]:[pipe_cluster_end]],$B478)*PJ2TWh,"")</f>
        <v>0</v>
      </c>
      <c r="W478" s="51">
        <f>IFERROR(SUMIFS(Infrastructure[2041],
Infrastructure[[variable_type]:[variable_type]],"H2_outflow",
Infrastructure[[cluster]:[cluster]],$B$469,
Infrastructure[[pipe_cluster_end]:[pipe_cluster_end]],$B478)*PJ2TWh,"")</f>
        <v>0</v>
      </c>
      <c r="X478" s="51">
        <f>IFERROR(SUMIFS(Infrastructure[2042],
Infrastructure[[variable_type]:[variable_type]],"H2_outflow",
Infrastructure[[cluster]:[cluster]],$B$469,
Infrastructure[[pipe_cluster_end]:[pipe_cluster_end]],$B478)*PJ2TWh,"")</f>
        <v>0</v>
      </c>
      <c r="Y478" s="51">
        <f>IFERROR(SUMIFS(Infrastructure[2043],
Infrastructure[[variable_type]:[variable_type]],"H2_outflow",
Infrastructure[[cluster]:[cluster]],$B$469,
Infrastructure[[pipe_cluster_end]:[pipe_cluster_end]],$B478)*PJ2TWh,"")</f>
        <v>0</v>
      </c>
      <c r="Z478" s="51">
        <f>IFERROR(SUMIFS(Infrastructure[2044],
Infrastructure[[variable_type]:[variable_type]],"H2_outflow",
Infrastructure[[cluster]:[cluster]],$B$469,
Infrastructure[[pipe_cluster_end]:[pipe_cluster_end]],$B478)*PJ2TWh,"")</f>
        <v>0</v>
      </c>
      <c r="AA478" s="51">
        <f>IFERROR(SUMIFS(Infrastructure[2045],
Infrastructure[[variable_type]:[variable_type]],"H2_outflow",
Infrastructure[[cluster]:[cluster]],$B$469,
Infrastructure[[pipe_cluster_end]:[pipe_cluster_end]],$B478)*PJ2TWh,"")</f>
        <v>0</v>
      </c>
      <c r="AB478" s="51">
        <f>IFERROR(SUMIFS(Infrastructure[2046],
Infrastructure[[variable_type]:[variable_type]],"H2_outflow",
Infrastructure[[cluster]:[cluster]],$B$469,
Infrastructure[[pipe_cluster_end]:[pipe_cluster_end]],$B478)*PJ2TWh,"")</f>
        <v>0</v>
      </c>
      <c r="AC478" s="51">
        <f>IFERROR(SUMIFS(Infrastructure[2047],
Infrastructure[[variable_type]:[variable_type]],"H2_outflow",
Infrastructure[[cluster]:[cluster]],$B$469,
Infrastructure[[pipe_cluster_end]:[pipe_cluster_end]],$B478)*PJ2TWh,"")</f>
        <v>0</v>
      </c>
      <c r="AD478" s="51">
        <f>IFERROR(SUMIFS(Infrastructure[2048],
Infrastructure[[variable_type]:[variable_type]],"H2_outflow",
Infrastructure[[cluster]:[cluster]],$B$469,
Infrastructure[[pipe_cluster_end]:[pipe_cluster_end]],$B478)*PJ2TWh,"")</f>
        <v>0</v>
      </c>
      <c r="AE478" s="51">
        <f>IFERROR(SUMIFS(Infrastructure[2049],
Infrastructure[[variable_type]:[variable_type]],"H2_outflow",
Infrastructure[[cluster]:[cluster]],$B$469,
Infrastructure[[pipe_cluster_end]:[pipe_cluster_end]],$B478)*PJ2TWh,"")</f>
        <v>0</v>
      </c>
      <c r="AF478" s="51">
        <f>IFERROR(SUMIFS(Infrastructure[2050],
Infrastructure[[variable_type]:[variable_type]],"H2_outflow",
Infrastructure[[cluster]:[cluster]],$B$469,
Infrastructure[[pipe_cluster_end]:[pipe_cluster_end]],$B478)*PJ2TWh,"")</f>
        <v>0</v>
      </c>
      <c r="AG478" s="51">
        <f>IFERROR(SUMIFS(Infrastructure[2051],
Infrastructure[[variable_type]:[variable_type]],"H2_outflow",
Infrastructure[[cluster]:[cluster]],$B$469,
Infrastructure[[pipe_cluster_end]:[pipe_cluster_end]],$B478)*PJ2TWh,"")</f>
        <v>0</v>
      </c>
    </row>
    <row r="479" spans="1:33" x14ac:dyDescent="0.45">
      <c r="A479" s="2"/>
      <c r="B479" s="24" t="s">
        <v>78</v>
      </c>
      <c r="C479" s="51">
        <f>IFERROR(SUMIFS(Infrastructure[2021],
Infrastructure[[variable_type]:[variable_type]],"H2_outflow",
Infrastructure[[cluster]:[cluster]],$B$469,
Infrastructure[[pipe_cluster_end]:[pipe_cluster_end]],$B479)*PJ2TWh,"")</f>
        <v>0</v>
      </c>
      <c r="D479" s="51">
        <f>IFERROR(SUMIFS(Infrastructure[2022],
Infrastructure[[variable_type]:[variable_type]],"H2_outflow",
Infrastructure[[cluster]:[cluster]],$B$469,
Infrastructure[[pipe_cluster_end]:[pipe_cluster_end]],$B479)*PJ2TWh,"")</f>
        <v>0</v>
      </c>
      <c r="E479" s="51">
        <f>IFERROR(SUMIFS(Infrastructure[2023],
Infrastructure[[variable_type]:[variable_type]],"H2_outflow",
Infrastructure[[cluster]:[cluster]],$B$469,
Infrastructure[[pipe_cluster_end]:[pipe_cluster_end]],$B479)*PJ2TWh,"")</f>
        <v>0</v>
      </c>
      <c r="F479" s="51">
        <f>IFERROR(SUMIFS(Infrastructure[2024],
Infrastructure[[variable_type]:[variable_type]],"H2_outflow",
Infrastructure[[cluster]:[cluster]],$B$469,
Infrastructure[[pipe_cluster_end]:[pipe_cluster_end]],$B479)*PJ2TWh,"")</f>
        <v>0</v>
      </c>
      <c r="G479" s="51">
        <f>IFERROR(SUMIFS(Infrastructure[2025],
Infrastructure[[variable_type]:[variable_type]],"H2_outflow",
Infrastructure[[cluster]:[cluster]],$B$469,
Infrastructure[[pipe_cluster_end]:[pipe_cluster_end]],$B479)*PJ2TWh,"")</f>
        <v>0</v>
      </c>
      <c r="H479" s="51">
        <f>IFERROR(SUMIFS(Infrastructure[2026],
Infrastructure[[variable_type]:[variable_type]],"H2_outflow",
Infrastructure[[cluster]:[cluster]],$B$469,
Infrastructure[[pipe_cluster_end]:[pipe_cluster_end]],$B479)*PJ2TWh,"")</f>
        <v>0</v>
      </c>
      <c r="I479" s="51">
        <f>IFERROR(SUMIFS(Infrastructure[2027],
Infrastructure[[variable_type]:[variable_type]],"H2_outflow",
Infrastructure[[cluster]:[cluster]],$B$469,
Infrastructure[[pipe_cluster_end]:[pipe_cluster_end]],$B479)*PJ2TWh,"")</f>
        <v>0</v>
      </c>
      <c r="J479" s="51">
        <f>IFERROR(SUMIFS(Infrastructure[2028],
Infrastructure[[variable_type]:[variable_type]],"H2_outflow",
Infrastructure[[cluster]:[cluster]],$B$469,
Infrastructure[[pipe_cluster_end]:[pipe_cluster_end]],$B479)*PJ2TWh,"")</f>
        <v>0</v>
      </c>
      <c r="K479" s="51">
        <f>IFERROR(SUMIFS(Infrastructure[2029],
Infrastructure[[variable_type]:[variable_type]],"H2_outflow",
Infrastructure[[cluster]:[cluster]],$B$469,
Infrastructure[[pipe_cluster_end]:[pipe_cluster_end]],$B479)*PJ2TWh,"")</f>
        <v>0</v>
      </c>
      <c r="L479" s="51">
        <f>IFERROR(SUMIFS(Infrastructure[2030],
Infrastructure[[variable_type]:[variable_type]],"H2_outflow",
Infrastructure[[cluster]:[cluster]],$B$469,
Infrastructure[[pipe_cluster_end]:[pipe_cluster_end]],$B479)*PJ2TWh,"")</f>
        <v>0</v>
      </c>
      <c r="M479" s="51">
        <f>IFERROR(SUMIFS(Infrastructure[2031],
Infrastructure[[variable_type]:[variable_type]],"H2_outflow",
Infrastructure[[cluster]:[cluster]],$B$469,
Infrastructure[[pipe_cluster_end]:[pipe_cluster_end]],$B479)*PJ2TWh,"")</f>
        <v>0</v>
      </c>
      <c r="N479" s="51">
        <f>IFERROR(SUMIFS(Infrastructure[2032],
Infrastructure[[variable_type]:[variable_type]],"H2_outflow",
Infrastructure[[cluster]:[cluster]],$B$469,
Infrastructure[[pipe_cluster_end]:[pipe_cluster_end]],$B479)*PJ2TWh,"")</f>
        <v>0</v>
      </c>
      <c r="O479" s="51">
        <f>IFERROR(SUMIFS(Infrastructure[2033],
Infrastructure[[variable_type]:[variable_type]],"H2_outflow",
Infrastructure[[cluster]:[cluster]],$B$469,
Infrastructure[[pipe_cluster_end]:[pipe_cluster_end]],$B479)*PJ2TWh,"")</f>
        <v>0</v>
      </c>
      <c r="P479" s="51">
        <f>IFERROR(SUMIFS(Infrastructure[2034],
Infrastructure[[variable_type]:[variable_type]],"H2_outflow",
Infrastructure[[cluster]:[cluster]],$B$469,
Infrastructure[[pipe_cluster_end]:[pipe_cluster_end]],$B479)*PJ2TWh,"")</f>
        <v>0</v>
      </c>
      <c r="Q479" s="51">
        <f>IFERROR(SUMIFS(Infrastructure[2035],
Infrastructure[[variable_type]:[variable_type]],"H2_outflow",
Infrastructure[[cluster]:[cluster]],$B$469,
Infrastructure[[pipe_cluster_end]:[pipe_cluster_end]],$B479)*PJ2TWh,"")</f>
        <v>0</v>
      </c>
      <c r="R479" s="51">
        <f>IFERROR(SUMIFS(Infrastructure[2036],
Infrastructure[[variable_type]:[variable_type]],"H2_outflow",
Infrastructure[[cluster]:[cluster]],$B$469,
Infrastructure[[pipe_cluster_end]:[pipe_cluster_end]],$B479)*PJ2TWh,"")</f>
        <v>0</v>
      </c>
      <c r="S479" s="51">
        <f>IFERROR(SUMIFS(Infrastructure[2037],
Infrastructure[[variable_type]:[variable_type]],"H2_outflow",
Infrastructure[[cluster]:[cluster]],$B$469,
Infrastructure[[pipe_cluster_end]:[pipe_cluster_end]],$B479)*PJ2TWh,"")</f>
        <v>0</v>
      </c>
      <c r="T479" s="51">
        <f>IFERROR(SUMIFS(Infrastructure[2038],
Infrastructure[[variable_type]:[variable_type]],"H2_outflow",
Infrastructure[[cluster]:[cluster]],$B$469,
Infrastructure[[pipe_cluster_end]:[pipe_cluster_end]],$B479)*PJ2TWh,"")</f>
        <v>0</v>
      </c>
      <c r="U479" s="51">
        <f>IFERROR(SUMIFS(Infrastructure[2039],
Infrastructure[[variable_type]:[variable_type]],"H2_outflow",
Infrastructure[[cluster]:[cluster]],$B$469,
Infrastructure[[pipe_cluster_end]:[pipe_cluster_end]],$B479)*PJ2TWh,"")</f>
        <v>0</v>
      </c>
      <c r="V479" s="51">
        <f>IFERROR(SUMIFS(Infrastructure[2040],
Infrastructure[[variable_type]:[variable_type]],"H2_outflow",
Infrastructure[[cluster]:[cluster]],$B$469,
Infrastructure[[pipe_cluster_end]:[pipe_cluster_end]],$B479)*PJ2TWh,"")</f>
        <v>0</v>
      </c>
      <c r="W479" s="51">
        <f>IFERROR(SUMIFS(Infrastructure[2041],
Infrastructure[[variable_type]:[variable_type]],"H2_outflow",
Infrastructure[[cluster]:[cluster]],$B$469,
Infrastructure[[pipe_cluster_end]:[pipe_cluster_end]],$B479)*PJ2TWh,"")</f>
        <v>0</v>
      </c>
      <c r="X479" s="51">
        <f>IFERROR(SUMIFS(Infrastructure[2042],
Infrastructure[[variable_type]:[variable_type]],"H2_outflow",
Infrastructure[[cluster]:[cluster]],$B$469,
Infrastructure[[pipe_cluster_end]:[pipe_cluster_end]],$B479)*PJ2TWh,"")</f>
        <v>0</v>
      </c>
      <c r="Y479" s="51">
        <f>IFERROR(SUMIFS(Infrastructure[2043],
Infrastructure[[variable_type]:[variable_type]],"H2_outflow",
Infrastructure[[cluster]:[cluster]],$B$469,
Infrastructure[[pipe_cluster_end]:[pipe_cluster_end]],$B479)*PJ2TWh,"")</f>
        <v>0</v>
      </c>
      <c r="Z479" s="51">
        <f>IFERROR(SUMIFS(Infrastructure[2044],
Infrastructure[[variable_type]:[variable_type]],"H2_outflow",
Infrastructure[[cluster]:[cluster]],$B$469,
Infrastructure[[pipe_cluster_end]:[pipe_cluster_end]],$B479)*PJ2TWh,"")</f>
        <v>0</v>
      </c>
      <c r="AA479" s="51">
        <f>IFERROR(SUMIFS(Infrastructure[2045],
Infrastructure[[variable_type]:[variable_type]],"H2_outflow",
Infrastructure[[cluster]:[cluster]],$B$469,
Infrastructure[[pipe_cluster_end]:[pipe_cluster_end]],$B479)*PJ2TWh,"")</f>
        <v>0</v>
      </c>
      <c r="AB479" s="51">
        <f>IFERROR(SUMIFS(Infrastructure[2046],
Infrastructure[[variable_type]:[variable_type]],"H2_outflow",
Infrastructure[[cluster]:[cluster]],$B$469,
Infrastructure[[pipe_cluster_end]:[pipe_cluster_end]],$B479)*PJ2TWh,"")</f>
        <v>0</v>
      </c>
      <c r="AC479" s="51">
        <f>IFERROR(SUMIFS(Infrastructure[2047],
Infrastructure[[variable_type]:[variable_type]],"H2_outflow",
Infrastructure[[cluster]:[cluster]],$B$469,
Infrastructure[[pipe_cluster_end]:[pipe_cluster_end]],$B479)*PJ2TWh,"")</f>
        <v>0</v>
      </c>
      <c r="AD479" s="51">
        <f>IFERROR(SUMIFS(Infrastructure[2048],
Infrastructure[[variable_type]:[variable_type]],"H2_outflow",
Infrastructure[[cluster]:[cluster]],$B$469,
Infrastructure[[pipe_cluster_end]:[pipe_cluster_end]],$B479)*PJ2TWh,"")</f>
        <v>0</v>
      </c>
      <c r="AE479" s="51">
        <f>IFERROR(SUMIFS(Infrastructure[2049],
Infrastructure[[variable_type]:[variable_type]],"H2_outflow",
Infrastructure[[cluster]:[cluster]],$B$469,
Infrastructure[[pipe_cluster_end]:[pipe_cluster_end]],$B479)*PJ2TWh,"")</f>
        <v>0</v>
      </c>
      <c r="AF479" s="51">
        <f>IFERROR(SUMIFS(Infrastructure[2050],
Infrastructure[[variable_type]:[variable_type]],"H2_outflow",
Infrastructure[[cluster]:[cluster]],$B$469,
Infrastructure[[pipe_cluster_end]:[pipe_cluster_end]],$B479)*PJ2TWh,"")</f>
        <v>0</v>
      </c>
      <c r="AG479" s="51">
        <f>IFERROR(SUMIFS(Infrastructure[2051],
Infrastructure[[variable_type]:[variable_type]],"H2_outflow",
Infrastructure[[cluster]:[cluster]],$B$469,
Infrastructure[[pipe_cluster_end]:[pipe_cluster_end]],$B479)*PJ2TWh,"")</f>
        <v>0</v>
      </c>
    </row>
    <row r="480" spans="1:33" x14ac:dyDescent="0.45">
      <c r="A480" s="2"/>
      <c r="B480" s="6" t="s">
        <v>71</v>
      </c>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row>
    <row r="481" spans="1:33" x14ac:dyDescent="0.45">
      <c r="A481" s="2"/>
      <c r="B481" s="24" t="s">
        <v>70</v>
      </c>
      <c r="C481" s="51">
        <f>IFERROR(SUMIFS(Infrastructure[2021],
Infrastructure[[variable_type]:[variable_type]],"H2_outflow",
Infrastructure[[cluster]:[cluster]],$B$480,
Infrastructure[[pipe_cluster_end]:[pipe_cluster_end]],$B481)*PJ2TWh,"")</f>
        <v>0</v>
      </c>
      <c r="D481" s="51">
        <f>IFERROR(SUMIFS(Infrastructure[2022],
Infrastructure[[variable_type]:[variable_type]],"H2_outflow",
Infrastructure[[cluster]:[cluster]],$B$480,
Infrastructure[[pipe_cluster_end]:[pipe_cluster_end]],$B481)*PJ2TWh,"")</f>
        <v>0</v>
      </c>
      <c r="E481" s="51">
        <f>IFERROR(SUMIFS(Infrastructure[2023],
Infrastructure[[variable_type]:[variable_type]],"H2_outflow",
Infrastructure[[cluster]:[cluster]],$B$480,
Infrastructure[[pipe_cluster_end]:[pipe_cluster_end]],$B481)*PJ2TWh,"")</f>
        <v>0</v>
      </c>
      <c r="F481" s="51">
        <f>IFERROR(SUMIFS(Infrastructure[2024],
Infrastructure[[variable_type]:[variable_type]],"H2_outflow",
Infrastructure[[cluster]:[cluster]],$B$480,
Infrastructure[[pipe_cluster_end]:[pipe_cluster_end]],$B481)*PJ2TWh,"")</f>
        <v>0</v>
      </c>
      <c r="G481" s="51">
        <f>IFERROR(SUMIFS(Infrastructure[2025],
Infrastructure[[variable_type]:[variable_type]],"H2_outflow",
Infrastructure[[cluster]:[cluster]],$B$480,
Infrastructure[[pipe_cluster_end]:[pipe_cluster_end]],$B481)*PJ2TWh,"")</f>
        <v>0</v>
      </c>
      <c r="H481" s="51">
        <f>IFERROR(SUMIFS(Infrastructure[2026],
Infrastructure[[variable_type]:[variable_type]],"H2_outflow",
Infrastructure[[cluster]:[cluster]],$B$480,
Infrastructure[[pipe_cluster_end]:[pipe_cluster_end]],$B481)*PJ2TWh,"")</f>
        <v>0</v>
      </c>
      <c r="I481" s="51">
        <f>IFERROR(SUMIFS(Infrastructure[2027],
Infrastructure[[variable_type]:[variable_type]],"H2_outflow",
Infrastructure[[cluster]:[cluster]],$B$480,
Infrastructure[[pipe_cluster_end]:[pipe_cluster_end]],$B481)*PJ2TWh,"")</f>
        <v>0</v>
      </c>
      <c r="J481" s="51">
        <f>IFERROR(SUMIFS(Infrastructure[2028],
Infrastructure[[variable_type]:[variable_type]],"H2_outflow",
Infrastructure[[cluster]:[cluster]],$B$480,
Infrastructure[[pipe_cluster_end]:[pipe_cluster_end]],$B481)*PJ2TWh,"")</f>
        <v>0</v>
      </c>
      <c r="K481" s="51">
        <f>IFERROR(SUMIFS(Infrastructure[2029],
Infrastructure[[variable_type]:[variable_type]],"H2_outflow",
Infrastructure[[cluster]:[cluster]],$B$480,
Infrastructure[[pipe_cluster_end]:[pipe_cluster_end]],$B481)*PJ2TWh,"")</f>
        <v>0</v>
      </c>
      <c r="L481" s="51">
        <f>IFERROR(SUMIFS(Infrastructure[2030],
Infrastructure[[variable_type]:[variable_type]],"H2_outflow",
Infrastructure[[cluster]:[cluster]],$B$480,
Infrastructure[[pipe_cluster_end]:[pipe_cluster_end]],$B481)*PJ2TWh,"")</f>
        <v>0</v>
      </c>
      <c r="M481" s="51">
        <f>IFERROR(SUMIFS(Infrastructure[2031],
Infrastructure[[variable_type]:[variable_type]],"H2_outflow",
Infrastructure[[cluster]:[cluster]],$B$480,
Infrastructure[[pipe_cluster_end]:[pipe_cluster_end]],$B481)*PJ2TWh,"")</f>
        <v>0</v>
      </c>
      <c r="N481" s="51">
        <f>IFERROR(SUMIFS(Infrastructure[2032],
Infrastructure[[variable_type]:[variable_type]],"H2_outflow",
Infrastructure[[cluster]:[cluster]],$B$480,
Infrastructure[[pipe_cluster_end]:[pipe_cluster_end]],$B481)*PJ2TWh,"")</f>
        <v>0</v>
      </c>
      <c r="O481" s="51">
        <f>IFERROR(SUMIFS(Infrastructure[2033],
Infrastructure[[variable_type]:[variable_type]],"H2_outflow",
Infrastructure[[cluster]:[cluster]],$B$480,
Infrastructure[[pipe_cluster_end]:[pipe_cluster_end]],$B481)*PJ2TWh,"")</f>
        <v>0</v>
      </c>
      <c r="P481" s="51">
        <f>IFERROR(SUMIFS(Infrastructure[2034],
Infrastructure[[variable_type]:[variable_type]],"H2_outflow",
Infrastructure[[cluster]:[cluster]],$B$480,
Infrastructure[[pipe_cluster_end]:[pipe_cluster_end]],$B481)*PJ2TWh,"")</f>
        <v>0</v>
      </c>
      <c r="Q481" s="51">
        <f>IFERROR(SUMIFS(Infrastructure[2035],
Infrastructure[[variable_type]:[variable_type]],"H2_outflow",
Infrastructure[[cluster]:[cluster]],$B$480,
Infrastructure[[pipe_cluster_end]:[pipe_cluster_end]],$B481)*PJ2TWh,"")</f>
        <v>0</v>
      </c>
      <c r="R481" s="51">
        <f>IFERROR(SUMIFS(Infrastructure[2036],
Infrastructure[[variable_type]:[variable_type]],"H2_outflow",
Infrastructure[[cluster]:[cluster]],$B$480,
Infrastructure[[pipe_cluster_end]:[pipe_cluster_end]],$B481)*PJ2TWh,"")</f>
        <v>0</v>
      </c>
      <c r="S481" s="51">
        <f>IFERROR(SUMIFS(Infrastructure[2037],
Infrastructure[[variable_type]:[variable_type]],"H2_outflow",
Infrastructure[[cluster]:[cluster]],$B$480,
Infrastructure[[pipe_cluster_end]:[pipe_cluster_end]],$B481)*PJ2TWh,"")</f>
        <v>0</v>
      </c>
      <c r="T481" s="51">
        <f>IFERROR(SUMIFS(Infrastructure[2038],
Infrastructure[[variable_type]:[variable_type]],"H2_outflow",
Infrastructure[[cluster]:[cluster]],$B$480,
Infrastructure[[pipe_cluster_end]:[pipe_cluster_end]],$B481)*PJ2TWh,"")</f>
        <v>0</v>
      </c>
      <c r="U481" s="51">
        <f>IFERROR(SUMIFS(Infrastructure[2039],
Infrastructure[[variable_type]:[variable_type]],"H2_outflow",
Infrastructure[[cluster]:[cluster]],$B$480,
Infrastructure[[pipe_cluster_end]:[pipe_cluster_end]],$B481)*PJ2TWh,"")</f>
        <v>0</v>
      </c>
      <c r="V481" s="51">
        <f>IFERROR(SUMIFS(Infrastructure[2040],
Infrastructure[[variable_type]:[variable_type]],"H2_outflow",
Infrastructure[[cluster]:[cluster]],$B$480,
Infrastructure[[pipe_cluster_end]:[pipe_cluster_end]],$B481)*PJ2TWh,"")</f>
        <v>0</v>
      </c>
      <c r="W481" s="51">
        <f>IFERROR(SUMIFS(Infrastructure[2041],
Infrastructure[[variable_type]:[variable_type]],"H2_outflow",
Infrastructure[[cluster]:[cluster]],$B$480,
Infrastructure[[pipe_cluster_end]:[pipe_cluster_end]],$B481)*PJ2TWh,"")</f>
        <v>0</v>
      </c>
      <c r="X481" s="51">
        <f>IFERROR(SUMIFS(Infrastructure[2042],
Infrastructure[[variable_type]:[variable_type]],"H2_outflow",
Infrastructure[[cluster]:[cluster]],$B$480,
Infrastructure[[pipe_cluster_end]:[pipe_cluster_end]],$B481)*PJ2TWh,"")</f>
        <v>0</v>
      </c>
      <c r="Y481" s="51">
        <f>IFERROR(SUMIFS(Infrastructure[2043],
Infrastructure[[variable_type]:[variable_type]],"H2_outflow",
Infrastructure[[cluster]:[cluster]],$B$480,
Infrastructure[[pipe_cluster_end]:[pipe_cluster_end]],$B481)*PJ2TWh,"")</f>
        <v>0</v>
      </c>
      <c r="Z481" s="51">
        <f>IFERROR(SUMIFS(Infrastructure[2044],
Infrastructure[[variable_type]:[variable_type]],"H2_outflow",
Infrastructure[[cluster]:[cluster]],$B$480,
Infrastructure[[pipe_cluster_end]:[pipe_cluster_end]],$B481)*PJ2TWh,"")</f>
        <v>0</v>
      </c>
      <c r="AA481" s="51">
        <f>IFERROR(SUMIFS(Infrastructure[2045],
Infrastructure[[variable_type]:[variable_type]],"H2_outflow",
Infrastructure[[cluster]:[cluster]],$B$480,
Infrastructure[[pipe_cluster_end]:[pipe_cluster_end]],$B481)*PJ2TWh,"")</f>
        <v>0</v>
      </c>
      <c r="AB481" s="51">
        <f>IFERROR(SUMIFS(Infrastructure[2046],
Infrastructure[[variable_type]:[variable_type]],"H2_outflow",
Infrastructure[[cluster]:[cluster]],$B$480,
Infrastructure[[pipe_cluster_end]:[pipe_cluster_end]],$B481)*PJ2TWh,"")</f>
        <v>0</v>
      </c>
      <c r="AC481" s="51">
        <f>IFERROR(SUMIFS(Infrastructure[2047],
Infrastructure[[variable_type]:[variable_type]],"H2_outflow",
Infrastructure[[cluster]:[cluster]],$B$480,
Infrastructure[[pipe_cluster_end]:[pipe_cluster_end]],$B481)*PJ2TWh,"")</f>
        <v>0</v>
      </c>
      <c r="AD481" s="51">
        <f>IFERROR(SUMIFS(Infrastructure[2048],
Infrastructure[[variable_type]:[variable_type]],"H2_outflow",
Infrastructure[[cluster]:[cluster]],$B$480,
Infrastructure[[pipe_cluster_end]:[pipe_cluster_end]],$B481)*PJ2TWh,"")</f>
        <v>0</v>
      </c>
      <c r="AE481" s="51">
        <f>IFERROR(SUMIFS(Infrastructure[2049],
Infrastructure[[variable_type]:[variable_type]],"H2_outflow",
Infrastructure[[cluster]:[cluster]],$B$480,
Infrastructure[[pipe_cluster_end]:[pipe_cluster_end]],$B481)*PJ2TWh,"")</f>
        <v>0</v>
      </c>
      <c r="AF481" s="51">
        <f>IFERROR(SUMIFS(Infrastructure[2050],
Infrastructure[[variable_type]:[variable_type]],"H2_outflow",
Infrastructure[[cluster]:[cluster]],$B$480,
Infrastructure[[pipe_cluster_end]:[pipe_cluster_end]],$B481)*PJ2TWh,"")</f>
        <v>0</v>
      </c>
      <c r="AG481" s="51">
        <f>IFERROR(SUMIFS(Infrastructure[2051],
Infrastructure[[variable_type]:[variable_type]],"H2_outflow",
Infrastructure[[cluster]:[cluster]],$B$480,
Infrastructure[[pipe_cluster_end]:[pipe_cluster_end]],$B481)*PJ2TWh,"")</f>
        <v>0</v>
      </c>
    </row>
    <row r="482" spans="1:33" x14ac:dyDescent="0.45">
      <c r="A482" s="2"/>
      <c r="B482" s="24" t="s">
        <v>52</v>
      </c>
      <c r="C482" s="51">
        <f>IFERROR(SUMIFS(Infrastructure[2021],
Infrastructure[[variable_type]:[variable_type]],"H2_outflow",
Infrastructure[[cluster]:[cluster]],$B$480,
Infrastructure[[pipe_cluster_end]:[pipe_cluster_end]],$B482)*PJ2TWh,"")</f>
        <v>0</v>
      </c>
      <c r="D482" s="51">
        <f>IFERROR(SUMIFS(Infrastructure[2022],
Infrastructure[[variable_type]:[variable_type]],"H2_outflow",
Infrastructure[[cluster]:[cluster]],$B$480,
Infrastructure[[pipe_cluster_end]:[pipe_cluster_end]],$B482)*PJ2TWh,"")</f>
        <v>0</v>
      </c>
      <c r="E482" s="51">
        <f>IFERROR(SUMIFS(Infrastructure[2023],
Infrastructure[[variable_type]:[variable_type]],"H2_outflow",
Infrastructure[[cluster]:[cluster]],$B$480,
Infrastructure[[pipe_cluster_end]:[pipe_cluster_end]],$B482)*PJ2TWh,"")</f>
        <v>0</v>
      </c>
      <c r="F482" s="51">
        <f>IFERROR(SUMIFS(Infrastructure[2024],
Infrastructure[[variable_type]:[variable_type]],"H2_outflow",
Infrastructure[[cluster]:[cluster]],$B$480,
Infrastructure[[pipe_cluster_end]:[pipe_cluster_end]],$B482)*PJ2TWh,"")</f>
        <v>0</v>
      </c>
      <c r="G482" s="51">
        <f>IFERROR(SUMIFS(Infrastructure[2025],
Infrastructure[[variable_type]:[variable_type]],"H2_outflow",
Infrastructure[[cluster]:[cluster]],$B$480,
Infrastructure[[pipe_cluster_end]:[pipe_cluster_end]],$B482)*PJ2TWh,"")</f>
        <v>0</v>
      </c>
      <c r="H482" s="51">
        <f>IFERROR(SUMIFS(Infrastructure[2026],
Infrastructure[[variable_type]:[variable_type]],"H2_outflow",
Infrastructure[[cluster]:[cluster]],$B$480,
Infrastructure[[pipe_cluster_end]:[pipe_cluster_end]],$B482)*PJ2TWh,"")</f>
        <v>0</v>
      </c>
      <c r="I482" s="51">
        <f>IFERROR(SUMIFS(Infrastructure[2027],
Infrastructure[[variable_type]:[variable_type]],"H2_outflow",
Infrastructure[[cluster]:[cluster]],$B$480,
Infrastructure[[pipe_cluster_end]:[pipe_cluster_end]],$B482)*PJ2TWh,"")</f>
        <v>0</v>
      </c>
      <c r="J482" s="51">
        <f>IFERROR(SUMIFS(Infrastructure[2028],
Infrastructure[[variable_type]:[variable_type]],"H2_outflow",
Infrastructure[[cluster]:[cluster]],$B$480,
Infrastructure[[pipe_cluster_end]:[pipe_cluster_end]],$B482)*PJ2TWh,"")</f>
        <v>0</v>
      </c>
      <c r="K482" s="51">
        <f>IFERROR(SUMIFS(Infrastructure[2029],
Infrastructure[[variable_type]:[variable_type]],"H2_outflow",
Infrastructure[[cluster]:[cluster]],$B$480,
Infrastructure[[pipe_cluster_end]:[pipe_cluster_end]],$B482)*PJ2TWh,"")</f>
        <v>0</v>
      </c>
      <c r="L482" s="51">
        <f>IFERROR(SUMIFS(Infrastructure[2030],
Infrastructure[[variable_type]:[variable_type]],"H2_outflow",
Infrastructure[[cluster]:[cluster]],$B$480,
Infrastructure[[pipe_cluster_end]:[pipe_cluster_end]],$B482)*PJ2TWh,"")</f>
        <v>0</v>
      </c>
      <c r="M482" s="51">
        <f>IFERROR(SUMIFS(Infrastructure[2031],
Infrastructure[[variable_type]:[variable_type]],"H2_outflow",
Infrastructure[[cluster]:[cluster]],$B$480,
Infrastructure[[pipe_cluster_end]:[pipe_cluster_end]],$B482)*PJ2TWh,"")</f>
        <v>0</v>
      </c>
      <c r="N482" s="51">
        <f>IFERROR(SUMIFS(Infrastructure[2032],
Infrastructure[[variable_type]:[variable_type]],"H2_outflow",
Infrastructure[[cluster]:[cluster]],$B$480,
Infrastructure[[pipe_cluster_end]:[pipe_cluster_end]],$B482)*PJ2TWh,"")</f>
        <v>0</v>
      </c>
      <c r="O482" s="51">
        <f>IFERROR(SUMIFS(Infrastructure[2033],
Infrastructure[[variable_type]:[variable_type]],"H2_outflow",
Infrastructure[[cluster]:[cluster]],$B$480,
Infrastructure[[pipe_cluster_end]:[pipe_cluster_end]],$B482)*PJ2TWh,"")</f>
        <v>0</v>
      </c>
      <c r="P482" s="51">
        <f>IFERROR(SUMIFS(Infrastructure[2034],
Infrastructure[[variable_type]:[variable_type]],"H2_outflow",
Infrastructure[[cluster]:[cluster]],$B$480,
Infrastructure[[pipe_cluster_end]:[pipe_cluster_end]],$B482)*PJ2TWh,"")</f>
        <v>0</v>
      </c>
      <c r="Q482" s="51">
        <f>IFERROR(SUMIFS(Infrastructure[2035],
Infrastructure[[variable_type]:[variable_type]],"H2_outflow",
Infrastructure[[cluster]:[cluster]],$B$480,
Infrastructure[[pipe_cluster_end]:[pipe_cluster_end]],$B482)*PJ2TWh,"")</f>
        <v>0</v>
      </c>
      <c r="R482" s="51">
        <f>IFERROR(SUMIFS(Infrastructure[2036],
Infrastructure[[variable_type]:[variable_type]],"H2_outflow",
Infrastructure[[cluster]:[cluster]],$B$480,
Infrastructure[[pipe_cluster_end]:[pipe_cluster_end]],$B482)*PJ2TWh,"")</f>
        <v>0</v>
      </c>
      <c r="S482" s="51">
        <f>IFERROR(SUMIFS(Infrastructure[2037],
Infrastructure[[variable_type]:[variable_type]],"H2_outflow",
Infrastructure[[cluster]:[cluster]],$B$480,
Infrastructure[[pipe_cluster_end]:[pipe_cluster_end]],$B482)*PJ2TWh,"")</f>
        <v>0</v>
      </c>
      <c r="T482" s="51">
        <f>IFERROR(SUMIFS(Infrastructure[2038],
Infrastructure[[variable_type]:[variable_type]],"H2_outflow",
Infrastructure[[cluster]:[cluster]],$B$480,
Infrastructure[[pipe_cluster_end]:[pipe_cluster_end]],$B482)*PJ2TWh,"")</f>
        <v>0</v>
      </c>
      <c r="U482" s="51">
        <f>IFERROR(SUMIFS(Infrastructure[2039],
Infrastructure[[variable_type]:[variable_type]],"H2_outflow",
Infrastructure[[cluster]:[cluster]],$B$480,
Infrastructure[[pipe_cluster_end]:[pipe_cluster_end]],$B482)*PJ2TWh,"")</f>
        <v>0</v>
      </c>
      <c r="V482" s="51">
        <f>IFERROR(SUMIFS(Infrastructure[2040],
Infrastructure[[variable_type]:[variable_type]],"H2_outflow",
Infrastructure[[cluster]:[cluster]],$B$480,
Infrastructure[[pipe_cluster_end]:[pipe_cluster_end]],$B482)*PJ2TWh,"")</f>
        <v>0</v>
      </c>
      <c r="W482" s="51">
        <f>IFERROR(SUMIFS(Infrastructure[2041],
Infrastructure[[variable_type]:[variable_type]],"H2_outflow",
Infrastructure[[cluster]:[cluster]],$B$480,
Infrastructure[[pipe_cluster_end]:[pipe_cluster_end]],$B482)*PJ2TWh,"")</f>
        <v>0</v>
      </c>
      <c r="X482" s="51">
        <f>IFERROR(SUMIFS(Infrastructure[2042],
Infrastructure[[variable_type]:[variable_type]],"H2_outflow",
Infrastructure[[cluster]:[cluster]],$B$480,
Infrastructure[[pipe_cluster_end]:[pipe_cluster_end]],$B482)*PJ2TWh,"")</f>
        <v>0</v>
      </c>
      <c r="Y482" s="51">
        <f>IFERROR(SUMIFS(Infrastructure[2043],
Infrastructure[[variable_type]:[variable_type]],"H2_outflow",
Infrastructure[[cluster]:[cluster]],$B$480,
Infrastructure[[pipe_cluster_end]:[pipe_cluster_end]],$B482)*PJ2TWh,"")</f>
        <v>0</v>
      </c>
      <c r="Z482" s="51">
        <f>IFERROR(SUMIFS(Infrastructure[2044],
Infrastructure[[variable_type]:[variable_type]],"H2_outflow",
Infrastructure[[cluster]:[cluster]],$B$480,
Infrastructure[[pipe_cluster_end]:[pipe_cluster_end]],$B482)*PJ2TWh,"")</f>
        <v>0</v>
      </c>
      <c r="AA482" s="51">
        <f>IFERROR(SUMIFS(Infrastructure[2045],
Infrastructure[[variable_type]:[variable_type]],"H2_outflow",
Infrastructure[[cluster]:[cluster]],$B$480,
Infrastructure[[pipe_cluster_end]:[pipe_cluster_end]],$B482)*PJ2TWh,"")</f>
        <v>0</v>
      </c>
      <c r="AB482" s="51">
        <f>IFERROR(SUMIFS(Infrastructure[2046],
Infrastructure[[variable_type]:[variable_type]],"H2_outflow",
Infrastructure[[cluster]:[cluster]],$B$480,
Infrastructure[[pipe_cluster_end]:[pipe_cluster_end]],$B482)*PJ2TWh,"")</f>
        <v>0</v>
      </c>
      <c r="AC482" s="51">
        <f>IFERROR(SUMIFS(Infrastructure[2047],
Infrastructure[[variable_type]:[variable_type]],"H2_outflow",
Infrastructure[[cluster]:[cluster]],$B$480,
Infrastructure[[pipe_cluster_end]:[pipe_cluster_end]],$B482)*PJ2TWh,"")</f>
        <v>0</v>
      </c>
      <c r="AD482" s="51">
        <f>IFERROR(SUMIFS(Infrastructure[2048],
Infrastructure[[variable_type]:[variable_type]],"H2_outflow",
Infrastructure[[cluster]:[cluster]],$B$480,
Infrastructure[[pipe_cluster_end]:[pipe_cluster_end]],$B482)*PJ2TWh,"")</f>
        <v>0</v>
      </c>
      <c r="AE482" s="51">
        <f>IFERROR(SUMIFS(Infrastructure[2049],
Infrastructure[[variable_type]:[variable_type]],"H2_outflow",
Infrastructure[[cluster]:[cluster]],$B$480,
Infrastructure[[pipe_cluster_end]:[pipe_cluster_end]],$B482)*PJ2TWh,"")</f>
        <v>0</v>
      </c>
      <c r="AF482" s="51">
        <f>IFERROR(SUMIFS(Infrastructure[2050],
Infrastructure[[variable_type]:[variable_type]],"H2_outflow",
Infrastructure[[cluster]:[cluster]],$B$480,
Infrastructure[[pipe_cluster_end]:[pipe_cluster_end]],$B482)*PJ2TWh,"")</f>
        <v>0</v>
      </c>
      <c r="AG482" s="51">
        <f>IFERROR(SUMIFS(Infrastructure[2051],
Infrastructure[[variable_type]:[variable_type]],"H2_outflow",
Infrastructure[[cluster]:[cluster]],$B$480,
Infrastructure[[pipe_cluster_end]:[pipe_cluster_end]],$B482)*PJ2TWh,"")</f>
        <v>0</v>
      </c>
    </row>
    <row r="483" spans="1:33" x14ac:dyDescent="0.45">
      <c r="A483" s="2"/>
      <c r="B483" s="24" t="s">
        <v>71</v>
      </c>
      <c r="C483" s="51">
        <f>IFERROR(SUMIFS(Infrastructure[2021],
Infrastructure[[variable_type]:[variable_type]],"H2_outflow",
Infrastructure[[cluster]:[cluster]],$B$480,
Infrastructure[[pipe_cluster_end]:[pipe_cluster_end]],$B483)*PJ2TWh,"")</f>
        <v>0</v>
      </c>
      <c r="D483" s="51">
        <f>IFERROR(SUMIFS(Infrastructure[2022],
Infrastructure[[variable_type]:[variable_type]],"H2_outflow",
Infrastructure[[cluster]:[cluster]],$B$480,
Infrastructure[[pipe_cluster_end]:[pipe_cluster_end]],$B483)*PJ2TWh,"")</f>
        <v>0</v>
      </c>
      <c r="E483" s="51">
        <f>IFERROR(SUMIFS(Infrastructure[2023],
Infrastructure[[variable_type]:[variable_type]],"H2_outflow",
Infrastructure[[cluster]:[cluster]],$B$480,
Infrastructure[[pipe_cluster_end]:[pipe_cluster_end]],$B483)*PJ2TWh,"")</f>
        <v>0</v>
      </c>
      <c r="F483" s="51">
        <f>IFERROR(SUMIFS(Infrastructure[2024],
Infrastructure[[variable_type]:[variable_type]],"H2_outflow",
Infrastructure[[cluster]:[cluster]],$B$480,
Infrastructure[[pipe_cluster_end]:[pipe_cluster_end]],$B483)*PJ2TWh,"")</f>
        <v>0</v>
      </c>
      <c r="G483" s="51">
        <f>IFERROR(SUMIFS(Infrastructure[2025],
Infrastructure[[variable_type]:[variable_type]],"H2_outflow",
Infrastructure[[cluster]:[cluster]],$B$480,
Infrastructure[[pipe_cluster_end]:[pipe_cluster_end]],$B483)*PJ2TWh,"")</f>
        <v>0</v>
      </c>
      <c r="H483" s="51">
        <f>IFERROR(SUMIFS(Infrastructure[2026],
Infrastructure[[variable_type]:[variable_type]],"H2_outflow",
Infrastructure[[cluster]:[cluster]],$B$480,
Infrastructure[[pipe_cluster_end]:[pipe_cluster_end]],$B483)*PJ2TWh,"")</f>
        <v>0</v>
      </c>
      <c r="I483" s="51">
        <f>IFERROR(SUMIFS(Infrastructure[2027],
Infrastructure[[variable_type]:[variable_type]],"H2_outflow",
Infrastructure[[cluster]:[cluster]],$B$480,
Infrastructure[[pipe_cluster_end]:[pipe_cluster_end]],$B483)*PJ2TWh,"")</f>
        <v>0</v>
      </c>
      <c r="J483" s="51">
        <f>IFERROR(SUMIFS(Infrastructure[2028],
Infrastructure[[variable_type]:[variable_type]],"H2_outflow",
Infrastructure[[cluster]:[cluster]],$B$480,
Infrastructure[[pipe_cluster_end]:[pipe_cluster_end]],$B483)*PJ2TWh,"")</f>
        <v>0</v>
      </c>
      <c r="K483" s="51">
        <f>IFERROR(SUMIFS(Infrastructure[2029],
Infrastructure[[variable_type]:[variable_type]],"H2_outflow",
Infrastructure[[cluster]:[cluster]],$B$480,
Infrastructure[[pipe_cluster_end]:[pipe_cluster_end]],$B483)*PJ2TWh,"")</f>
        <v>0</v>
      </c>
      <c r="L483" s="51">
        <f>IFERROR(SUMIFS(Infrastructure[2030],
Infrastructure[[variable_type]:[variable_type]],"H2_outflow",
Infrastructure[[cluster]:[cluster]],$B$480,
Infrastructure[[pipe_cluster_end]:[pipe_cluster_end]],$B483)*PJ2TWh,"")</f>
        <v>0</v>
      </c>
      <c r="M483" s="51">
        <f>IFERROR(SUMIFS(Infrastructure[2031],
Infrastructure[[variable_type]:[variable_type]],"H2_outflow",
Infrastructure[[cluster]:[cluster]],$B$480,
Infrastructure[[pipe_cluster_end]:[pipe_cluster_end]],$B483)*PJ2TWh,"")</f>
        <v>0</v>
      </c>
      <c r="N483" s="51">
        <f>IFERROR(SUMIFS(Infrastructure[2032],
Infrastructure[[variable_type]:[variable_type]],"H2_outflow",
Infrastructure[[cluster]:[cluster]],$B$480,
Infrastructure[[pipe_cluster_end]:[pipe_cluster_end]],$B483)*PJ2TWh,"")</f>
        <v>0</v>
      </c>
      <c r="O483" s="51">
        <f>IFERROR(SUMIFS(Infrastructure[2033],
Infrastructure[[variable_type]:[variable_type]],"H2_outflow",
Infrastructure[[cluster]:[cluster]],$B$480,
Infrastructure[[pipe_cluster_end]:[pipe_cluster_end]],$B483)*PJ2TWh,"")</f>
        <v>0</v>
      </c>
      <c r="P483" s="51">
        <f>IFERROR(SUMIFS(Infrastructure[2034],
Infrastructure[[variable_type]:[variable_type]],"H2_outflow",
Infrastructure[[cluster]:[cluster]],$B$480,
Infrastructure[[pipe_cluster_end]:[pipe_cluster_end]],$B483)*PJ2TWh,"")</f>
        <v>0</v>
      </c>
      <c r="Q483" s="51">
        <f>IFERROR(SUMIFS(Infrastructure[2035],
Infrastructure[[variable_type]:[variable_type]],"H2_outflow",
Infrastructure[[cluster]:[cluster]],$B$480,
Infrastructure[[pipe_cluster_end]:[pipe_cluster_end]],$B483)*PJ2TWh,"")</f>
        <v>0</v>
      </c>
      <c r="R483" s="51">
        <f>IFERROR(SUMIFS(Infrastructure[2036],
Infrastructure[[variable_type]:[variable_type]],"H2_outflow",
Infrastructure[[cluster]:[cluster]],$B$480,
Infrastructure[[pipe_cluster_end]:[pipe_cluster_end]],$B483)*PJ2TWh,"")</f>
        <v>0</v>
      </c>
      <c r="S483" s="51">
        <f>IFERROR(SUMIFS(Infrastructure[2037],
Infrastructure[[variable_type]:[variable_type]],"H2_outflow",
Infrastructure[[cluster]:[cluster]],$B$480,
Infrastructure[[pipe_cluster_end]:[pipe_cluster_end]],$B483)*PJ2TWh,"")</f>
        <v>0</v>
      </c>
      <c r="T483" s="51">
        <f>IFERROR(SUMIFS(Infrastructure[2038],
Infrastructure[[variable_type]:[variable_type]],"H2_outflow",
Infrastructure[[cluster]:[cluster]],$B$480,
Infrastructure[[pipe_cluster_end]:[pipe_cluster_end]],$B483)*PJ2TWh,"")</f>
        <v>0</v>
      </c>
      <c r="U483" s="51">
        <f>IFERROR(SUMIFS(Infrastructure[2039],
Infrastructure[[variable_type]:[variable_type]],"H2_outflow",
Infrastructure[[cluster]:[cluster]],$B$480,
Infrastructure[[pipe_cluster_end]:[pipe_cluster_end]],$B483)*PJ2TWh,"")</f>
        <v>0</v>
      </c>
      <c r="V483" s="51">
        <f>IFERROR(SUMIFS(Infrastructure[2040],
Infrastructure[[variable_type]:[variable_type]],"H2_outflow",
Infrastructure[[cluster]:[cluster]],$B$480,
Infrastructure[[pipe_cluster_end]:[pipe_cluster_end]],$B483)*PJ2TWh,"")</f>
        <v>0</v>
      </c>
      <c r="W483" s="51">
        <f>IFERROR(SUMIFS(Infrastructure[2041],
Infrastructure[[variable_type]:[variable_type]],"H2_outflow",
Infrastructure[[cluster]:[cluster]],$B$480,
Infrastructure[[pipe_cluster_end]:[pipe_cluster_end]],$B483)*PJ2TWh,"")</f>
        <v>0</v>
      </c>
      <c r="X483" s="51">
        <f>IFERROR(SUMIFS(Infrastructure[2042],
Infrastructure[[variable_type]:[variable_type]],"H2_outflow",
Infrastructure[[cluster]:[cluster]],$B$480,
Infrastructure[[pipe_cluster_end]:[pipe_cluster_end]],$B483)*PJ2TWh,"")</f>
        <v>0</v>
      </c>
      <c r="Y483" s="51">
        <f>IFERROR(SUMIFS(Infrastructure[2043],
Infrastructure[[variable_type]:[variable_type]],"H2_outflow",
Infrastructure[[cluster]:[cluster]],$B$480,
Infrastructure[[pipe_cluster_end]:[pipe_cluster_end]],$B483)*PJ2TWh,"")</f>
        <v>0</v>
      </c>
      <c r="Z483" s="51">
        <f>IFERROR(SUMIFS(Infrastructure[2044],
Infrastructure[[variable_type]:[variable_type]],"H2_outflow",
Infrastructure[[cluster]:[cluster]],$B$480,
Infrastructure[[pipe_cluster_end]:[pipe_cluster_end]],$B483)*PJ2TWh,"")</f>
        <v>0</v>
      </c>
      <c r="AA483" s="51">
        <f>IFERROR(SUMIFS(Infrastructure[2045],
Infrastructure[[variable_type]:[variable_type]],"H2_outflow",
Infrastructure[[cluster]:[cluster]],$B$480,
Infrastructure[[pipe_cluster_end]:[pipe_cluster_end]],$B483)*PJ2TWh,"")</f>
        <v>0</v>
      </c>
      <c r="AB483" s="51">
        <f>IFERROR(SUMIFS(Infrastructure[2046],
Infrastructure[[variable_type]:[variable_type]],"H2_outflow",
Infrastructure[[cluster]:[cluster]],$B$480,
Infrastructure[[pipe_cluster_end]:[pipe_cluster_end]],$B483)*PJ2TWh,"")</f>
        <v>0</v>
      </c>
      <c r="AC483" s="51">
        <f>IFERROR(SUMIFS(Infrastructure[2047],
Infrastructure[[variable_type]:[variable_type]],"H2_outflow",
Infrastructure[[cluster]:[cluster]],$B$480,
Infrastructure[[pipe_cluster_end]:[pipe_cluster_end]],$B483)*PJ2TWh,"")</f>
        <v>0</v>
      </c>
      <c r="AD483" s="51">
        <f>IFERROR(SUMIFS(Infrastructure[2048],
Infrastructure[[variable_type]:[variable_type]],"H2_outflow",
Infrastructure[[cluster]:[cluster]],$B$480,
Infrastructure[[pipe_cluster_end]:[pipe_cluster_end]],$B483)*PJ2TWh,"")</f>
        <v>0</v>
      </c>
      <c r="AE483" s="51">
        <f>IFERROR(SUMIFS(Infrastructure[2049],
Infrastructure[[variable_type]:[variable_type]],"H2_outflow",
Infrastructure[[cluster]:[cluster]],$B$480,
Infrastructure[[pipe_cluster_end]:[pipe_cluster_end]],$B483)*PJ2TWh,"")</f>
        <v>0</v>
      </c>
      <c r="AF483" s="51">
        <f>IFERROR(SUMIFS(Infrastructure[2050],
Infrastructure[[variable_type]:[variable_type]],"H2_outflow",
Infrastructure[[cluster]:[cluster]],$B$480,
Infrastructure[[pipe_cluster_end]:[pipe_cluster_end]],$B483)*PJ2TWh,"")</f>
        <v>0</v>
      </c>
      <c r="AG483" s="51">
        <f>IFERROR(SUMIFS(Infrastructure[2051],
Infrastructure[[variable_type]:[variable_type]],"H2_outflow",
Infrastructure[[cluster]:[cluster]],$B$480,
Infrastructure[[pipe_cluster_end]:[pipe_cluster_end]],$B483)*PJ2TWh,"")</f>
        <v>0</v>
      </c>
    </row>
    <row r="484" spans="1:33" x14ac:dyDescent="0.45">
      <c r="A484" s="2"/>
      <c r="B484" s="24" t="s">
        <v>72</v>
      </c>
      <c r="C484" s="51">
        <f>IFERROR(SUMIFS(Infrastructure[2021],
Infrastructure[[variable_type]:[variable_type]],"H2_outflow",
Infrastructure[[cluster]:[cluster]],$B$480,
Infrastructure[[pipe_cluster_end]:[pipe_cluster_end]],$B484)*PJ2TWh,"")</f>
        <v>0</v>
      </c>
      <c r="D484" s="51">
        <f>IFERROR(SUMIFS(Infrastructure[2022],
Infrastructure[[variable_type]:[variable_type]],"H2_outflow",
Infrastructure[[cluster]:[cluster]],$B$480,
Infrastructure[[pipe_cluster_end]:[pipe_cluster_end]],$B484)*PJ2TWh,"")</f>
        <v>0</v>
      </c>
      <c r="E484" s="51">
        <f>IFERROR(SUMIFS(Infrastructure[2023],
Infrastructure[[variable_type]:[variable_type]],"H2_outflow",
Infrastructure[[cluster]:[cluster]],$B$480,
Infrastructure[[pipe_cluster_end]:[pipe_cluster_end]],$B484)*PJ2TWh,"")</f>
        <v>0</v>
      </c>
      <c r="F484" s="51">
        <f>IFERROR(SUMIFS(Infrastructure[2024],
Infrastructure[[variable_type]:[variable_type]],"H2_outflow",
Infrastructure[[cluster]:[cluster]],$B$480,
Infrastructure[[pipe_cluster_end]:[pipe_cluster_end]],$B484)*PJ2TWh,"")</f>
        <v>0</v>
      </c>
      <c r="G484" s="51">
        <f>IFERROR(SUMIFS(Infrastructure[2025],
Infrastructure[[variable_type]:[variable_type]],"H2_outflow",
Infrastructure[[cluster]:[cluster]],$B$480,
Infrastructure[[pipe_cluster_end]:[pipe_cluster_end]],$B484)*PJ2TWh,"")</f>
        <v>0</v>
      </c>
      <c r="H484" s="51">
        <f>IFERROR(SUMIFS(Infrastructure[2026],
Infrastructure[[variable_type]:[variable_type]],"H2_outflow",
Infrastructure[[cluster]:[cluster]],$B$480,
Infrastructure[[pipe_cluster_end]:[pipe_cluster_end]],$B484)*PJ2TWh,"")</f>
        <v>0</v>
      </c>
      <c r="I484" s="51">
        <f>IFERROR(SUMIFS(Infrastructure[2027],
Infrastructure[[variable_type]:[variable_type]],"H2_outflow",
Infrastructure[[cluster]:[cluster]],$B$480,
Infrastructure[[pipe_cluster_end]:[pipe_cluster_end]],$B484)*PJ2TWh,"")</f>
        <v>0</v>
      </c>
      <c r="J484" s="51">
        <f>IFERROR(SUMIFS(Infrastructure[2028],
Infrastructure[[variable_type]:[variable_type]],"H2_outflow",
Infrastructure[[cluster]:[cluster]],$B$480,
Infrastructure[[pipe_cluster_end]:[pipe_cluster_end]],$B484)*PJ2TWh,"")</f>
        <v>0</v>
      </c>
      <c r="K484" s="51">
        <f>IFERROR(SUMIFS(Infrastructure[2029],
Infrastructure[[variable_type]:[variable_type]],"H2_outflow",
Infrastructure[[cluster]:[cluster]],$B$480,
Infrastructure[[pipe_cluster_end]:[pipe_cluster_end]],$B484)*PJ2TWh,"")</f>
        <v>0</v>
      </c>
      <c r="L484" s="51">
        <f>IFERROR(SUMIFS(Infrastructure[2030],
Infrastructure[[variable_type]:[variable_type]],"H2_outflow",
Infrastructure[[cluster]:[cluster]],$B$480,
Infrastructure[[pipe_cluster_end]:[pipe_cluster_end]],$B484)*PJ2TWh,"")</f>
        <v>0</v>
      </c>
      <c r="M484" s="51">
        <f>IFERROR(SUMIFS(Infrastructure[2031],
Infrastructure[[variable_type]:[variable_type]],"H2_outflow",
Infrastructure[[cluster]:[cluster]],$B$480,
Infrastructure[[pipe_cluster_end]:[pipe_cluster_end]],$B484)*PJ2TWh,"")</f>
        <v>0</v>
      </c>
      <c r="N484" s="51">
        <f>IFERROR(SUMIFS(Infrastructure[2032],
Infrastructure[[variable_type]:[variable_type]],"H2_outflow",
Infrastructure[[cluster]:[cluster]],$B$480,
Infrastructure[[pipe_cluster_end]:[pipe_cluster_end]],$B484)*PJ2TWh,"")</f>
        <v>0</v>
      </c>
      <c r="O484" s="51">
        <f>IFERROR(SUMIFS(Infrastructure[2033],
Infrastructure[[variable_type]:[variable_type]],"H2_outflow",
Infrastructure[[cluster]:[cluster]],$B$480,
Infrastructure[[pipe_cluster_end]:[pipe_cluster_end]],$B484)*PJ2TWh,"")</f>
        <v>0</v>
      </c>
      <c r="P484" s="51">
        <f>IFERROR(SUMIFS(Infrastructure[2034],
Infrastructure[[variable_type]:[variable_type]],"H2_outflow",
Infrastructure[[cluster]:[cluster]],$B$480,
Infrastructure[[pipe_cluster_end]:[pipe_cluster_end]],$B484)*PJ2TWh,"")</f>
        <v>0</v>
      </c>
      <c r="Q484" s="51">
        <f>IFERROR(SUMIFS(Infrastructure[2035],
Infrastructure[[variable_type]:[variable_type]],"H2_outflow",
Infrastructure[[cluster]:[cluster]],$B$480,
Infrastructure[[pipe_cluster_end]:[pipe_cluster_end]],$B484)*PJ2TWh,"")</f>
        <v>0</v>
      </c>
      <c r="R484" s="51">
        <f>IFERROR(SUMIFS(Infrastructure[2036],
Infrastructure[[variable_type]:[variable_type]],"H2_outflow",
Infrastructure[[cluster]:[cluster]],$B$480,
Infrastructure[[pipe_cluster_end]:[pipe_cluster_end]],$B484)*PJ2TWh,"")</f>
        <v>0</v>
      </c>
      <c r="S484" s="51">
        <f>IFERROR(SUMIFS(Infrastructure[2037],
Infrastructure[[variable_type]:[variable_type]],"H2_outflow",
Infrastructure[[cluster]:[cluster]],$B$480,
Infrastructure[[pipe_cluster_end]:[pipe_cluster_end]],$B484)*PJ2TWh,"")</f>
        <v>0</v>
      </c>
      <c r="T484" s="51">
        <f>IFERROR(SUMIFS(Infrastructure[2038],
Infrastructure[[variable_type]:[variable_type]],"H2_outflow",
Infrastructure[[cluster]:[cluster]],$B$480,
Infrastructure[[pipe_cluster_end]:[pipe_cluster_end]],$B484)*PJ2TWh,"")</f>
        <v>0</v>
      </c>
      <c r="U484" s="51">
        <f>IFERROR(SUMIFS(Infrastructure[2039],
Infrastructure[[variable_type]:[variable_type]],"H2_outflow",
Infrastructure[[cluster]:[cluster]],$B$480,
Infrastructure[[pipe_cluster_end]:[pipe_cluster_end]],$B484)*PJ2TWh,"")</f>
        <v>0</v>
      </c>
      <c r="V484" s="51">
        <f>IFERROR(SUMIFS(Infrastructure[2040],
Infrastructure[[variable_type]:[variable_type]],"H2_outflow",
Infrastructure[[cluster]:[cluster]],$B$480,
Infrastructure[[pipe_cluster_end]:[pipe_cluster_end]],$B484)*PJ2TWh,"")</f>
        <v>0</v>
      </c>
      <c r="W484" s="51">
        <f>IFERROR(SUMIFS(Infrastructure[2041],
Infrastructure[[variable_type]:[variable_type]],"H2_outflow",
Infrastructure[[cluster]:[cluster]],$B$480,
Infrastructure[[pipe_cluster_end]:[pipe_cluster_end]],$B484)*PJ2TWh,"")</f>
        <v>0</v>
      </c>
      <c r="X484" s="51">
        <f>IFERROR(SUMIFS(Infrastructure[2042],
Infrastructure[[variable_type]:[variable_type]],"H2_outflow",
Infrastructure[[cluster]:[cluster]],$B$480,
Infrastructure[[pipe_cluster_end]:[pipe_cluster_end]],$B484)*PJ2TWh,"")</f>
        <v>0</v>
      </c>
      <c r="Y484" s="51">
        <f>IFERROR(SUMIFS(Infrastructure[2043],
Infrastructure[[variable_type]:[variable_type]],"H2_outflow",
Infrastructure[[cluster]:[cluster]],$B$480,
Infrastructure[[pipe_cluster_end]:[pipe_cluster_end]],$B484)*PJ2TWh,"")</f>
        <v>0</v>
      </c>
      <c r="Z484" s="51">
        <f>IFERROR(SUMIFS(Infrastructure[2044],
Infrastructure[[variable_type]:[variable_type]],"H2_outflow",
Infrastructure[[cluster]:[cluster]],$B$480,
Infrastructure[[pipe_cluster_end]:[pipe_cluster_end]],$B484)*PJ2TWh,"")</f>
        <v>0</v>
      </c>
      <c r="AA484" s="51">
        <f>IFERROR(SUMIFS(Infrastructure[2045],
Infrastructure[[variable_type]:[variable_type]],"H2_outflow",
Infrastructure[[cluster]:[cluster]],$B$480,
Infrastructure[[pipe_cluster_end]:[pipe_cluster_end]],$B484)*PJ2TWh,"")</f>
        <v>0</v>
      </c>
      <c r="AB484" s="51">
        <f>IFERROR(SUMIFS(Infrastructure[2046],
Infrastructure[[variable_type]:[variable_type]],"H2_outflow",
Infrastructure[[cluster]:[cluster]],$B$480,
Infrastructure[[pipe_cluster_end]:[pipe_cluster_end]],$B484)*PJ2TWh,"")</f>
        <v>0</v>
      </c>
      <c r="AC484" s="51">
        <f>IFERROR(SUMIFS(Infrastructure[2047],
Infrastructure[[variable_type]:[variable_type]],"H2_outflow",
Infrastructure[[cluster]:[cluster]],$B$480,
Infrastructure[[pipe_cluster_end]:[pipe_cluster_end]],$B484)*PJ2TWh,"")</f>
        <v>0</v>
      </c>
      <c r="AD484" s="51">
        <f>IFERROR(SUMIFS(Infrastructure[2048],
Infrastructure[[variable_type]:[variable_type]],"H2_outflow",
Infrastructure[[cluster]:[cluster]],$B$480,
Infrastructure[[pipe_cluster_end]:[pipe_cluster_end]],$B484)*PJ2TWh,"")</f>
        <v>0</v>
      </c>
      <c r="AE484" s="51">
        <f>IFERROR(SUMIFS(Infrastructure[2049],
Infrastructure[[variable_type]:[variable_type]],"H2_outflow",
Infrastructure[[cluster]:[cluster]],$B$480,
Infrastructure[[pipe_cluster_end]:[pipe_cluster_end]],$B484)*PJ2TWh,"")</f>
        <v>0</v>
      </c>
      <c r="AF484" s="51">
        <f>IFERROR(SUMIFS(Infrastructure[2050],
Infrastructure[[variable_type]:[variable_type]],"H2_outflow",
Infrastructure[[cluster]:[cluster]],$B$480,
Infrastructure[[pipe_cluster_end]:[pipe_cluster_end]],$B484)*PJ2TWh,"")</f>
        <v>0</v>
      </c>
      <c r="AG484" s="51">
        <f>IFERROR(SUMIFS(Infrastructure[2051],
Infrastructure[[variable_type]:[variable_type]],"H2_outflow",
Infrastructure[[cluster]:[cluster]],$B$480,
Infrastructure[[pipe_cluster_end]:[pipe_cluster_end]],$B484)*PJ2TWh,"")</f>
        <v>0</v>
      </c>
    </row>
    <row r="485" spans="1:33" x14ac:dyDescent="0.45">
      <c r="A485" s="2"/>
      <c r="B485" s="24" t="s">
        <v>73</v>
      </c>
      <c r="C485" s="51">
        <f>IFERROR(SUMIFS(Infrastructure[2021],
Infrastructure[[variable_type]:[variable_type]],"H2_outflow",
Infrastructure[[cluster]:[cluster]],$B$480,
Infrastructure[[pipe_cluster_end]:[pipe_cluster_end]],$B485)*PJ2TWh,"")</f>
        <v>0</v>
      </c>
      <c r="D485" s="51">
        <f>IFERROR(SUMIFS(Infrastructure[2022],
Infrastructure[[variable_type]:[variable_type]],"H2_outflow",
Infrastructure[[cluster]:[cluster]],$B$480,
Infrastructure[[pipe_cluster_end]:[pipe_cluster_end]],$B485)*PJ2TWh,"")</f>
        <v>0</v>
      </c>
      <c r="E485" s="51">
        <f>IFERROR(SUMIFS(Infrastructure[2023],
Infrastructure[[variable_type]:[variable_type]],"H2_outflow",
Infrastructure[[cluster]:[cluster]],$B$480,
Infrastructure[[pipe_cluster_end]:[pipe_cluster_end]],$B485)*PJ2TWh,"")</f>
        <v>0</v>
      </c>
      <c r="F485" s="51">
        <f>IFERROR(SUMIFS(Infrastructure[2024],
Infrastructure[[variable_type]:[variable_type]],"H2_outflow",
Infrastructure[[cluster]:[cluster]],$B$480,
Infrastructure[[pipe_cluster_end]:[pipe_cluster_end]],$B485)*PJ2TWh,"")</f>
        <v>0</v>
      </c>
      <c r="G485" s="51">
        <f>IFERROR(SUMIFS(Infrastructure[2025],
Infrastructure[[variable_type]:[variable_type]],"H2_outflow",
Infrastructure[[cluster]:[cluster]],$B$480,
Infrastructure[[pipe_cluster_end]:[pipe_cluster_end]],$B485)*PJ2TWh,"")</f>
        <v>0</v>
      </c>
      <c r="H485" s="51">
        <f>IFERROR(SUMIFS(Infrastructure[2026],
Infrastructure[[variable_type]:[variable_type]],"H2_outflow",
Infrastructure[[cluster]:[cluster]],$B$480,
Infrastructure[[pipe_cluster_end]:[pipe_cluster_end]],$B485)*PJ2TWh,"")</f>
        <v>0</v>
      </c>
      <c r="I485" s="51">
        <f>IFERROR(SUMIFS(Infrastructure[2027],
Infrastructure[[variable_type]:[variable_type]],"H2_outflow",
Infrastructure[[cluster]:[cluster]],$B$480,
Infrastructure[[pipe_cluster_end]:[pipe_cluster_end]],$B485)*PJ2TWh,"")</f>
        <v>0</v>
      </c>
      <c r="J485" s="51">
        <f>IFERROR(SUMIFS(Infrastructure[2028],
Infrastructure[[variable_type]:[variable_type]],"H2_outflow",
Infrastructure[[cluster]:[cluster]],$B$480,
Infrastructure[[pipe_cluster_end]:[pipe_cluster_end]],$B485)*PJ2TWh,"")</f>
        <v>0</v>
      </c>
      <c r="K485" s="51">
        <f>IFERROR(SUMIFS(Infrastructure[2029],
Infrastructure[[variable_type]:[variable_type]],"H2_outflow",
Infrastructure[[cluster]:[cluster]],$B$480,
Infrastructure[[pipe_cluster_end]:[pipe_cluster_end]],$B485)*PJ2TWh,"")</f>
        <v>0</v>
      </c>
      <c r="L485" s="51">
        <f>IFERROR(SUMIFS(Infrastructure[2030],
Infrastructure[[variable_type]:[variable_type]],"H2_outflow",
Infrastructure[[cluster]:[cluster]],$B$480,
Infrastructure[[pipe_cluster_end]:[pipe_cluster_end]],$B485)*PJ2TWh,"")</f>
        <v>0</v>
      </c>
      <c r="M485" s="51">
        <f>IFERROR(SUMIFS(Infrastructure[2031],
Infrastructure[[variable_type]:[variable_type]],"H2_outflow",
Infrastructure[[cluster]:[cluster]],$B$480,
Infrastructure[[pipe_cluster_end]:[pipe_cluster_end]],$B485)*PJ2TWh,"")</f>
        <v>0</v>
      </c>
      <c r="N485" s="51">
        <f>IFERROR(SUMIFS(Infrastructure[2032],
Infrastructure[[variable_type]:[variable_type]],"H2_outflow",
Infrastructure[[cluster]:[cluster]],$B$480,
Infrastructure[[pipe_cluster_end]:[pipe_cluster_end]],$B485)*PJ2TWh,"")</f>
        <v>0</v>
      </c>
      <c r="O485" s="51">
        <f>IFERROR(SUMIFS(Infrastructure[2033],
Infrastructure[[variable_type]:[variable_type]],"H2_outflow",
Infrastructure[[cluster]:[cluster]],$B$480,
Infrastructure[[pipe_cluster_end]:[pipe_cluster_end]],$B485)*PJ2TWh,"")</f>
        <v>0</v>
      </c>
      <c r="P485" s="51">
        <f>IFERROR(SUMIFS(Infrastructure[2034],
Infrastructure[[variable_type]:[variable_type]],"H2_outflow",
Infrastructure[[cluster]:[cluster]],$B$480,
Infrastructure[[pipe_cluster_end]:[pipe_cluster_end]],$B485)*PJ2TWh,"")</f>
        <v>0</v>
      </c>
      <c r="Q485" s="51">
        <f>IFERROR(SUMIFS(Infrastructure[2035],
Infrastructure[[variable_type]:[variable_type]],"H2_outflow",
Infrastructure[[cluster]:[cluster]],$B$480,
Infrastructure[[pipe_cluster_end]:[pipe_cluster_end]],$B485)*PJ2TWh,"")</f>
        <v>0</v>
      </c>
      <c r="R485" s="51">
        <f>IFERROR(SUMIFS(Infrastructure[2036],
Infrastructure[[variable_type]:[variable_type]],"H2_outflow",
Infrastructure[[cluster]:[cluster]],$B$480,
Infrastructure[[pipe_cluster_end]:[pipe_cluster_end]],$B485)*PJ2TWh,"")</f>
        <v>0</v>
      </c>
      <c r="S485" s="51">
        <f>IFERROR(SUMIFS(Infrastructure[2037],
Infrastructure[[variable_type]:[variable_type]],"H2_outflow",
Infrastructure[[cluster]:[cluster]],$B$480,
Infrastructure[[pipe_cluster_end]:[pipe_cluster_end]],$B485)*PJ2TWh,"")</f>
        <v>0</v>
      </c>
      <c r="T485" s="51">
        <f>IFERROR(SUMIFS(Infrastructure[2038],
Infrastructure[[variable_type]:[variable_type]],"H2_outflow",
Infrastructure[[cluster]:[cluster]],$B$480,
Infrastructure[[pipe_cluster_end]:[pipe_cluster_end]],$B485)*PJ2TWh,"")</f>
        <v>0</v>
      </c>
      <c r="U485" s="51">
        <f>IFERROR(SUMIFS(Infrastructure[2039],
Infrastructure[[variable_type]:[variable_type]],"H2_outflow",
Infrastructure[[cluster]:[cluster]],$B$480,
Infrastructure[[pipe_cluster_end]:[pipe_cluster_end]],$B485)*PJ2TWh,"")</f>
        <v>0</v>
      </c>
      <c r="V485" s="51">
        <f>IFERROR(SUMIFS(Infrastructure[2040],
Infrastructure[[variable_type]:[variable_type]],"H2_outflow",
Infrastructure[[cluster]:[cluster]],$B$480,
Infrastructure[[pipe_cluster_end]:[pipe_cluster_end]],$B485)*PJ2TWh,"")</f>
        <v>0</v>
      </c>
      <c r="W485" s="51">
        <f>IFERROR(SUMIFS(Infrastructure[2041],
Infrastructure[[variable_type]:[variable_type]],"H2_outflow",
Infrastructure[[cluster]:[cluster]],$B$480,
Infrastructure[[pipe_cluster_end]:[pipe_cluster_end]],$B485)*PJ2TWh,"")</f>
        <v>0</v>
      </c>
      <c r="X485" s="51">
        <f>IFERROR(SUMIFS(Infrastructure[2042],
Infrastructure[[variable_type]:[variable_type]],"H2_outflow",
Infrastructure[[cluster]:[cluster]],$B$480,
Infrastructure[[pipe_cluster_end]:[pipe_cluster_end]],$B485)*PJ2TWh,"")</f>
        <v>0</v>
      </c>
      <c r="Y485" s="51">
        <f>IFERROR(SUMIFS(Infrastructure[2043],
Infrastructure[[variable_type]:[variable_type]],"H2_outflow",
Infrastructure[[cluster]:[cluster]],$B$480,
Infrastructure[[pipe_cluster_end]:[pipe_cluster_end]],$B485)*PJ2TWh,"")</f>
        <v>0</v>
      </c>
      <c r="Z485" s="51">
        <f>IFERROR(SUMIFS(Infrastructure[2044],
Infrastructure[[variable_type]:[variable_type]],"H2_outflow",
Infrastructure[[cluster]:[cluster]],$B$480,
Infrastructure[[pipe_cluster_end]:[pipe_cluster_end]],$B485)*PJ2TWh,"")</f>
        <v>0</v>
      </c>
      <c r="AA485" s="51">
        <f>IFERROR(SUMIFS(Infrastructure[2045],
Infrastructure[[variable_type]:[variable_type]],"H2_outflow",
Infrastructure[[cluster]:[cluster]],$B$480,
Infrastructure[[pipe_cluster_end]:[pipe_cluster_end]],$B485)*PJ2TWh,"")</f>
        <v>0</v>
      </c>
      <c r="AB485" s="51">
        <f>IFERROR(SUMIFS(Infrastructure[2046],
Infrastructure[[variable_type]:[variable_type]],"H2_outflow",
Infrastructure[[cluster]:[cluster]],$B$480,
Infrastructure[[pipe_cluster_end]:[pipe_cluster_end]],$B485)*PJ2TWh,"")</f>
        <v>0</v>
      </c>
      <c r="AC485" s="51">
        <f>IFERROR(SUMIFS(Infrastructure[2047],
Infrastructure[[variable_type]:[variable_type]],"H2_outflow",
Infrastructure[[cluster]:[cluster]],$B$480,
Infrastructure[[pipe_cluster_end]:[pipe_cluster_end]],$B485)*PJ2TWh,"")</f>
        <v>0</v>
      </c>
      <c r="AD485" s="51">
        <f>IFERROR(SUMIFS(Infrastructure[2048],
Infrastructure[[variable_type]:[variable_type]],"H2_outflow",
Infrastructure[[cluster]:[cluster]],$B$480,
Infrastructure[[pipe_cluster_end]:[pipe_cluster_end]],$B485)*PJ2TWh,"")</f>
        <v>0</v>
      </c>
      <c r="AE485" s="51">
        <f>IFERROR(SUMIFS(Infrastructure[2049],
Infrastructure[[variable_type]:[variable_type]],"H2_outflow",
Infrastructure[[cluster]:[cluster]],$B$480,
Infrastructure[[pipe_cluster_end]:[pipe_cluster_end]],$B485)*PJ2TWh,"")</f>
        <v>0</v>
      </c>
      <c r="AF485" s="51">
        <f>IFERROR(SUMIFS(Infrastructure[2050],
Infrastructure[[variable_type]:[variable_type]],"H2_outflow",
Infrastructure[[cluster]:[cluster]],$B$480,
Infrastructure[[pipe_cluster_end]:[pipe_cluster_end]],$B485)*PJ2TWh,"")</f>
        <v>0</v>
      </c>
      <c r="AG485" s="51">
        <f>IFERROR(SUMIFS(Infrastructure[2051],
Infrastructure[[variable_type]:[variable_type]],"H2_outflow",
Infrastructure[[cluster]:[cluster]],$B$480,
Infrastructure[[pipe_cluster_end]:[pipe_cluster_end]],$B485)*PJ2TWh,"")</f>
        <v>0</v>
      </c>
    </row>
    <row r="486" spans="1:33" x14ac:dyDescent="0.45">
      <c r="A486" s="2"/>
      <c r="B486" s="24" t="s">
        <v>74</v>
      </c>
      <c r="C486" s="51">
        <f>IFERROR(SUMIFS(Infrastructure[2021],
Infrastructure[[variable_type]:[variable_type]],"H2_outflow",
Infrastructure[[cluster]:[cluster]],$B$480,
Infrastructure[[pipe_cluster_end]:[pipe_cluster_end]],$B486)*PJ2TWh,"")</f>
        <v>0</v>
      </c>
      <c r="D486" s="51">
        <f>IFERROR(SUMIFS(Infrastructure[2022],
Infrastructure[[variable_type]:[variable_type]],"H2_outflow",
Infrastructure[[cluster]:[cluster]],$B$480,
Infrastructure[[pipe_cluster_end]:[pipe_cluster_end]],$B486)*PJ2TWh,"")</f>
        <v>0</v>
      </c>
      <c r="E486" s="51">
        <f>IFERROR(SUMIFS(Infrastructure[2023],
Infrastructure[[variable_type]:[variable_type]],"H2_outflow",
Infrastructure[[cluster]:[cluster]],$B$480,
Infrastructure[[pipe_cluster_end]:[pipe_cluster_end]],$B486)*PJ2TWh,"")</f>
        <v>0</v>
      </c>
      <c r="F486" s="51">
        <f>IFERROR(SUMIFS(Infrastructure[2024],
Infrastructure[[variable_type]:[variable_type]],"H2_outflow",
Infrastructure[[cluster]:[cluster]],$B$480,
Infrastructure[[pipe_cluster_end]:[pipe_cluster_end]],$B486)*PJ2TWh,"")</f>
        <v>0</v>
      </c>
      <c r="G486" s="51">
        <f>IFERROR(SUMIFS(Infrastructure[2025],
Infrastructure[[variable_type]:[variable_type]],"H2_outflow",
Infrastructure[[cluster]:[cluster]],$B$480,
Infrastructure[[pipe_cluster_end]:[pipe_cluster_end]],$B486)*PJ2TWh,"")</f>
        <v>0</v>
      </c>
      <c r="H486" s="51">
        <f>IFERROR(SUMIFS(Infrastructure[2026],
Infrastructure[[variable_type]:[variable_type]],"H2_outflow",
Infrastructure[[cluster]:[cluster]],$B$480,
Infrastructure[[pipe_cluster_end]:[pipe_cluster_end]],$B486)*PJ2TWh,"")</f>
        <v>0</v>
      </c>
      <c r="I486" s="51">
        <f>IFERROR(SUMIFS(Infrastructure[2027],
Infrastructure[[variable_type]:[variable_type]],"H2_outflow",
Infrastructure[[cluster]:[cluster]],$B$480,
Infrastructure[[pipe_cluster_end]:[pipe_cluster_end]],$B486)*PJ2TWh,"")</f>
        <v>0</v>
      </c>
      <c r="J486" s="51">
        <f>IFERROR(SUMIFS(Infrastructure[2028],
Infrastructure[[variable_type]:[variable_type]],"H2_outflow",
Infrastructure[[cluster]:[cluster]],$B$480,
Infrastructure[[pipe_cluster_end]:[pipe_cluster_end]],$B486)*PJ2TWh,"")</f>
        <v>0</v>
      </c>
      <c r="K486" s="51">
        <f>IFERROR(SUMIFS(Infrastructure[2029],
Infrastructure[[variable_type]:[variable_type]],"H2_outflow",
Infrastructure[[cluster]:[cluster]],$B$480,
Infrastructure[[pipe_cluster_end]:[pipe_cluster_end]],$B486)*PJ2TWh,"")</f>
        <v>0</v>
      </c>
      <c r="L486" s="51">
        <f>IFERROR(SUMIFS(Infrastructure[2030],
Infrastructure[[variable_type]:[variable_type]],"H2_outflow",
Infrastructure[[cluster]:[cluster]],$B$480,
Infrastructure[[pipe_cluster_end]:[pipe_cluster_end]],$B486)*PJ2TWh,"")</f>
        <v>0</v>
      </c>
      <c r="M486" s="51">
        <f>IFERROR(SUMIFS(Infrastructure[2031],
Infrastructure[[variable_type]:[variable_type]],"H2_outflow",
Infrastructure[[cluster]:[cluster]],$B$480,
Infrastructure[[pipe_cluster_end]:[pipe_cluster_end]],$B486)*PJ2TWh,"")</f>
        <v>0</v>
      </c>
      <c r="N486" s="51">
        <f>IFERROR(SUMIFS(Infrastructure[2032],
Infrastructure[[variable_type]:[variable_type]],"H2_outflow",
Infrastructure[[cluster]:[cluster]],$B$480,
Infrastructure[[pipe_cluster_end]:[pipe_cluster_end]],$B486)*PJ2TWh,"")</f>
        <v>0</v>
      </c>
      <c r="O486" s="51">
        <f>IFERROR(SUMIFS(Infrastructure[2033],
Infrastructure[[variable_type]:[variable_type]],"H2_outflow",
Infrastructure[[cluster]:[cluster]],$B$480,
Infrastructure[[pipe_cluster_end]:[pipe_cluster_end]],$B486)*PJ2TWh,"")</f>
        <v>0</v>
      </c>
      <c r="P486" s="51">
        <f>IFERROR(SUMIFS(Infrastructure[2034],
Infrastructure[[variable_type]:[variable_type]],"H2_outflow",
Infrastructure[[cluster]:[cluster]],$B$480,
Infrastructure[[pipe_cluster_end]:[pipe_cluster_end]],$B486)*PJ2TWh,"")</f>
        <v>0</v>
      </c>
      <c r="Q486" s="51">
        <f>IFERROR(SUMIFS(Infrastructure[2035],
Infrastructure[[variable_type]:[variable_type]],"H2_outflow",
Infrastructure[[cluster]:[cluster]],$B$480,
Infrastructure[[pipe_cluster_end]:[pipe_cluster_end]],$B486)*PJ2TWh,"")</f>
        <v>0</v>
      </c>
      <c r="R486" s="51">
        <f>IFERROR(SUMIFS(Infrastructure[2036],
Infrastructure[[variable_type]:[variable_type]],"H2_outflow",
Infrastructure[[cluster]:[cluster]],$B$480,
Infrastructure[[pipe_cluster_end]:[pipe_cluster_end]],$B486)*PJ2TWh,"")</f>
        <v>0</v>
      </c>
      <c r="S486" s="51">
        <f>IFERROR(SUMIFS(Infrastructure[2037],
Infrastructure[[variable_type]:[variable_type]],"H2_outflow",
Infrastructure[[cluster]:[cluster]],$B$480,
Infrastructure[[pipe_cluster_end]:[pipe_cluster_end]],$B486)*PJ2TWh,"")</f>
        <v>0</v>
      </c>
      <c r="T486" s="51">
        <f>IFERROR(SUMIFS(Infrastructure[2038],
Infrastructure[[variable_type]:[variable_type]],"H2_outflow",
Infrastructure[[cluster]:[cluster]],$B$480,
Infrastructure[[pipe_cluster_end]:[pipe_cluster_end]],$B486)*PJ2TWh,"")</f>
        <v>0</v>
      </c>
      <c r="U486" s="51">
        <f>IFERROR(SUMIFS(Infrastructure[2039],
Infrastructure[[variable_type]:[variable_type]],"H2_outflow",
Infrastructure[[cluster]:[cluster]],$B$480,
Infrastructure[[pipe_cluster_end]:[pipe_cluster_end]],$B486)*PJ2TWh,"")</f>
        <v>0</v>
      </c>
      <c r="V486" s="51">
        <f>IFERROR(SUMIFS(Infrastructure[2040],
Infrastructure[[variable_type]:[variable_type]],"H2_outflow",
Infrastructure[[cluster]:[cluster]],$B$480,
Infrastructure[[pipe_cluster_end]:[pipe_cluster_end]],$B486)*PJ2TWh,"")</f>
        <v>0</v>
      </c>
      <c r="W486" s="51">
        <f>IFERROR(SUMIFS(Infrastructure[2041],
Infrastructure[[variable_type]:[variable_type]],"H2_outflow",
Infrastructure[[cluster]:[cluster]],$B$480,
Infrastructure[[pipe_cluster_end]:[pipe_cluster_end]],$B486)*PJ2TWh,"")</f>
        <v>0</v>
      </c>
      <c r="X486" s="51">
        <f>IFERROR(SUMIFS(Infrastructure[2042],
Infrastructure[[variable_type]:[variable_type]],"H2_outflow",
Infrastructure[[cluster]:[cluster]],$B$480,
Infrastructure[[pipe_cluster_end]:[pipe_cluster_end]],$B486)*PJ2TWh,"")</f>
        <v>0</v>
      </c>
      <c r="Y486" s="51">
        <f>IFERROR(SUMIFS(Infrastructure[2043],
Infrastructure[[variable_type]:[variable_type]],"H2_outflow",
Infrastructure[[cluster]:[cluster]],$B$480,
Infrastructure[[pipe_cluster_end]:[pipe_cluster_end]],$B486)*PJ2TWh,"")</f>
        <v>0</v>
      </c>
      <c r="Z486" s="51">
        <f>IFERROR(SUMIFS(Infrastructure[2044],
Infrastructure[[variable_type]:[variable_type]],"H2_outflow",
Infrastructure[[cluster]:[cluster]],$B$480,
Infrastructure[[pipe_cluster_end]:[pipe_cluster_end]],$B486)*PJ2TWh,"")</f>
        <v>0</v>
      </c>
      <c r="AA486" s="51">
        <f>IFERROR(SUMIFS(Infrastructure[2045],
Infrastructure[[variable_type]:[variable_type]],"H2_outflow",
Infrastructure[[cluster]:[cluster]],$B$480,
Infrastructure[[pipe_cluster_end]:[pipe_cluster_end]],$B486)*PJ2TWh,"")</f>
        <v>0</v>
      </c>
      <c r="AB486" s="51">
        <f>IFERROR(SUMIFS(Infrastructure[2046],
Infrastructure[[variable_type]:[variable_type]],"H2_outflow",
Infrastructure[[cluster]:[cluster]],$B$480,
Infrastructure[[pipe_cluster_end]:[pipe_cluster_end]],$B486)*PJ2TWh,"")</f>
        <v>0</v>
      </c>
      <c r="AC486" s="51">
        <f>IFERROR(SUMIFS(Infrastructure[2047],
Infrastructure[[variable_type]:[variable_type]],"H2_outflow",
Infrastructure[[cluster]:[cluster]],$B$480,
Infrastructure[[pipe_cluster_end]:[pipe_cluster_end]],$B486)*PJ2TWh,"")</f>
        <v>0</v>
      </c>
      <c r="AD486" s="51">
        <f>IFERROR(SUMIFS(Infrastructure[2048],
Infrastructure[[variable_type]:[variable_type]],"H2_outflow",
Infrastructure[[cluster]:[cluster]],$B$480,
Infrastructure[[pipe_cluster_end]:[pipe_cluster_end]],$B486)*PJ2TWh,"")</f>
        <v>0</v>
      </c>
      <c r="AE486" s="51">
        <f>IFERROR(SUMIFS(Infrastructure[2049],
Infrastructure[[variable_type]:[variable_type]],"H2_outflow",
Infrastructure[[cluster]:[cluster]],$B$480,
Infrastructure[[pipe_cluster_end]:[pipe_cluster_end]],$B486)*PJ2TWh,"")</f>
        <v>0</v>
      </c>
      <c r="AF486" s="51">
        <f>IFERROR(SUMIFS(Infrastructure[2050],
Infrastructure[[variable_type]:[variable_type]],"H2_outflow",
Infrastructure[[cluster]:[cluster]],$B$480,
Infrastructure[[pipe_cluster_end]:[pipe_cluster_end]],$B486)*PJ2TWh,"")</f>
        <v>0</v>
      </c>
      <c r="AG486" s="51">
        <f>IFERROR(SUMIFS(Infrastructure[2051],
Infrastructure[[variable_type]:[variable_type]],"H2_outflow",
Infrastructure[[cluster]:[cluster]],$B$480,
Infrastructure[[pipe_cluster_end]:[pipe_cluster_end]],$B486)*PJ2TWh,"")</f>
        <v>0</v>
      </c>
    </row>
    <row r="487" spans="1:33" x14ac:dyDescent="0.45">
      <c r="A487" s="2"/>
      <c r="B487" s="24" t="s">
        <v>75</v>
      </c>
      <c r="C487" s="51">
        <f>IFERROR(SUMIFS(Infrastructure[2021],
Infrastructure[[variable_type]:[variable_type]],"H2_outflow",
Infrastructure[[cluster]:[cluster]],$B$480,
Infrastructure[[pipe_cluster_end]:[pipe_cluster_end]],$B487)*PJ2TWh,"")</f>
        <v>0</v>
      </c>
      <c r="D487" s="51">
        <f>IFERROR(SUMIFS(Infrastructure[2022],
Infrastructure[[variable_type]:[variable_type]],"H2_outflow",
Infrastructure[[cluster]:[cluster]],$B$480,
Infrastructure[[pipe_cluster_end]:[pipe_cluster_end]],$B487)*PJ2TWh,"")</f>
        <v>0</v>
      </c>
      <c r="E487" s="51">
        <f>IFERROR(SUMIFS(Infrastructure[2023],
Infrastructure[[variable_type]:[variable_type]],"H2_outflow",
Infrastructure[[cluster]:[cluster]],$B$480,
Infrastructure[[pipe_cluster_end]:[pipe_cluster_end]],$B487)*PJ2TWh,"")</f>
        <v>0</v>
      </c>
      <c r="F487" s="51">
        <f>IFERROR(SUMIFS(Infrastructure[2024],
Infrastructure[[variable_type]:[variable_type]],"H2_outflow",
Infrastructure[[cluster]:[cluster]],$B$480,
Infrastructure[[pipe_cluster_end]:[pipe_cluster_end]],$B487)*PJ2TWh,"")</f>
        <v>0</v>
      </c>
      <c r="G487" s="51">
        <f>IFERROR(SUMIFS(Infrastructure[2025],
Infrastructure[[variable_type]:[variable_type]],"H2_outflow",
Infrastructure[[cluster]:[cluster]],$B$480,
Infrastructure[[pipe_cluster_end]:[pipe_cluster_end]],$B487)*PJ2TWh,"")</f>
        <v>0</v>
      </c>
      <c r="H487" s="51">
        <f>IFERROR(SUMIFS(Infrastructure[2026],
Infrastructure[[variable_type]:[variable_type]],"H2_outflow",
Infrastructure[[cluster]:[cluster]],$B$480,
Infrastructure[[pipe_cluster_end]:[pipe_cluster_end]],$B487)*PJ2TWh,"")</f>
        <v>0</v>
      </c>
      <c r="I487" s="51">
        <f>IFERROR(SUMIFS(Infrastructure[2027],
Infrastructure[[variable_type]:[variable_type]],"H2_outflow",
Infrastructure[[cluster]:[cluster]],$B$480,
Infrastructure[[pipe_cluster_end]:[pipe_cluster_end]],$B487)*PJ2TWh,"")</f>
        <v>0</v>
      </c>
      <c r="J487" s="51">
        <f>IFERROR(SUMIFS(Infrastructure[2028],
Infrastructure[[variable_type]:[variable_type]],"H2_outflow",
Infrastructure[[cluster]:[cluster]],$B$480,
Infrastructure[[pipe_cluster_end]:[pipe_cluster_end]],$B487)*PJ2TWh,"")</f>
        <v>0</v>
      </c>
      <c r="K487" s="51">
        <f>IFERROR(SUMIFS(Infrastructure[2029],
Infrastructure[[variable_type]:[variable_type]],"H2_outflow",
Infrastructure[[cluster]:[cluster]],$B$480,
Infrastructure[[pipe_cluster_end]:[pipe_cluster_end]],$B487)*PJ2TWh,"")</f>
        <v>0</v>
      </c>
      <c r="L487" s="51">
        <f>IFERROR(SUMIFS(Infrastructure[2030],
Infrastructure[[variable_type]:[variable_type]],"H2_outflow",
Infrastructure[[cluster]:[cluster]],$B$480,
Infrastructure[[pipe_cluster_end]:[pipe_cluster_end]],$B487)*PJ2TWh,"")</f>
        <v>0</v>
      </c>
      <c r="M487" s="51">
        <f>IFERROR(SUMIFS(Infrastructure[2031],
Infrastructure[[variable_type]:[variable_type]],"H2_outflow",
Infrastructure[[cluster]:[cluster]],$B$480,
Infrastructure[[pipe_cluster_end]:[pipe_cluster_end]],$B487)*PJ2TWh,"")</f>
        <v>0</v>
      </c>
      <c r="N487" s="51">
        <f>IFERROR(SUMIFS(Infrastructure[2032],
Infrastructure[[variable_type]:[variable_type]],"H2_outflow",
Infrastructure[[cluster]:[cluster]],$B$480,
Infrastructure[[pipe_cluster_end]:[pipe_cluster_end]],$B487)*PJ2TWh,"")</f>
        <v>0</v>
      </c>
      <c r="O487" s="51">
        <f>IFERROR(SUMIFS(Infrastructure[2033],
Infrastructure[[variable_type]:[variable_type]],"H2_outflow",
Infrastructure[[cluster]:[cluster]],$B$480,
Infrastructure[[pipe_cluster_end]:[pipe_cluster_end]],$B487)*PJ2TWh,"")</f>
        <v>0</v>
      </c>
      <c r="P487" s="51">
        <f>IFERROR(SUMIFS(Infrastructure[2034],
Infrastructure[[variable_type]:[variable_type]],"H2_outflow",
Infrastructure[[cluster]:[cluster]],$B$480,
Infrastructure[[pipe_cluster_end]:[pipe_cluster_end]],$B487)*PJ2TWh,"")</f>
        <v>0</v>
      </c>
      <c r="Q487" s="51">
        <f>IFERROR(SUMIFS(Infrastructure[2035],
Infrastructure[[variable_type]:[variable_type]],"H2_outflow",
Infrastructure[[cluster]:[cluster]],$B$480,
Infrastructure[[pipe_cluster_end]:[pipe_cluster_end]],$B487)*PJ2TWh,"")</f>
        <v>0</v>
      </c>
      <c r="R487" s="51">
        <f>IFERROR(SUMIFS(Infrastructure[2036],
Infrastructure[[variable_type]:[variable_type]],"H2_outflow",
Infrastructure[[cluster]:[cluster]],$B$480,
Infrastructure[[pipe_cluster_end]:[pipe_cluster_end]],$B487)*PJ2TWh,"")</f>
        <v>0</v>
      </c>
      <c r="S487" s="51">
        <f>IFERROR(SUMIFS(Infrastructure[2037],
Infrastructure[[variable_type]:[variable_type]],"H2_outflow",
Infrastructure[[cluster]:[cluster]],$B$480,
Infrastructure[[pipe_cluster_end]:[pipe_cluster_end]],$B487)*PJ2TWh,"")</f>
        <v>0</v>
      </c>
      <c r="T487" s="51">
        <f>IFERROR(SUMIFS(Infrastructure[2038],
Infrastructure[[variable_type]:[variable_type]],"H2_outflow",
Infrastructure[[cluster]:[cluster]],$B$480,
Infrastructure[[pipe_cluster_end]:[pipe_cluster_end]],$B487)*PJ2TWh,"")</f>
        <v>0</v>
      </c>
      <c r="U487" s="51">
        <f>IFERROR(SUMIFS(Infrastructure[2039],
Infrastructure[[variable_type]:[variable_type]],"H2_outflow",
Infrastructure[[cluster]:[cluster]],$B$480,
Infrastructure[[pipe_cluster_end]:[pipe_cluster_end]],$B487)*PJ2TWh,"")</f>
        <v>0</v>
      </c>
      <c r="V487" s="51">
        <f>IFERROR(SUMIFS(Infrastructure[2040],
Infrastructure[[variable_type]:[variable_type]],"H2_outflow",
Infrastructure[[cluster]:[cluster]],$B$480,
Infrastructure[[pipe_cluster_end]:[pipe_cluster_end]],$B487)*PJ2TWh,"")</f>
        <v>0</v>
      </c>
      <c r="W487" s="51">
        <f>IFERROR(SUMIFS(Infrastructure[2041],
Infrastructure[[variable_type]:[variable_type]],"H2_outflow",
Infrastructure[[cluster]:[cluster]],$B$480,
Infrastructure[[pipe_cluster_end]:[pipe_cluster_end]],$B487)*PJ2TWh,"")</f>
        <v>0</v>
      </c>
      <c r="X487" s="51">
        <f>IFERROR(SUMIFS(Infrastructure[2042],
Infrastructure[[variable_type]:[variable_type]],"H2_outflow",
Infrastructure[[cluster]:[cluster]],$B$480,
Infrastructure[[pipe_cluster_end]:[pipe_cluster_end]],$B487)*PJ2TWh,"")</f>
        <v>0</v>
      </c>
      <c r="Y487" s="51">
        <f>IFERROR(SUMIFS(Infrastructure[2043],
Infrastructure[[variable_type]:[variable_type]],"H2_outflow",
Infrastructure[[cluster]:[cluster]],$B$480,
Infrastructure[[pipe_cluster_end]:[pipe_cluster_end]],$B487)*PJ2TWh,"")</f>
        <v>0</v>
      </c>
      <c r="Z487" s="51">
        <f>IFERROR(SUMIFS(Infrastructure[2044],
Infrastructure[[variable_type]:[variable_type]],"H2_outflow",
Infrastructure[[cluster]:[cluster]],$B$480,
Infrastructure[[pipe_cluster_end]:[pipe_cluster_end]],$B487)*PJ2TWh,"")</f>
        <v>0</v>
      </c>
      <c r="AA487" s="51">
        <f>IFERROR(SUMIFS(Infrastructure[2045],
Infrastructure[[variable_type]:[variable_type]],"H2_outflow",
Infrastructure[[cluster]:[cluster]],$B$480,
Infrastructure[[pipe_cluster_end]:[pipe_cluster_end]],$B487)*PJ2TWh,"")</f>
        <v>0</v>
      </c>
      <c r="AB487" s="51">
        <f>IFERROR(SUMIFS(Infrastructure[2046],
Infrastructure[[variable_type]:[variable_type]],"H2_outflow",
Infrastructure[[cluster]:[cluster]],$B$480,
Infrastructure[[pipe_cluster_end]:[pipe_cluster_end]],$B487)*PJ2TWh,"")</f>
        <v>0</v>
      </c>
      <c r="AC487" s="51">
        <f>IFERROR(SUMIFS(Infrastructure[2047],
Infrastructure[[variable_type]:[variable_type]],"H2_outflow",
Infrastructure[[cluster]:[cluster]],$B$480,
Infrastructure[[pipe_cluster_end]:[pipe_cluster_end]],$B487)*PJ2TWh,"")</f>
        <v>0</v>
      </c>
      <c r="AD487" s="51">
        <f>IFERROR(SUMIFS(Infrastructure[2048],
Infrastructure[[variable_type]:[variable_type]],"H2_outflow",
Infrastructure[[cluster]:[cluster]],$B$480,
Infrastructure[[pipe_cluster_end]:[pipe_cluster_end]],$B487)*PJ2TWh,"")</f>
        <v>0</v>
      </c>
      <c r="AE487" s="51">
        <f>IFERROR(SUMIFS(Infrastructure[2049],
Infrastructure[[variable_type]:[variable_type]],"H2_outflow",
Infrastructure[[cluster]:[cluster]],$B$480,
Infrastructure[[pipe_cluster_end]:[pipe_cluster_end]],$B487)*PJ2TWh,"")</f>
        <v>0</v>
      </c>
      <c r="AF487" s="51">
        <f>IFERROR(SUMIFS(Infrastructure[2050],
Infrastructure[[variable_type]:[variable_type]],"H2_outflow",
Infrastructure[[cluster]:[cluster]],$B$480,
Infrastructure[[pipe_cluster_end]:[pipe_cluster_end]],$B487)*PJ2TWh,"")</f>
        <v>0</v>
      </c>
      <c r="AG487" s="51">
        <f>IFERROR(SUMIFS(Infrastructure[2051],
Infrastructure[[variable_type]:[variable_type]],"H2_outflow",
Infrastructure[[cluster]:[cluster]],$B$480,
Infrastructure[[pipe_cluster_end]:[pipe_cluster_end]],$B487)*PJ2TWh,"")</f>
        <v>0</v>
      </c>
    </row>
    <row r="488" spans="1:33" x14ac:dyDescent="0.45">
      <c r="A488" s="2"/>
      <c r="B488" s="24" t="s">
        <v>76</v>
      </c>
      <c r="C488" s="51">
        <f>IFERROR(SUMIFS(Infrastructure[2021],
Infrastructure[[variable_type]:[variable_type]],"H2_outflow",
Infrastructure[[cluster]:[cluster]],$B$480,
Infrastructure[[pipe_cluster_end]:[pipe_cluster_end]],$B488)*PJ2TWh,"")</f>
        <v>0</v>
      </c>
      <c r="D488" s="51">
        <f>IFERROR(SUMIFS(Infrastructure[2022],
Infrastructure[[variable_type]:[variable_type]],"H2_outflow",
Infrastructure[[cluster]:[cluster]],$B$480,
Infrastructure[[pipe_cluster_end]:[pipe_cluster_end]],$B488)*PJ2TWh,"")</f>
        <v>0</v>
      </c>
      <c r="E488" s="51">
        <f>IFERROR(SUMIFS(Infrastructure[2023],
Infrastructure[[variable_type]:[variable_type]],"H2_outflow",
Infrastructure[[cluster]:[cluster]],$B$480,
Infrastructure[[pipe_cluster_end]:[pipe_cluster_end]],$B488)*PJ2TWh,"")</f>
        <v>0</v>
      </c>
      <c r="F488" s="51">
        <f>IFERROR(SUMIFS(Infrastructure[2024],
Infrastructure[[variable_type]:[variable_type]],"H2_outflow",
Infrastructure[[cluster]:[cluster]],$B$480,
Infrastructure[[pipe_cluster_end]:[pipe_cluster_end]],$B488)*PJ2TWh,"")</f>
        <v>0</v>
      </c>
      <c r="G488" s="51">
        <f>IFERROR(SUMIFS(Infrastructure[2025],
Infrastructure[[variable_type]:[variable_type]],"H2_outflow",
Infrastructure[[cluster]:[cluster]],$B$480,
Infrastructure[[pipe_cluster_end]:[pipe_cluster_end]],$B488)*PJ2TWh,"")</f>
        <v>0</v>
      </c>
      <c r="H488" s="51">
        <f>IFERROR(SUMIFS(Infrastructure[2026],
Infrastructure[[variable_type]:[variable_type]],"H2_outflow",
Infrastructure[[cluster]:[cluster]],$B$480,
Infrastructure[[pipe_cluster_end]:[pipe_cluster_end]],$B488)*PJ2TWh,"")</f>
        <v>0</v>
      </c>
      <c r="I488" s="51">
        <f>IFERROR(SUMIFS(Infrastructure[2027],
Infrastructure[[variable_type]:[variable_type]],"H2_outflow",
Infrastructure[[cluster]:[cluster]],$B$480,
Infrastructure[[pipe_cluster_end]:[pipe_cluster_end]],$B488)*PJ2TWh,"")</f>
        <v>0</v>
      </c>
      <c r="J488" s="51">
        <f>IFERROR(SUMIFS(Infrastructure[2028],
Infrastructure[[variable_type]:[variable_type]],"H2_outflow",
Infrastructure[[cluster]:[cluster]],$B$480,
Infrastructure[[pipe_cluster_end]:[pipe_cluster_end]],$B488)*PJ2TWh,"")</f>
        <v>0</v>
      </c>
      <c r="K488" s="51">
        <f>IFERROR(SUMIFS(Infrastructure[2029],
Infrastructure[[variable_type]:[variable_type]],"H2_outflow",
Infrastructure[[cluster]:[cluster]],$B$480,
Infrastructure[[pipe_cluster_end]:[pipe_cluster_end]],$B488)*PJ2TWh,"")</f>
        <v>0</v>
      </c>
      <c r="L488" s="51">
        <f>IFERROR(SUMIFS(Infrastructure[2030],
Infrastructure[[variable_type]:[variable_type]],"H2_outflow",
Infrastructure[[cluster]:[cluster]],$B$480,
Infrastructure[[pipe_cluster_end]:[pipe_cluster_end]],$B488)*PJ2TWh,"")</f>
        <v>0</v>
      </c>
      <c r="M488" s="51">
        <f>IFERROR(SUMIFS(Infrastructure[2031],
Infrastructure[[variable_type]:[variable_type]],"H2_outflow",
Infrastructure[[cluster]:[cluster]],$B$480,
Infrastructure[[pipe_cluster_end]:[pipe_cluster_end]],$B488)*PJ2TWh,"")</f>
        <v>0</v>
      </c>
      <c r="N488" s="51">
        <f>IFERROR(SUMIFS(Infrastructure[2032],
Infrastructure[[variable_type]:[variable_type]],"H2_outflow",
Infrastructure[[cluster]:[cluster]],$B$480,
Infrastructure[[pipe_cluster_end]:[pipe_cluster_end]],$B488)*PJ2TWh,"")</f>
        <v>0</v>
      </c>
      <c r="O488" s="51">
        <f>IFERROR(SUMIFS(Infrastructure[2033],
Infrastructure[[variable_type]:[variable_type]],"H2_outflow",
Infrastructure[[cluster]:[cluster]],$B$480,
Infrastructure[[pipe_cluster_end]:[pipe_cluster_end]],$B488)*PJ2TWh,"")</f>
        <v>0</v>
      </c>
      <c r="P488" s="51">
        <f>IFERROR(SUMIFS(Infrastructure[2034],
Infrastructure[[variable_type]:[variable_type]],"H2_outflow",
Infrastructure[[cluster]:[cluster]],$B$480,
Infrastructure[[pipe_cluster_end]:[pipe_cluster_end]],$B488)*PJ2TWh,"")</f>
        <v>0</v>
      </c>
      <c r="Q488" s="51">
        <f>IFERROR(SUMIFS(Infrastructure[2035],
Infrastructure[[variable_type]:[variable_type]],"H2_outflow",
Infrastructure[[cluster]:[cluster]],$B$480,
Infrastructure[[pipe_cluster_end]:[pipe_cluster_end]],$B488)*PJ2TWh,"")</f>
        <v>0</v>
      </c>
      <c r="R488" s="51">
        <f>IFERROR(SUMIFS(Infrastructure[2036],
Infrastructure[[variable_type]:[variable_type]],"H2_outflow",
Infrastructure[[cluster]:[cluster]],$B$480,
Infrastructure[[pipe_cluster_end]:[pipe_cluster_end]],$B488)*PJ2TWh,"")</f>
        <v>0</v>
      </c>
      <c r="S488" s="51">
        <f>IFERROR(SUMIFS(Infrastructure[2037],
Infrastructure[[variable_type]:[variable_type]],"H2_outflow",
Infrastructure[[cluster]:[cluster]],$B$480,
Infrastructure[[pipe_cluster_end]:[pipe_cluster_end]],$B488)*PJ2TWh,"")</f>
        <v>0</v>
      </c>
      <c r="T488" s="51">
        <f>IFERROR(SUMIFS(Infrastructure[2038],
Infrastructure[[variable_type]:[variable_type]],"H2_outflow",
Infrastructure[[cluster]:[cluster]],$B$480,
Infrastructure[[pipe_cluster_end]:[pipe_cluster_end]],$B488)*PJ2TWh,"")</f>
        <v>0</v>
      </c>
      <c r="U488" s="51">
        <f>IFERROR(SUMIFS(Infrastructure[2039],
Infrastructure[[variable_type]:[variable_type]],"H2_outflow",
Infrastructure[[cluster]:[cluster]],$B$480,
Infrastructure[[pipe_cluster_end]:[pipe_cluster_end]],$B488)*PJ2TWh,"")</f>
        <v>0</v>
      </c>
      <c r="V488" s="51">
        <f>IFERROR(SUMIFS(Infrastructure[2040],
Infrastructure[[variable_type]:[variable_type]],"H2_outflow",
Infrastructure[[cluster]:[cluster]],$B$480,
Infrastructure[[pipe_cluster_end]:[pipe_cluster_end]],$B488)*PJ2TWh,"")</f>
        <v>0</v>
      </c>
      <c r="W488" s="51">
        <f>IFERROR(SUMIFS(Infrastructure[2041],
Infrastructure[[variable_type]:[variable_type]],"H2_outflow",
Infrastructure[[cluster]:[cluster]],$B$480,
Infrastructure[[pipe_cluster_end]:[pipe_cluster_end]],$B488)*PJ2TWh,"")</f>
        <v>0</v>
      </c>
      <c r="X488" s="51">
        <f>IFERROR(SUMIFS(Infrastructure[2042],
Infrastructure[[variable_type]:[variable_type]],"H2_outflow",
Infrastructure[[cluster]:[cluster]],$B$480,
Infrastructure[[pipe_cluster_end]:[pipe_cluster_end]],$B488)*PJ2TWh,"")</f>
        <v>0</v>
      </c>
      <c r="Y488" s="51">
        <f>IFERROR(SUMIFS(Infrastructure[2043],
Infrastructure[[variable_type]:[variable_type]],"H2_outflow",
Infrastructure[[cluster]:[cluster]],$B$480,
Infrastructure[[pipe_cluster_end]:[pipe_cluster_end]],$B488)*PJ2TWh,"")</f>
        <v>0</v>
      </c>
      <c r="Z488" s="51">
        <f>IFERROR(SUMIFS(Infrastructure[2044],
Infrastructure[[variable_type]:[variable_type]],"H2_outflow",
Infrastructure[[cluster]:[cluster]],$B$480,
Infrastructure[[pipe_cluster_end]:[pipe_cluster_end]],$B488)*PJ2TWh,"")</f>
        <v>0</v>
      </c>
      <c r="AA488" s="51">
        <f>IFERROR(SUMIFS(Infrastructure[2045],
Infrastructure[[variable_type]:[variable_type]],"H2_outflow",
Infrastructure[[cluster]:[cluster]],$B$480,
Infrastructure[[pipe_cluster_end]:[pipe_cluster_end]],$B488)*PJ2TWh,"")</f>
        <v>0</v>
      </c>
      <c r="AB488" s="51">
        <f>IFERROR(SUMIFS(Infrastructure[2046],
Infrastructure[[variable_type]:[variable_type]],"H2_outflow",
Infrastructure[[cluster]:[cluster]],$B$480,
Infrastructure[[pipe_cluster_end]:[pipe_cluster_end]],$B488)*PJ2TWh,"")</f>
        <v>0</v>
      </c>
      <c r="AC488" s="51">
        <f>IFERROR(SUMIFS(Infrastructure[2047],
Infrastructure[[variable_type]:[variable_type]],"H2_outflow",
Infrastructure[[cluster]:[cluster]],$B$480,
Infrastructure[[pipe_cluster_end]:[pipe_cluster_end]],$B488)*PJ2TWh,"")</f>
        <v>0</v>
      </c>
      <c r="AD488" s="51">
        <f>IFERROR(SUMIFS(Infrastructure[2048],
Infrastructure[[variable_type]:[variable_type]],"H2_outflow",
Infrastructure[[cluster]:[cluster]],$B$480,
Infrastructure[[pipe_cluster_end]:[pipe_cluster_end]],$B488)*PJ2TWh,"")</f>
        <v>0</v>
      </c>
      <c r="AE488" s="51">
        <f>IFERROR(SUMIFS(Infrastructure[2049],
Infrastructure[[variable_type]:[variable_type]],"H2_outflow",
Infrastructure[[cluster]:[cluster]],$B$480,
Infrastructure[[pipe_cluster_end]:[pipe_cluster_end]],$B488)*PJ2TWh,"")</f>
        <v>0</v>
      </c>
      <c r="AF488" s="51">
        <f>IFERROR(SUMIFS(Infrastructure[2050],
Infrastructure[[variable_type]:[variable_type]],"H2_outflow",
Infrastructure[[cluster]:[cluster]],$B$480,
Infrastructure[[pipe_cluster_end]:[pipe_cluster_end]],$B488)*PJ2TWh,"")</f>
        <v>0</v>
      </c>
      <c r="AG488" s="51">
        <f>IFERROR(SUMIFS(Infrastructure[2051],
Infrastructure[[variable_type]:[variable_type]],"H2_outflow",
Infrastructure[[cluster]:[cluster]],$B$480,
Infrastructure[[pipe_cluster_end]:[pipe_cluster_end]],$B488)*PJ2TWh,"")</f>
        <v>0</v>
      </c>
    </row>
    <row r="489" spans="1:33" x14ac:dyDescent="0.45">
      <c r="A489" s="2"/>
      <c r="B489" s="24" t="s">
        <v>77</v>
      </c>
      <c r="C489" s="51">
        <f>IFERROR(SUMIFS(Infrastructure[2021],
Infrastructure[[variable_type]:[variable_type]],"H2_outflow",
Infrastructure[[cluster]:[cluster]],$B$480,
Infrastructure[[pipe_cluster_end]:[pipe_cluster_end]],$B489)*PJ2TWh,"")</f>
        <v>0</v>
      </c>
      <c r="D489" s="51">
        <f>IFERROR(SUMIFS(Infrastructure[2022],
Infrastructure[[variable_type]:[variable_type]],"H2_outflow",
Infrastructure[[cluster]:[cluster]],$B$480,
Infrastructure[[pipe_cluster_end]:[pipe_cluster_end]],$B489)*PJ2TWh,"")</f>
        <v>0</v>
      </c>
      <c r="E489" s="51">
        <f>IFERROR(SUMIFS(Infrastructure[2023],
Infrastructure[[variable_type]:[variable_type]],"H2_outflow",
Infrastructure[[cluster]:[cluster]],$B$480,
Infrastructure[[pipe_cluster_end]:[pipe_cluster_end]],$B489)*PJ2TWh,"")</f>
        <v>0</v>
      </c>
      <c r="F489" s="51">
        <f>IFERROR(SUMIFS(Infrastructure[2024],
Infrastructure[[variable_type]:[variable_type]],"H2_outflow",
Infrastructure[[cluster]:[cluster]],$B$480,
Infrastructure[[pipe_cluster_end]:[pipe_cluster_end]],$B489)*PJ2TWh,"")</f>
        <v>0</v>
      </c>
      <c r="G489" s="51">
        <f>IFERROR(SUMIFS(Infrastructure[2025],
Infrastructure[[variable_type]:[variable_type]],"H2_outflow",
Infrastructure[[cluster]:[cluster]],$B$480,
Infrastructure[[pipe_cluster_end]:[pipe_cluster_end]],$B489)*PJ2TWh,"")</f>
        <v>0</v>
      </c>
      <c r="H489" s="51">
        <f>IFERROR(SUMIFS(Infrastructure[2026],
Infrastructure[[variable_type]:[variable_type]],"H2_outflow",
Infrastructure[[cluster]:[cluster]],$B$480,
Infrastructure[[pipe_cluster_end]:[pipe_cluster_end]],$B489)*PJ2TWh,"")</f>
        <v>0</v>
      </c>
      <c r="I489" s="51">
        <f>IFERROR(SUMIFS(Infrastructure[2027],
Infrastructure[[variable_type]:[variable_type]],"H2_outflow",
Infrastructure[[cluster]:[cluster]],$B$480,
Infrastructure[[pipe_cluster_end]:[pipe_cluster_end]],$B489)*PJ2TWh,"")</f>
        <v>0</v>
      </c>
      <c r="J489" s="51">
        <f>IFERROR(SUMIFS(Infrastructure[2028],
Infrastructure[[variable_type]:[variable_type]],"H2_outflow",
Infrastructure[[cluster]:[cluster]],$B$480,
Infrastructure[[pipe_cluster_end]:[pipe_cluster_end]],$B489)*PJ2TWh,"")</f>
        <v>0</v>
      </c>
      <c r="K489" s="51">
        <f>IFERROR(SUMIFS(Infrastructure[2029],
Infrastructure[[variable_type]:[variable_type]],"H2_outflow",
Infrastructure[[cluster]:[cluster]],$B$480,
Infrastructure[[pipe_cluster_end]:[pipe_cluster_end]],$B489)*PJ2TWh,"")</f>
        <v>0</v>
      </c>
      <c r="L489" s="51">
        <f>IFERROR(SUMIFS(Infrastructure[2030],
Infrastructure[[variable_type]:[variable_type]],"H2_outflow",
Infrastructure[[cluster]:[cluster]],$B$480,
Infrastructure[[pipe_cluster_end]:[pipe_cluster_end]],$B489)*PJ2TWh,"")</f>
        <v>0</v>
      </c>
      <c r="M489" s="51">
        <f>IFERROR(SUMIFS(Infrastructure[2031],
Infrastructure[[variable_type]:[variable_type]],"H2_outflow",
Infrastructure[[cluster]:[cluster]],$B$480,
Infrastructure[[pipe_cluster_end]:[pipe_cluster_end]],$B489)*PJ2TWh,"")</f>
        <v>0</v>
      </c>
      <c r="N489" s="51">
        <f>IFERROR(SUMIFS(Infrastructure[2032],
Infrastructure[[variable_type]:[variable_type]],"H2_outflow",
Infrastructure[[cluster]:[cluster]],$B$480,
Infrastructure[[pipe_cluster_end]:[pipe_cluster_end]],$B489)*PJ2TWh,"")</f>
        <v>0</v>
      </c>
      <c r="O489" s="51">
        <f>IFERROR(SUMIFS(Infrastructure[2033],
Infrastructure[[variable_type]:[variable_type]],"H2_outflow",
Infrastructure[[cluster]:[cluster]],$B$480,
Infrastructure[[pipe_cluster_end]:[pipe_cluster_end]],$B489)*PJ2TWh,"")</f>
        <v>0</v>
      </c>
      <c r="P489" s="51">
        <f>IFERROR(SUMIFS(Infrastructure[2034],
Infrastructure[[variable_type]:[variable_type]],"H2_outflow",
Infrastructure[[cluster]:[cluster]],$B$480,
Infrastructure[[pipe_cluster_end]:[pipe_cluster_end]],$B489)*PJ2TWh,"")</f>
        <v>0</v>
      </c>
      <c r="Q489" s="51">
        <f>IFERROR(SUMIFS(Infrastructure[2035],
Infrastructure[[variable_type]:[variable_type]],"H2_outflow",
Infrastructure[[cluster]:[cluster]],$B$480,
Infrastructure[[pipe_cluster_end]:[pipe_cluster_end]],$B489)*PJ2TWh,"")</f>
        <v>0</v>
      </c>
      <c r="R489" s="51">
        <f>IFERROR(SUMIFS(Infrastructure[2036],
Infrastructure[[variable_type]:[variable_type]],"H2_outflow",
Infrastructure[[cluster]:[cluster]],$B$480,
Infrastructure[[pipe_cluster_end]:[pipe_cluster_end]],$B489)*PJ2TWh,"")</f>
        <v>0</v>
      </c>
      <c r="S489" s="51">
        <f>IFERROR(SUMIFS(Infrastructure[2037],
Infrastructure[[variable_type]:[variable_type]],"H2_outflow",
Infrastructure[[cluster]:[cluster]],$B$480,
Infrastructure[[pipe_cluster_end]:[pipe_cluster_end]],$B489)*PJ2TWh,"")</f>
        <v>0</v>
      </c>
      <c r="T489" s="51">
        <f>IFERROR(SUMIFS(Infrastructure[2038],
Infrastructure[[variable_type]:[variable_type]],"H2_outflow",
Infrastructure[[cluster]:[cluster]],$B$480,
Infrastructure[[pipe_cluster_end]:[pipe_cluster_end]],$B489)*PJ2TWh,"")</f>
        <v>0</v>
      </c>
      <c r="U489" s="51">
        <f>IFERROR(SUMIFS(Infrastructure[2039],
Infrastructure[[variable_type]:[variable_type]],"H2_outflow",
Infrastructure[[cluster]:[cluster]],$B$480,
Infrastructure[[pipe_cluster_end]:[pipe_cluster_end]],$B489)*PJ2TWh,"")</f>
        <v>0</v>
      </c>
      <c r="V489" s="51">
        <f>IFERROR(SUMIFS(Infrastructure[2040],
Infrastructure[[variable_type]:[variable_type]],"H2_outflow",
Infrastructure[[cluster]:[cluster]],$B$480,
Infrastructure[[pipe_cluster_end]:[pipe_cluster_end]],$B489)*PJ2TWh,"")</f>
        <v>0</v>
      </c>
      <c r="W489" s="51">
        <f>IFERROR(SUMIFS(Infrastructure[2041],
Infrastructure[[variable_type]:[variable_type]],"H2_outflow",
Infrastructure[[cluster]:[cluster]],$B$480,
Infrastructure[[pipe_cluster_end]:[pipe_cluster_end]],$B489)*PJ2TWh,"")</f>
        <v>0</v>
      </c>
      <c r="X489" s="51">
        <f>IFERROR(SUMIFS(Infrastructure[2042],
Infrastructure[[variable_type]:[variable_type]],"H2_outflow",
Infrastructure[[cluster]:[cluster]],$B$480,
Infrastructure[[pipe_cluster_end]:[pipe_cluster_end]],$B489)*PJ2TWh,"")</f>
        <v>0</v>
      </c>
      <c r="Y489" s="51">
        <f>IFERROR(SUMIFS(Infrastructure[2043],
Infrastructure[[variable_type]:[variable_type]],"H2_outflow",
Infrastructure[[cluster]:[cluster]],$B$480,
Infrastructure[[pipe_cluster_end]:[pipe_cluster_end]],$B489)*PJ2TWh,"")</f>
        <v>0</v>
      </c>
      <c r="Z489" s="51">
        <f>IFERROR(SUMIFS(Infrastructure[2044],
Infrastructure[[variable_type]:[variable_type]],"H2_outflow",
Infrastructure[[cluster]:[cluster]],$B$480,
Infrastructure[[pipe_cluster_end]:[pipe_cluster_end]],$B489)*PJ2TWh,"")</f>
        <v>0</v>
      </c>
      <c r="AA489" s="51">
        <f>IFERROR(SUMIFS(Infrastructure[2045],
Infrastructure[[variable_type]:[variable_type]],"H2_outflow",
Infrastructure[[cluster]:[cluster]],$B$480,
Infrastructure[[pipe_cluster_end]:[pipe_cluster_end]],$B489)*PJ2TWh,"")</f>
        <v>0</v>
      </c>
      <c r="AB489" s="51">
        <f>IFERROR(SUMIFS(Infrastructure[2046],
Infrastructure[[variable_type]:[variable_type]],"H2_outflow",
Infrastructure[[cluster]:[cluster]],$B$480,
Infrastructure[[pipe_cluster_end]:[pipe_cluster_end]],$B489)*PJ2TWh,"")</f>
        <v>0</v>
      </c>
      <c r="AC489" s="51">
        <f>IFERROR(SUMIFS(Infrastructure[2047],
Infrastructure[[variable_type]:[variable_type]],"H2_outflow",
Infrastructure[[cluster]:[cluster]],$B$480,
Infrastructure[[pipe_cluster_end]:[pipe_cluster_end]],$B489)*PJ2TWh,"")</f>
        <v>0</v>
      </c>
      <c r="AD489" s="51">
        <f>IFERROR(SUMIFS(Infrastructure[2048],
Infrastructure[[variable_type]:[variable_type]],"H2_outflow",
Infrastructure[[cluster]:[cluster]],$B$480,
Infrastructure[[pipe_cluster_end]:[pipe_cluster_end]],$B489)*PJ2TWh,"")</f>
        <v>0</v>
      </c>
      <c r="AE489" s="51">
        <f>IFERROR(SUMIFS(Infrastructure[2049],
Infrastructure[[variable_type]:[variable_type]],"H2_outflow",
Infrastructure[[cluster]:[cluster]],$B$480,
Infrastructure[[pipe_cluster_end]:[pipe_cluster_end]],$B489)*PJ2TWh,"")</f>
        <v>0</v>
      </c>
      <c r="AF489" s="51">
        <f>IFERROR(SUMIFS(Infrastructure[2050],
Infrastructure[[variable_type]:[variable_type]],"H2_outflow",
Infrastructure[[cluster]:[cluster]],$B$480,
Infrastructure[[pipe_cluster_end]:[pipe_cluster_end]],$B489)*PJ2TWh,"")</f>
        <v>0</v>
      </c>
      <c r="AG489" s="51">
        <f>IFERROR(SUMIFS(Infrastructure[2051],
Infrastructure[[variable_type]:[variable_type]],"H2_outflow",
Infrastructure[[cluster]:[cluster]],$B$480,
Infrastructure[[pipe_cluster_end]:[pipe_cluster_end]],$B489)*PJ2TWh,"")</f>
        <v>0</v>
      </c>
    </row>
    <row r="490" spans="1:33" x14ac:dyDescent="0.45">
      <c r="A490" s="2"/>
      <c r="B490" s="24" t="s">
        <v>78</v>
      </c>
      <c r="C490" s="51">
        <f>IFERROR(SUMIFS(Infrastructure[2021],
Infrastructure[[variable_type]:[variable_type]],"H2_outflow",
Infrastructure[[cluster]:[cluster]],$B$480,
Infrastructure[[pipe_cluster_end]:[pipe_cluster_end]],$B490)*PJ2TWh,"")</f>
        <v>0</v>
      </c>
      <c r="D490" s="51">
        <f>IFERROR(SUMIFS(Infrastructure[2022],
Infrastructure[[variable_type]:[variable_type]],"H2_outflow",
Infrastructure[[cluster]:[cluster]],$B$480,
Infrastructure[[pipe_cluster_end]:[pipe_cluster_end]],$B490)*PJ2TWh,"")</f>
        <v>0</v>
      </c>
      <c r="E490" s="51">
        <f>IFERROR(SUMIFS(Infrastructure[2023],
Infrastructure[[variable_type]:[variable_type]],"H2_outflow",
Infrastructure[[cluster]:[cluster]],$B$480,
Infrastructure[[pipe_cluster_end]:[pipe_cluster_end]],$B490)*PJ2TWh,"")</f>
        <v>0</v>
      </c>
      <c r="F490" s="51">
        <f>IFERROR(SUMIFS(Infrastructure[2024],
Infrastructure[[variable_type]:[variable_type]],"H2_outflow",
Infrastructure[[cluster]:[cluster]],$B$480,
Infrastructure[[pipe_cluster_end]:[pipe_cluster_end]],$B490)*PJ2TWh,"")</f>
        <v>0</v>
      </c>
      <c r="G490" s="51">
        <f>IFERROR(SUMIFS(Infrastructure[2025],
Infrastructure[[variable_type]:[variable_type]],"H2_outflow",
Infrastructure[[cluster]:[cluster]],$B$480,
Infrastructure[[pipe_cluster_end]:[pipe_cluster_end]],$B490)*PJ2TWh,"")</f>
        <v>0</v>
      </c>
      <c r="H490" s="51">
        <f>IFERROR(SUMIFS(Infrastructure[2026],
Infrastructure[[variable_type]:[variable_type]],"H2_outflow",
Infrastructure[[cluster]:[cluster]],$B$480,
Infrastructure[[pipe_cluster_end]:[pipe_cluster_end]],$B490)*PJ2TWh,"")</f>
        <v>0</v>
      </c>
      <c r="I490" s="51">
        <f>IFERROR(SUMIFS(Infrastructure[2027],
Infrastructure[[variable_type]:[variable_type]],"H2_outflow",
Infrastructure[[cluster]:[cluster]],$B$480,
Infrastructure[[pipe_cluster_end]:[pipe_cluster_end]],$B490)*PJ2TWh,"")</f>
        <v>0</v>
      </c>
      <c r="J490" s="51">
        <f>IFERROR(SUMIFS(Infrastructure[2028],
Infrastructure[[variable_type]:[variable_type]],"H2_outflow",
Infrastructure[[cluster]:[cluster]],$B$480,
Infrastructure[[pipe_cluster_end]:[pipe_cluster_end]],$B490)*PJ2TWh,"")</f>
        <v>0</v>
      </c>
      <c r="K490" s="51">
        <f>IFERROR(SUMIFS(Infrastructure[2029],
Infrastructure[[variable_type]:[variable_type]],"H2_outflow",
Infrastructure[[cluster]:[cluster]],$B$480,
Infrastructure[[pipe_cluster_end]:[pipe_cluster_end]],$B490)*PJ2TWh,"")</f>
        <v>0</v>
      </c>
      <c r="L490" s="51">
        <f>IFERROR(SUMIFS(Infrastructure[2030],
Infrastructure[[variable_type]:[variable_type]],"H2_outflow",
Infrastructure[[cluster]:[cluster]],$B$480,
Infrastructure[[pipe_cluster_end]:[pipe_cluster_end]],$B490)*PJ2TWh,"")</f>
        <v>0</v>
      </c>
      <c r="M490" s="51">
        <f>IFERROR(SUMIFS(Infrastructure[2031],
Infrastructure[[variable_type]:[variable_type]],"H2_outflow",
Infrastructure[[cluster]:[cluster]],$B$480,
Infrastructure[[pipe_cluster_end]:[pipe_cluster_end]],$B490)*PJ2TWh,"")</f>
        <v>0</v>
      </c>
      <c r="N490" s="51">
        <f>IFERROR(SUMIFS(Infrastructure[2032],
Infrastructure[[variable_type]:[variable_type]],"H2_outflow",
Infrastructure[[cluster]:[cluster]],$B$480,
Infrastructure[[pipe_cluster_end]:[pipe_cluster_end]],$B490)*PJ2TWh,"")</f>
        <v>0</v>
      </c>
      <c r="O490" s="51">
        <f>IFERROR(SUMIFS(Infrastructure[2033],
Infrastructure[[variable_type]:[variable_type]],"H2_outflow",
Infrastructure[[cluster]:[cluster]],$B$480,
Infrastructure[[pipe_cluster_end]:[pipe_cluster_end]],$B490)*PJ2TWh,"")</f>
        <v>0</v>
      </c>
      <c r="P490" s="51">
        <f>IFERROR(SUMIFS(Infrastructure[2034],
Infrastructure[[variable_type]:[variable_type]],"H2_outflow",
Infrastructure[[cluster]:[cluster]],$B$480,
Infrastructure[[pipe_cluster_end]:[pipe_cluster_end]],$B490)*PJ2TWh,"")</f>
        <v>0</v>
      </c>
      <c r="Q490" s="51">
        <f>IFERROR(SUMIFS(Infrastructure[2035],
Infrastructure[[variable_type]:[variable_type]],"H2_outflow",
Infrastructure[[cluster]:[cluster]],$B$480,
Infrastructure[[pipe_cluster_end]:[pipe_cluster_end]],$B490)*PJ2TWh,"")</f>
        <v>0</v>
      </c>
      <c r="R490" s="51">
        <f>IFERROR(SUMIFS(Infrastructure[2036],
Infrastructure[[variable_type]:[variable_type]],"H2_outflow",
Infrastructure[[cluster]:[cluster]],$B$480,
Infrastructure[[pipe_cluster_end]:[pipe_cluster_end]],$B490)*PJ2TWh,"")</f>
        <v>0</v>
      </c>
      <c r="S490" s="51">
        <f>IFERROR(SUMIFS(Infrastructure[2037],
Infrastructure[[variable_type]:[variable_type]],"H2_outflow",
Infrastructure[[cluster]:[cluster]],$B$480,
Infrastructure[[pipe_cluster_end]:[pipe_cluster_end]],$B490)*PJ2TWh,"")</f>
        <v>0</v>
      </c>
      <c r="T490" s="51">
        <f>IFERROR(SUMIFS(Infrastructure[2038],
Infrastructure[[variable_type]:[variable_type]],"H2_outflow",
Infrastructure[[cluster]:[cluster]],$B$480,
Infrastructure[[pipe_cluster_end]:[pipe_cluster_end]],$B490)*PJ2TWh,"")</f>
        <v>0</v>
      </c>
      <c r="U490" s="51">
        <f>IFERROR(SUMIFS(Infrastructure[2039],
Infrastructure[[variable_type]:[variable_type]],"H2_outflow",
Infrastructure[[cluster]:[cluster]],$B$480,
Infrastructure[[pipe_cluster_end]:[pipe_cluster_end]],$B490)*PJ2TWh,"")</f>
        <v>0</v>
      </c>
      <c r="V490" s="51">
        <f>IFERROR(SUMIFS(Infrastructure[2040],
Infrastructure[[variable_type]:[variable_type]],"H2_outflow",
Infrastructure[[cluster]:[cluster]],$B$480,
Infrastructure[[pipe_cluster_end]:[pipe_cluster_end]],$B490)*PJ2TWh,"")</f>
        <v>0</v>
      </c>
      <c r="W490" s="51">
        <f>IFERROR(SUMIFS(Infrastructure[2041],
Infrastructure[[variable_type]:[variable_type]],"H2_outflow",
Infrastructure[[cluster]:[cluster]],$B$480,
Infrastructure[[pipe_cluster_end]:[pipe_cluster_end]],$B490)*PJ2TWh,"")</f>
        <v>0</v>
      </c>
      <c r="X490" s="51">
        <f>IFERROR(SUMIFS(Infrastructure[2042],
Infrastructure[[variable_type]:[variable_type]],"H2_outflow",
Infrastructure[[cluster]:[cluster]],$B$480,
Infrastructure[[pipe_cluster_end]:[pipe_cluster_end]],$B490)*PJ2TWh,"")</f>
        <v>0</v>
      </c>
      <c r="Y490" s="51">
        <f>IFERROR(SUMIFS(Infrastructure[2043],
Infrastructure[[variable_type]:[variable_type]],"H2_outflow",
Infrastructure[[cluster]:[cluster]],$B$480,
Infrastructure[[pipe_cluster_end]:[pipe_cluster_end]],$B490)*PJ2TWh,"")</f>
        <v>0</v>
      </c>
      <c r="Z490" s="51">
        <f>IFERROR(SUMIFS(Infrastructure[2044],
Infrastructure[[variable_type]:[variable_type]],"H2_outflow",
Infrastructure[[cluster]:[cluster]],$B$480,
Infrastructure[[pipe_cluster_end]:[pipe_cluster_end]],$B490)*PJ2TWh,"")</f>
        <v>0</v>
      </c>
      <c r="AA490" s="51">
        <f>IFERROR(SUMIFS(Infrastructure[2045],
Infrastructure[[variable_type]:[variable_type]],"H2_outflow",
Infrastructure[[cluster]:[cluster]],$B$480,
Infrastructure[[pipe_cluster_end]:[pipe_cluster_end]],$B490)*PJ2TWh,"")</f>
        <v>0</v>
      </c>
      <c r="AB490" s="51">
        <f>IFERROR(SUMIFS(Infrastructure[2046],
Infrastructure[[variable_type]:[variable_type]],"H2_outflow",
Infrastructure[[cluster]:[cluster]],$B$480,
Infrastructure[[pipe_cluster_end]:[pipe_cluster_end]],$B490)*PJ2TWh,"")</f>
        <v>0</v>
      </c>
      <c r="AC490" s="51">
        <f>IFERROR(SUMIFS(Infrastructure[2047],
Infrastructure[[variable_type]:[variable_type]],"H2_outflow",
Infrastructure[[cluster]:[cluster]],$B$480,
Infrastructure[[pipe_cluster_end]:[pipe_cluster_end]],$B490)*PJ2TWh,"")</f>
        <v>0</v>
      </c>
      <c r="AD490" s="51">
        <f>IFERROR(SUMIFS(Infrastructure[2048],
Infrastructure[[variable_type]:[variable_type]],"H2_outflow",
Infrastructure[[cluster]:[cluster]],$B$480,
Infrastructure[[pipe_cluster_end]:[pipe_cluster_end]],$B490)*PJ2TWh,"")</f>
        <v>0</v>
      </c>
      <c r="AE490" s="51">
        <f>IFERROR(SUMIFS(Infrastructure[2049],
Infrastructure[[variable_type]:[variable_type]],"H2_outflow",
Infrastructure[[cluster]:[cluster]],$B$480,
Infrastructure[[pipe_cluster_end]:[pipe_cluster_end]],$B490)*PJ2TWh,"")</f>
        <v>0</v>
      </c>
      <c r="AF490" s="51">
        <f>IFERROR(SUMIFS(Infrastructure[2050],
Infrastructure[[variable_type]:[variable_type]],"H2_outflow",
Infrastructure[[cluster]:[cluster]],$B$480,
Infrastructure[[pipe_cluster_end]:[pipe_cluster_end]],$B490)*PJ2TWh,"")</f>
        <v>0</v>
      </c>
      <c r="AG490" s="51">
        <f>IFERROR(SUMIFS(Infrastructure[2051],
Infrastructure[[variable_type]:[variable_type]],"H2_outflow",
Infrastructure[[cluster]:[cluster]],$B$480,
Infrastructure[[pipe_cluster_end]:[pipe_cluster_end]],$B490)*PJ2TWh,"")</f>
        <v>0</v>
      </c>
    </row>
    <row r="491" spans="1:33" x14ac:dyDescent="0.45">
      <c r="B491" s="6" t="s">
        <v>72</v>
      </c>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row>
    <row r="492" spans="1:33" x14ac:dyDescent="0.45">
      <c r="A492" s="2"/>
      <c r="B492" s="24" t="s">
        <v>70</v>
      </c>
      <c r="C492" s="51">
        <f>IFERROR(SUMIFS(Infrastructure[2021],
Infrastructure[[variable_type]:[variable_type]],"H2_outflow",
Infrastructure[[cluster]:[cluster]],$B$491,
Infrastructure[[pipe_cluster_end]:[pipe_cluster_end]],$B492)*PJ2TWh,"")</f>
        <v>0</v>
      </c>
      <c r="D492" s="51">
        <f>IFERROR(SUMIFS(Infrastructure[2022],
Infrastructure[[variable_type]:[variable_type]],"H2_outflow",
Infrastructure[[cluster]:[cluster]],$B$491,
Infrastructure[[pipe_cluster_end]:[pipe_cluster_end]],$B492)*PJ2TWh,"")</f>
        <v>0</v>
      </c>
      <c r="E492" s="51">
        <f>IFERROR(SUMIFS(Infrastructure[2023],
Infrastructure[[variable_type]:[variable_type]],"H2_outflow",
Infrastructure[[cluster]:[cluster]],$B$491,
Infrastructure[[pipe_cluster_end]:[pipe_cluster_end]],$B492)*PJ2TWh,"")</f>
        <v>0</v>
      </c>
      <c r="F492" s="51">
        <f>IFERROR(SUMIFS(Infrastructure[2024],
Infrastructure[[variable_type]:[variable_type]],"H2_outflow",
Infrastructure[[cluster]:[cluster]],$B$491,
Infrastructure[[pipe_cluster_end]:[pipe_cluster_end]],$B492)*PJ2TWh,"")</f>
        <v>0</v>
      </c>
      <c r="G492" s="51">
        <f>IFERROR(SUMIFS(Infrastructure[2025],
Infrastructure[[variable_type]:[variable_type]],"H2_outflow",
Infrastructure[[cluster]:[cluster]],$B$491,
Infrastructure[[pipe_cluster_end]:[pipe_cluster_end]],$B492)*PJ2TWh,"")</f>
        <v>0</v>
      </c>
      <c r="H492" s="51">
        <f>IFERROR(SUMIFS(Infrastructure[2026],
Infrastructure[[variable_type]:[variable_type]],"H2_outflow",
Infrastructure[[cluster]:[cluster]],$B$491,
Infrastructure[[pipe_cluster_end]:[pipe_cluster_end]],$B492)*PJ2TWh,"")</f>
        <v>0</v>
      </c>
      <c r="I492" s="51">
        <f>IFERROR(SUMIFS(Infrastructure[2027],
Infrastructure[[variable_type]:[variable_type]],"H2_outflow",
Infrastructure[[cluster]:[cluster]],$B$491,
Infrastructure[[pipe_cluster_end]:[pipe_cluster_end]],$B492)*PJ2TWh,"")</f>
        <v>0</v>
      </c>
      <c r="J492" s="51">
        <f>IFERROR(SUMIFS(Infrastructure[2028],
Infrastructure[[variable_type]:[variable_type]],"H2_outflow",
Infrastructure[[cluster]:[cluster]],$B$491,
Infrastructure[[pipe_cluster_end]:[pipe_cluster_end]],$B492)*PJ2TWh,"")</f>
        <v>0</v>
      </c>
      <c r="K492" s="51">
        <f>IFERROR(SUMIFS(Infrastructure[2029],
Infrastructure[[variable_type]:[variable_type]],"H2_outflow",
Infrastructure[[cluster]:[cluster]],$B$491,
Infrastructure[[pipe_cluster_end]:[pipe_cluster_end]],$B492)*PJ2TWh,"")</f>
        <v>0</v>
      </c>
      <c r="L492" s="51">
        <f>IFERROR(SUMIFS(Infrastructure[2030],
Infrastructure[[variable_type]:[variable_type]],"H2_outflow",
Infrastructure[[cluster]:[cluster]],$B$491,
Infrastructure[[pipe_cluster_end]:[pipe_cluster_end]],$B492)*PJ2TWh,"")</f>
        <v>0</v>
      </c>
      <c r="M492" s="51">
        <f>IFERROR(SUMIFS(Infrastructure[2031],
Infrastructure[[variable_type]:[variable_type]],"H2_outflow",
Infrastructure[[cluster]:[cluster]],$B$491,
Infrastructure[[pipe_cluster_end]:[pipe_cluster_end]],$B492)*PJ2TWh,"")</f>
        <v>0</v>
      </c>
      <c r="N492" s="51">
        <f>IFERROR(SUMIFS(Infrastructure[2032],
Infrastructure[[variable_type]:[variable_type]],"H2_outflow",
Infrastructure[[cluster]:[cluster]],$B$491,
Infrastructure[[pipe_cluster_end]:[pipe_cluster_end]],$B492)*PJ2TWh,"")</f>
        <v>0</v>
      </c>
      <c r="O492" s="51">
        <f>IFERROR(SUMIFS(Infrastructure[2033],
Infrastructure[[variable_type]:[variable_type]],"H2_outflow",
Infrastructure[[cluster]:[cluster]],$B$491,
Infrastructure[[pipe_cluster_end]:[pipe_cluster_end]],$B492)*PJ2TWh,"")</f>
        <v>0</v>
      </c>
      <c r="P492" s="51">
        <f>IFERROR(SUMIFS(Infrastructure[2034],
Infrastructure[[variable_type]:[variable_type]],"H2_outflow",
Infrastructure[[cluster]:[cluster]],$B$491,
Infrastructure[[pipe_cluster_end]:[pipe_cluster_end]],$B492)*PJ2TWh,"")</f>
        <v>0</v>
      </c>
      <c r="Q492" s="51">
        <f>IFERROR(SUMIFS(Infrastructure[2035],
Infrastructure[[variable_type]:[variable_type]],"H2_outflow",
Infrastructure[[cluster]:[cluster]],$B$491,
Infrastructure[[pipe_cluster_end]:[pipe_cluster_end]],$B492)*PJ2TWh,"")</f>
        <v>0</v>
      </c>
      <c r="R492" s="51">
        <f>IFERROR(SUMIFS(Infrastructure[2036],
Infrastructure[[variable_type]:[variable_type]],"H2_outflow",
Infrastructure[[cluster]:[cluster]],$B$491,
Infrastructure[[pipe_cluster_end]:[pipe_cluster_end]],$B492)*PJ2TWh,"")</f>
        <v>0</v>
      </c>
      <c r="S492" s="51">
        <f>IFERROR(SUMIFS(Infrastructure[2037],
Infrastructure[[variable_type]:[variable_type]],"H2_outflow",
Infrastructure[[cluster]:[cluster]],$B$491,
Infrastructure[[pipe_cluster_end]:[pipe_cluster_end]],$B492)*PJ2TWh,"")</f>
        <v>0</v>
      </c>
      <c r="T492" s="51">
        <f>IFERROR(SUMIFS(Infrastructure[2038],
Infrastructure[[variable_type]:[variable_type]],"H2_outflow",
Infrastructure[[cluster]:[cluster]],$B$491,
Infrastructure[[pipe_cluster_end]:[pipe_cluster_end]],$B492)*PJ2TWh,"")</f>
        <v>0</v>
      </c>
      <c r="U492" s="51">
        <f>IFERROR(SUMIFS(Infrastructure[2039],
Infrastructure[[variable_type]:[variable_type]],"H2_outflow",
Infrastructure[[cluster]:[cluster]],$B$491,
Infrastructure[[pipe_cluster_end]:[pipe_cluster_end]],$B492)*PJ2TWh,"")</f>
        <v>0</v>
      </c>
      <c r="V492" s="51">
        <f>IFERROR(SUMIFS(Infrastructure[2040],
Infrastructure[[variable_type]:[variable_type]],"H2_outflow",
Infrastructure[[cluster]:[cluster]],$B$491,
Infrastructure[[pipe_cluster_end]:[pipe_cluster_end]],$B492)*PJ2TWh,"")</f>
        <v>0</v>
      </c>
      <c r="W492" s="51">
        <f>IFERROR(SUMIFS(Infrastructure[2041],
Infrastructure[[variable_type]:[variable_type]],"H2_outflow",
Infrastructure[[cluster]:[cluster]],$B$491,
Infrastructure[[pipe_cluster_end]:[pipe_cluster_end]],$B492)*PJ2TWh,"")</f>
        <v>0</v>
      </c>
      <c r="X492" s="51">
        <f>IFERROR(SUMIFS(Infrastructure[2042],
Infrastructure[[variable_type]:[variable_type]],"H2_outflow",
Infrastructure[[cluster]:[cluster]],$B$491,
Infrastructure[[pipe_cluster_end]:[pipe_cluster_end]],$B492)*PJ2TWh,"")</f>
        <v>0</v>
      </c>
      <c r="Y492" s="51">
        <f>IFERROR(SUMIFS(Infrastructure[2043],
Infrastructure[[variable_type]:[variable_type]],"H2_outflow",
Infrastructure[[cluster]:[cluster]],$B$491,
Infrastructure[[pipe_cluster_end]:[pipe_cluster_end]],$B492)*PJ2TWh,"")</f>
        <v>0</v>
      </c>
      <c r="Z492" s="51">
        <f>IFERROR(SUMIFS(Infrastructure[2044],
Infrastructure[[variable_type]:[variable_type]],"H2_outflow",
Infrastructure[[cluster]:[cluster]],$B$491,
Infrastructure[[pipe_cluster_end]:[pipe_cluster_end]],$B492)*PJ2TWh,"")</f>
        <v>0</v>
      </c>
      <c r="AA492" s="51">
        <f>IFERROR(SUMIFS(Infrastructure[2045],
Infrastructure[[variable_type]:[variable_type]],"H2_outflow",
Infrastructure[[cluster]:[cluster]],$B$491,
Infrastructure[[pipe_cluster_end]:[pipe_cluster_end]],$B492)*PJ2TWh,"")</f>
        <v>0</v>
      </c>
      <c r="AB492" s="51">
        <f>IFERROR(SUMIFS(Infrastructure[2046],
Infrastructure[[variable_type]:[variable_type]],"H2_outflow",
Infrastructure[[cluster]:[cluster]],$B$491,
Infrastructure[[pipe_cluster_end]:[pipe_cluster_end]],$B492)*PJ2TWh,"")</f>
        <v>0</v>
      </c>
      <c r="AC492" s="51">
        <f>IFERROR(SUMIFS(Infrastructure[2047],
Infrastructure[[variable_type]:[variable_type]],"H2_outflow",
Infrastructure[[cluster]:[cluster]],$B$491,
Infrastructure[[pipe_cluster_end]:[pipe_cluster_end]],$B492)*PJ2TWh,"")</f>
        <v>0</v>
      </c>
      <c r="AD492" s="51">
        <f>IFERROR(SUMIFS(Infrastructure[2048],
Infrastructure[[variable_type]:[variable_type]],"H2_outflow",
Infrastructure[[cluster]:[cluster]],$B$491,
Infrastructure[[pipe_cluster_end]:[pipe_cluster_end]],$B492)*PJ2TWh,"")</f>
        <v>0</v>
      </c>
      <c r="AE492" s="51">
        <f>IFERROR(SUMIFS(Infrastructure[2049],
Infrastructure[[variable_type]:[variable_type]],"H2_outflow",
Infrastructure[[cluster]:[cluster]],$B$491,
Infrastructure[[pipe_cluster_end]:[pipe_cluster_end]],$B492)*PJ2TWh,"")</f>
        <v>0</v>
      </c>
      <c r="AF492" s="51">
        <f>IFERROR(SUMIFS(Infrastructure[2050],
Infrastructure[[variable_type]:[variable_type]],"H2_outflow",
Infrastructure[[cluster]:[cluster]],$B$491,
Infrastructure[[pipe_cluster_end]:[pipe_cluster_end]],$B492)*PJ2TWh,"")</f>
        <v>0</v>
      </c>
      <c r="AG492" s="51">
        <f>IFERROR(SUMIFS(Infrastructure[2051],
Infrastructure[[variable_type]:[variable_type]],"H2_outflow",
Infrastructure[[cluster]:[cluster]],$B$491,
Infrastructure[[pipe_cluster_end]:[pipe_cluster_end]],$B492)*PJ2TWh,"")</f>
        <v>0</v>
      </c>
    </row>
    <row r="493" spans="1:33" x14ac:dyDescent="0.45">
      <c r="A493" s="2"/>
      <c r="B493" s="24" t="s">
        <v>52</v>
      </c>
      <c r="C493" s="51">
        <f>IFERROR(SUMIFS(Infrastructure[2021],
Infrastructure[[variable_type]:[variable_type]],"H2_outflow",
Infrastructure[[cluster]:[cluster]],$B$491,
Infrastructure[[pipe_cluster_end]:[pipe_cluster_end]],$B493)*PJ2TWh,"")</f>
        <v>0</v>
      </c>
      <c r="D493" s="51">
        <f>IFERROR(SUMIFS(Infrastructure[2022],
Infrastructure[[variable_type]:[variable_type]],"H2_outflow",
Infrastructure[[cluster]:[cluster]],$B$491,
Infrastructure[[pipe_cluster_end]:[pipe_cluster_end]],$B493)*PJ2TWh,"")</f>
        <v>0</v>
      </c>
      <c r="E493" s="51">
        <f>IFERROR(SUMIFS(Infrastructure[2023],
Infrastructure[[variable_type]:[variable_type]],"H2_outflow",
Infrastructure[[cluster]:[cluster]],$B$491,
Infrastructure[[pipe_cluster_end]:[pipe_cluster_end]],$B493)*PJ2TWh,"")</f>
        <v>0</v>
      </c>
      <c r="F493" s="51">
        <f>IFERROR(SUMIFS(Infrastructure[2024],
Infrastructure[[variable_type]:[variable_type]],"H2_outflow",
Infrastructure[[cluster]:[cluster]],$B$491,
Infrastructure[[pipe_cluster_end]:[pipe_cluster_end]],$B493)*PJ2TWh,"")</f>
        <v>0</v>
      </c>
      <c r="G493" s="51">
        <f>IFERROR(SUMIFS(Infrastructure[2025],
Infrastructure[[variable_type]:[variable_type]],"H2_outflow",
Infrastructure[[cluster]:[cluster]],$B$491,
Infrastructure[[pipe_cluster_end]:[pipe_cluster_end]],$B493)*PJ2TWh,"")</f>
        <v>0</v>
      </c>
      <c r="H493" s="51">
        <f>IFERROR(SUMIFS(Infrastructure[2026],
Infrastructure[[variable_type]:[variable_type]],"H2_outflow",
Infrastructure[[cluster]:[cluster]],$B$491,
Infrastructure[[pipe_cluster_end]:[pipe_cluster_end]],$B493)*PJ2TWh,"")</f>
        <v>0</v>
      </c>
      <c r="I493" s="51">
        <f>IFERROR(SUMIFS(Infrastructure[2027],
Infrastructure[[variable_type]:[variable_type]],"H2_outflow",
Infrastructure[[cluster]:[cluster]],$B$491,
Infrastructure[[pipe_cluster_end]:[pipe_cluster_end]],$B493)*PJ2TWh,"")</f>
        <v>0</v>
      </c>
      <c r="J493" s="51">
        <f>IFERROR(SUMIFS(Infrastructure[2028],
Infrastructure[[variable_type]:[variable_type]],"H2_outflow",
Infrastructure[[cluster]:[cluster]],$B$491,
Infrastructure[[pipe_cluster_end]:[pipe_cluster_end]],$B493)*PJ2TWh,"")</f>
        <v>0</v>
      </c>
      <c r="K493" s="51">
        <f>IFERROR(SUMIFS(Infrastructure[2029],
Infrastructure[[variable_type]:[variable_type]],"H2_outflow",
Infrastructure[[cluster]:[cluster]],$B$491,
Infrastructure[[pipe_cluster_end]:[pipe_cluster_end]],$B493)*PJ2TWh,"")</f>
        <v>0</v>
      </c>
      <c r="L493" s="51">
        <f>IFERROR(SUMIFS(Infrastructure[2030],
Infrastructure[[variable_type]:[variable_type]],"H2_outflow",
Infrastructure[[cluster]:[cluster]],$B$491,
Infrastructure[[pipe_cluster_end]:[pipe_cluster_end]],$B493)*PJ2TWh,"")</f>
        <v>0</v>
      </c>
      <c r="M493" s="51">
        <f>IFERROR(SUMIFS(Infrastructure[2031],
Infrastructure[[variable_type]:[variable_type]],"H2_outflow",
Infrastructure[[cluster]:[cluster]],$B$491,
Infrastructure[[pipe_cluster_end]:[pipe_cluster_end]],$B493)*PJ2TWh,"")</f>
        <v>0</v>
      </c>
      <c r="N493" s="51">
        <f>IFERROR(SUMIFS(Infrastructure[2032],
Infrastructure[[variable_type]:[variable_type]],"H2_outflow",
Infrastructure[[cluster]:[cluster]],$B$491,
Infrastructure[[pipe_cluster_end]:[pipe_cluster_end]],$B493)*PJ2TWh,"")</f>
        <v>0</v>
      </c>
      <c r="O493" s="51">
        <f>IFERROR(SUMIFS(Infrastructure[2033],
Infrastructure[[variable_type]:[variable_type]],"H2_outflow",
Infrastructure[[cluster]:[cluster]],$B$491,
Infrastructure[[pipe_cluster_end]:[pipe_cluster_end]],$B493)*PJ2TWh,"")</f>
        <v>0</v>
      </c>
      <c r="P493" s="51">
        <f>IFERROR(SUMIFS(Infrastructure[2034],
Infrastructure[[variable_type]:[variable_type]],"H2_outflow",
Infrastructure[[cluster]:[cluster]],$B$491,
Infrastructure[[pipe_cluster_end]:[pipe_cluster_end]],$B493)*PJ2TWh,"")</f>
        <v>0</v>
      </c>
      <c r="Q493" s="51">
        <f>IFERROR(SUMIFS(Infrastructure[2035],
Infrastructure[[variable_type]:[variable_type]],"H2_outflow",
Infrastructure[[cluster]:[cluster]],$B$491,
Infrastructure[[pipe_cluster_end]:[pipe_cluster_end]],$B493)*PJ2TWh,"")</f>
        <v>0</v>
      </c>
      <c r="R493" s="51">
        <f>IFERROR(SUMIFS(Infrastructure[2036],
Infrastructure[[variable_type]:[variable_type]],"H2_outflow",
Infrastructure[[cluster]:[cluster]],$B$491,
Infrastructure[[pipe_cluster_end]:[pipe_cluster_end]],$B493)*PJ2TWh,"")</f>
        <v>0</v>
      </c>
      <c r="S493" s="51">
        <f>IFERROR(SUMIFS(Infrastructure[2037],
Infrastructure[[variable_type]:[variable_type]],"H2_outflow",
Infrastructure[[cluster]:[cluster]],$B$491,
Infrastructure[[pipe_cluster_end]:[pipe_cluster_end]],$B493)*PJ2TWh,"")</f>
        <v>0</v>
      </c>
      <c r="T493" s="51">
        <f>IFERROR(SUMIFS(Infrastructure[2038],
Infrastructure[[variable_type]:[variable_type]],"H2_outflow",
Infrastructure[[cluster]:[cluster]],$B$491,
Infrastructure[[pipe_cluster_end]:[pipe_cluster_end]],$B493)*PJ2TWh,"")</f>
        <v>0</v>
      </c>
      <c r="U493" s="51">
        <f>IFERROR(SUMIFS(Infrastructure[2039],
Infrastructure[[variable_type]:[variable_type]],"H2_outflow",
Infrastructure[[cluster]:[cluster]],$B$491,
Infrastructure[[pipe_cluster_end]:[pipe_cluster_end]],$B493)*PJ2TWh,"")</f>
        <v>0</v>
      </c>
      <c r="V493" s="51">
        <f>IFERROR(SUMIFS(Infrastructure[2040],
Infrastructure[[variable_type]:[variable_type]],"H2_outflow",
Infrastructure[[cluster]:[cluster]],$B$491,
Infrastructure[[pipe_cluster_end]:[pipe_cluster_end]],$B493)*PJ2TWh,"")</f>
        <v>0</v>
      </c>
      <c r="W493" s="51">
        <f>IFERROR(SUMIFS(Infrastructure[2041],
Infrastructure[[variable_type]:[variable_type]],"H2_outflow",
Infrastructure[[cluster]:[cluster]],$B$491,
Infrastructure[[pipe_cluster_end]:[pipe_cluster_end]],$B493)*PJ2TWh,"")</f>
        <v>0</v>
      </c>
      <c r="X493" s="51">
        <f>IFERROR(SUMIFS(Infrastructure[2042],
Infrastructure[[variable_type]:[variable_type]],"H2_outflow",
Infrastructure[[cluster]:[cluster]],$B$491,
Infrastructure[[pipe_cluster_end]:[pipe_cluster_end]],$B493)*PJ2TWh,"")</f>
        <v>0</v>
      </c>
      <c r="Y493" s="51">
        <f>IFERROR(SUMIFS(Infrastructure[2043],
Infrastructure[[variable_type]:[variable_type]],"H2_outflow",
Infrastructure[[cluster]:[cluster]],$B$491,
Infrastructure[[pipe_cluster_end]:[pipe_cluster_end]],$B493)*PJ2TWh,"")</f>
        <v>0</v>
      </c>
      <c r="Z493" s="51">
        <f>IFERROR(SUMIFS(Infrastructure[2044],
Infrastructure[[variable_type]:[variable_type]],"H2_outflow",
Infrastructure[[cluster]:[cluster]],$B$491,
Infrastructure[[pipe_cluster_end]:[pipe_cluster_end]],$B493)*PJ2TWh,"")</f>
        <v>0</v>
      </c>
      <c r="AA493" s="51">
        <f>IFERROR(SUMIFS(Infrastructure[2045],
Infrastructure[[variable_type]:[variable_type]],"H2_outflow",
Infrastructure[[cluster]:[cluster]],$B$491,
Infrastructure[[pipe_cluster_end]:[pipe_cluster_end]],$B493)*PJ2TWh,"")</f>
        <v>0</v>
      </c>
      <c r="AB493" s="51">
        <f>IFERROR(SUMIFS(Infrastructure[2046],
Infrastructure[[variable_type]:[variable_type]],"H2_outflow",
Infrastructure[[cluster]:[cluster]],$B$491,
Infrastructure[[pipe_cluster_end]:[pipe_cluster_end]],$B493)*PJ2TWh,"")</f>
        <v>0</v>
      </c>
      <c r="AC493" s="51">
        <f>IFERROR(SUMIFS(Infrastructure[2047],
Infrastructure[[variable_type]:[variable_type]],"H2_outflow",
Infrastructure[[cluster]:[cluster]],$B$491,
Infrastructure[[pipe_cluster_end]:[pipe_cluster_end]],$B493)*PJ2TWh,"")</f>
        <v>0</v>
      </c>
      <c r="AD493" s="51">
        <f>IFERROR(SUMIFS(Infrastructure[2048],
Infrastructure[[variable_type]:[variable_type]],"H2_outflow",
Infrastructure[[cluster]:[cluster]],$B$491,
Infrastructure[[pipe_cluster_end]:[pipe_cluster_end]],$B493)*PJ2TWh,"")</f>
        <v>0</v>
      </c>
      <c r="AE493" s="51">
        <f>IFERROR(SUMIFS(Infrastructure[2049],
Infrastructure[[variable_type]:[variable_type]],"H2_outflow",
Infrastructure[[cluster]:[cluster]],$B$491,
Infrastructure[[pipe_cluster_end]:[pipe_cluster_end]],$B493)*PJ2TWh,"")</f>
        <v>0</v>
      </c>
      <c r="AF493" s="51">
        <f>IFERROR(SUMIFS(Infrastructure[2050],
Infrastructure[[variable_type]:[variable_type]],"H2_outflow",
Infrastructure[[cluster]:[cluster]],$B$491,
Infrastructure[[pipe_cluster_end]:[pipe_cluster_end]],$B493)*PJ2TWh,"")</f>
        <v>0</v>
      </c>
      <c r="AG493" s="51">
        <f>IFERROR(SUMIFS(Infrastructure[2051],
Infrastructure[[variable_type]:[variable_type]],"H2_outflow",
Infrastructure[[cluster]:[cluster]],$B$491,
Infrastructure[[pipe_cluster_end]:[pipe_cluster_end]],$B493)*PJ2TWh,"")</f>
        <v>0</v>
      </c>
    </row>
    <row r="494" spans="1:33" x14ac:dyDescent="0.45">
      <c r="A494" s="2"/>
      <c r="B494" s="24" t="s">
        <v>71</v>
      </c>
      <c r="C494" s="51">
        <f>IFERROR(SUMIFS(Infrastructure[2021],
Infrastructure[[variable_type]:[variable_type]],"H2_outflow",
Infrastructure[[cluster]:[cluster]],$B$491,
Infrastructure[[pipe_cluster_end]:[pipe_cluster_end]],$B494)*PJ2TWh,"")</f>
        <v>0</v>
      </c>
      <c r="D494" s="51">
        <f>IFERROR(SUMIFS(Infrastructure[2022],
Infrastructure[[variable_type]:[variable_type]],"H2_outflow",
Infrastructure[[cluster]:[cluster]],$B$491,
Infrastructure[[pipe_cluster_end]:[pipe_cluster_end]],$B494)*PJ2TWh,"")</f>
        <v>0</v>
      </c>
      <c r="E494" s="51">
        <f>IFERROR(SUMIFS(Infrastructure[2023],
Infrastructure[[variable_type]:[variable_type]],"H2_outflow",
Infrastructure[[cluster]:[cluster]],$B$491,
Infrastructure[[pipe_cluster_end]:[pipe_cluster_end]],$B494)*PJ2TWh,"")</f>
        <v>0</v>
      </c>
      <c r="F494" s="51">
        <f>IFERROR(SUMIFS(Infrastructure[2024],
Infrastructure[[variable_type]:[variable_type]],"H2_outflow",
Infrastructure[[cluster]:[cluster]],$B$491,
Infrastructure[[pipe_cluster_end]:[pipe_cluster_end]],$B494)*PJ2TWh,"")</f>
        <v>0</v>
      </c>
      <c r="G494" s="51">
        <f>IFERROR(SUMIFS(Infrastructure[2025],
Infrastructure[[variable_type]:[variable_type]],"H2_outflow",
Infrastructure[[cluster]:[cluster]],$B$491,
Infrastructure[[pipe_cluster_end]:[pipe_cluster_end]],$B494)*PJ2TWh,"")</f>
        <v>0</v>
      </c>
      <c r="H494" s="51">
        <f>IFERROR(SUMIFS(Infrastructure[2026],
Infrastructure[[variable_type]:[variable_type]],"H2_outflow",
Infrastructure[[cluster]:[cluster]],$B$491,
Infrastructure[[pipe_cluster_end]:[pipe_cluster_end]],$B494)*PJ2TWh,"")</f>
        <v>0</v>
      </c>
      <c r="I494" s="51">
        <f>IFERROR(SUMIFS(Infrastructure[2027],
Infrastructure[[variable_type]:[variable_type]],"H2_outflow",
Infrastructure[[cluster]:[cluster]],$B$491,
Infrastructure[[pipe_cluster_end]:[pipe_cluster_end]],$B494)*PJ2TWh,"")</f>
        <v>0</v>
      </c>
      <c r="J494" s="51">
        <f>IFERROR(SUMIFS(Infrastructure[2028],
Infrastructure[[variable_type]:[variable_type]],"H2_outflow",
Infrastructure[[cluster]:[cluster]],$B$491,
Infrastructure[[pipe_cluster_end]:[pipe_cluster_end]],$B494)*PJ2TWh,"")</f>
        <v>0</v>
      </c>
      <c r="K494" s="51">
        <f>IFERROR(SUMIFS(Infrastructure[2029],
Infrastructure[[variable_type]:[variable_type]],"H2_outflow",
Infrastructure[[cluster]:[cluster]],$B$491,
Infrastructure[[pipe_cluster_end]:[pipe_cluster_end]],$B494)*PJ2TWh,"")</f>
        <v>0</v>
      </c>
      <c r="L494" s="51">
        <f>IFERROR(SUMIFS(Infrastructure[2030],
Infrastructure[[variable_type]:[variable_type]],"H2_outflow",
Infrastructure[[cluster]:[cluster]],$B$491,
Infrastructure[[pipe_cluster_end]:[pipe_cluster_end]],$B494)*PJ2TWh,"")</f>
        <v>0</v>
      </c>
      <c r="M494" s="51">
        <f>IFERROR(SUMIFS(Infrastructure[2031],
Infrastructure[[variable_type]:[variable_type]],"H2_outflow",
Infrastructure[[cluster]:[cluster]],$B$491,
Infrastructure[[pipe_cluster_end]:[pipe_cluster_end]],$B494)*PJ2TWh,"")</f>
        <v>0</v>
      </c>
      <c r="N494" s="51">
        <f>IFERROR(SUMIFS(Infrastructure[2032],
Infrastructure[[variable_type]:[variable_type]],"H2_outflow",
Infrastructure[[cluster]:[cluster]],$B$491,
Infrastructure[[pipe_cluster_end]:[pipe_cluster_end]],$B494)*PJ2TWh,"")</f>
        <v>0</v>
      </c>
      <c r="O494" s="51">
        <f>IFERROR(SUMIFS(Infrastructure[2033],
Infrastructure[[variable_type]:[variable_type]],"H2_outflow",
Infrastructure[[cluster]:[cluster]],$B$491,
Infrastructure[[pipe_cluster_end]:[pipe_cluster_end]],$B494)*PJ2TWh,"")</f>
        <v>0</v>
      </c>
      <c r="P494" s="51">
        <f>IFERROR(SUMIFS(Infrastructure[2034],
Infrastructure[[variable_type]:[variable_type]],"H2_outflow",
Infrastructure[[cluster]:[cluster]],$B$491,
Infrastructure[[pipe_cluster_end]:[pipe_cluster_end]],$B494)*PJ2TWh,"")</f>
        <v>0</v>
      </c>
      <c r="Q494" s="51">
        <f>IFERROR(SUMIFS(Infrastructure[2035],
Infrastructure[[variable_type]:[variable_type]],"H2_outflow",
Infrastructure[[cluster]:[cluster]],$B$491,
Infrastructure[[pipe_cluster_end]:[pipe_cluster_end]],$B494)*PJ2TWh,"")</f>
        <v>0</v>
      </c>
      <c r="R494" s="51">
        <f>IFERROR(SUMIFS(Infrastructure[2036],
Infrastructure[[variable_type]:[variable_type]],"H2_outflow",
Infrastructure[[cluster]:[cluster]],$B$491,
Infrastructure[[pipe_cluster_end]:[pipe_cluster_end]],$B494)*PJ2TWh,"")</f>
        <v>0</v>
      </c>
      <c r="S494" s="51">
        <f>IFERROR(SUMIFS(Infrastructure[2037],
Infrastructure[[variable_type]:[variable_type]],"H2_outflow",
Infrastructure[[cluster]:[cluster]],$B$491,
Infrastructure[[pipe_cluster_end]:[pipe_cluster_end]],$B494)*PJ2TWh,"")</f>
        <v>0</v>
      </c>
      <c r="T494" s="51">
        <f>IFERROR(SUMIFS(Infrastructure[2038],
Infrastructure[[variable_type]:[variable_type]],"H2_outflow",
Infrastructure[[cluster]:[cluster]],$B$491,
Infrastructure[[pipe_cluster_end]:[pipe_cluster_end]],$B494)*PJ2TWh,"")</f>
        <v>0</v>
      </c>
      <c r="U494" s="51">
        <f>IFERROR(SUMIFS(Infrastructure[2039],
Infrastructure[[variable_type]:[variable_type]],"H2_outflow",
Infrastructure[[cluster]:[cluster]],$B$491,
Infrastructure[[pipe_cluster_end]:[pipe_cluster_end]],$B494)*PJ2TWh,"")</f>
        <v>0</v>
      </c>
      <c r="V494" s="51">
        <f>IFERROR(SUMIFS(Infrastructure[2040],
Infrastructure[[variable_type]:[variable_type]],"H2_outflow",
Infrastructure[[cluster]:[cluster]],$B$491,
Infrastructure[[pipe_cluster_end]:[pipe_cluster_end]],$B494)*PJ2TWh,"")</f>
        <v>0</v>
      </c>
      <c r="W494" s="51">
        <f>IFERROR(SUMIFS(Infrastructure[2041],
Infrastructure[[variable_type]:[variable_type]],"H2_outflow",
Infrastructure[[cluster]:[cluster]],$B$491,
Infrastructure[[pipe_cluster_end]:[pipe_cluster_end]],$B494)*PJ2TWh,"")</f>
        <v>0</v>
      </c>
      <c r="X494" s="51">
        <f>IFERROR(SUMIFS(Infrastructure[2042],
Infrastructure[[variable_type]:[variable_type]],"H2_outflow",
Infrastructure[[cluster]:[cluster]],$B$491,
Infrastructure[[pipe_cluster_end]:[pipe_cluster_end]],$B494)*PJ2TWh,"")</f>
        <v>0</v>
      </c>
      <c r="Y494" s="51">
        <f>IFERROR(SUMIFS(Infrastructure[2043],
Infrastructure[[variable_type]:[variable_type]],"H2_outflow",
Infrastructure[[cluster]:[cluster]],$B$491,
Infrastructure[[pipe_cluster_end]:[pipe_cluster_end]],$B494)*PJ2TWh,"")</f>
        <v>0</v>
      </c>
      <c r="Z494" s="51">
        <f>IFERROR(SUMIFS(Infrastructure[2044],
Infrastructure[[variable_type]:[variable_type]],"H2_outflow",
Infrastructure[[cluster]:[cluster]],$B$491,
Infrastructure[[pipe_cluster_end]:[pipe_cluster_end]],$B494)*PJ2TWh,"")</f>
        <v>0</v>
      </c>
      <c r="AA494" s="51">
        <f>IFERROR(SUMIFS(Infrastructure[2045],
Infrastructure[[variable_type]:[variable_type]],"H2_outflow",
Infrastructure[[cluster]:[cluster]],$B$491,
Infrastructure[[pipe_cluster_end]:[pipe_cluster_end]],$B494)*PJ2TWh,"")</f>
        <v>0</v>
      </c>
      <c r="AB494" s="51">
        <f>IFERROR(SUMIFS(Infrastructure[2046],
Infrastructure[[variable_type]:[variable_type]],"H2_outflow",
Infrastructure[[cluster]:[cluster]],$B$491,
Infrastructure[[pipe_cluster_end]:[pipe_cluster_end]],$B494)*PJ2TWh,"")</f>
        <v>0</v>
      </c>
      <c r="AC494" s="51">
        <f>IFERROR(SUMIFS(Infrastructure[2047],
Infrastructure[[variable_type]:[variable_type]],"H2_outflow",
Infrastructure[[cluster]:[cluster]],$B$491,
Infrastructure[[pipe_cluster_end]:[pipe_cluster_end]],$B494)*PJ2TWh,"")</f>
        <v>0</v>
      </c>
      <c r="AD494" s="51">
        <f>IFERROR(SUMIFS(Infrastructure[2048],
Infrastructure[[variable_type]:[variable_type]],"H2_outflow",
Infrastructure[[cluster]:[cluster]],$B$491,
Infrastructure[[pipe_cluster_end]:[pipe_cluster_end]],$B494)*PJ2TWh,"")</f>
        <v>0</v>
      </c>
      <c r="AE494" s="51">
        <f>IFERROR(SUMIFS(Infrastructure[2049],
Infrastructure[[variable_type]:[variable_type]],"H2_outflow",
Infrastructure[[cluster]:[cluster]],$B$491,
Infrastructure[[pipe_cluster_end]:[pipe_cluster_end]],$B494)*PJ2TWh,"")</f>
        <v>0</v>
      </c>
      <c r="AF494" s="51">
        <f>IFERROR(SUMIFS(Infrastructure[2050],
Infrastructure[[variable_type]:[variable_type]],"H2_outflow",
Infrastructure[[cluster]:[cluster]],$B$491,
Infrastructure[[pipe_cluster_end]:[pipe_cluster_end]],$B494)*PJ2TWh,"")</f>
        <v>0</v>
      </c>
      <c r="AG494" s="51">
        <f>IFERROR(SUMIFS(Infrastructure[2051],
Infrastructure[[variable_type]:[variable_type]],"H2_outflow",
Infrastructure[[cluster]:[cluster]],$B$491,
Infrastructure[[pipe_cluster_end]:[pipe_cluster_end]],$B494)*PJ2TWh,"")</f>
        <v>0</v>
      </c>
    </row>
    <row r="495" spans="1:33" x14ac:dyDescent="0.45">
      <c r="A495" s="2"/>
      <c r="B495" s="24" t="s">
        <v>72</v>
      </c>
      <c r="C495" s="51">
        <f>IFERROR(SUMIFS(Infrastructure[2021],
Infrastructure[[variable_type]:[variable_type]],"H2_outflow",
Infrastructure[[cluster]:[cluster]],$B$491,
Infrastructure[[pipe_cluster_end]:[pipe_cluster_end]],$B495)*PJ2TWh,"")</f>
        <v>0</v>
      </c>
      <c r="D495" s="51">
        <f>IFERROR(SUMIFS(Infrastructure[2022],
Infrastructure[[variable_type]:[variable_type]],"H2_outflow",
Infrastructure[[cluster]:[cluster]],$B$491,
Infrastructure[[pipe_cluster_end]:[pipe_cluster_end]],$B495)*PJ2TWh,"")</f>
        <v>0</v>
      </c>
      <c r="E495" s="51">
        <f>IFERROR(SUMIFS(Infrastructure[2023],
Infrastructure[[variable_type]:[variable_type]],"H2_outflow",
Infrastructure[[cluster]:[cluster]],$B$491,
Infrastructure[[pipe_cluster_end]:[pipe_cluster_end]],$B495)*PJ2TWh,"")</f>
        <v>0</v>
      </c>
      <c r="F495" s="51">
        <f>IFERROR(SUMIFS(Infrastructure[2024],
Infrastructure[[variable_type]:[variable_type]],"H2_outflow",
Infrastructure[[cluster]:[cluster]],$B$491,
Infrastructure[[pipe_cluster_end]:[pipe_cluster_end]],$B495)*PJ2TWh,"")</f>
        <v>0</v>
      </c>
      <c r="G495" s="51">
        <f>IFERROR(SUMIFS(Infrastructure[2025],
Infrastructure[[variable_type]:[variable_type]],"H2_outflow",
Infrastructure[[cluster]:[cluster]],$B$491,
Infrastructure[[pipe_cluster_end]:[pipe_cluster_end]],$B495)*PJ2TWh,"")</f>
        <v>0</v>
      </c>
      <c r="H495" s="51">
        <f>IFERROR(SUMIFS(Infrastructure[2026],
Infrastructure[[variable_type]:[variable_type]],"H2_outflow",
Infrastructure[[cluster]:[cluster]],$B$491,
Infrastructure[[pipe_cluster_end]:[pipe_cluster_end]],$B495)*PJ2TWh,"")</f>
        <v>0</v>
      </c>
      <c r="I495" s="51">
        <f>IFERROR(SUMIFS(Infrastructure[2027],
Infrastructure[[variable_type]:[variable_type]],"H2_outflow",
Infrastructure[[cluster]:[cluster]],$B$491,
Infrastructure[[pipe_cluster_end]:[pipe_cluster_end]],$B495)*PJ2TWh,"")</f>
        <v>0</v>
      </c>
      <c r="J495" s="51">
        <f>IFERROR(SUMIFS(Infrastructure[2028],
Infrastructure[[variable_type]:[variable_type]],"H2_outflow",
Infrastructure[[cluster]:[cluster]],$B$491,
Infrastructure[[pipe_cluster_end]:[pipe_cluster_end]],$B495)*PJ2TWh,"")</f>
        <v>0</v>
      </c>
      <c r="K495" s="51">
        <f>IFERROR(SUMIFS(Infrastructure[2029],
Infrastructure[[variable_type]:[variable_type]],"H2_outflow",
Infrastructure[[cluster]:[cluster]],$B$491,
Infrastructure[[pipe_cluster_end]:[pipe_cluster_end]],$B495)*PJ2TWh,"")</f>
        <v>0</v>
      </c>
      <c r="L495" s="51">
        <f>IFERROR(SUMIFS(Infrastructure[2030],
Infrastructure[[variable_type]:[variable_type]],"H2_outflow",
Infrastructure[[cluster]:[cluster]],$B$491,
Infrastructure[[pipe_cluster_end]:[pipe_cluster_end]],$B495)*PJ2TWh,"")</f>
        <v>0</v>
      </c>
      <c r="M495" s="51">
        <f>IFERROR(SUMIFS(Infrastructure[2031],
Infrastructure[[variable_type]:[variable_type]],"H2_outflow",
Infrastructure[[cluster]:[cluster]],$B$491,
Infrastructure[[pipe_cluster_end]:[pipe_cluster_end]],$B495)*PJ2TWh,"")</f>
        <v>0</v>
      </c>
      <c r="N495" s="51">
        <f>IFERROR(SUMIFS(Infrastructure[2032],
Infrastructure[[variable_type]:[variable_type]],"H2_outflow",
Infrastructure[[cluster]:[cluster]],$B$491,
Infrastructure[[pipe_cluster_end]:[pipe_cluster_end]],$B495)*PJ2TWh,"")</f>
        <v>0</v>
      </c>
      <c r="O495" s="51">
        <f>IFERROR(SUMIFS(Infrastructure[2033],
Infrastructure[[variable_type]:[variable_type]],"H2_outflow",
Infrastructure[[cluster]:[cluster]],$B$491,
Infrastructure[[pipe_cluster_end]:[pipe_cluster_end]],$B495)*PJ2TWh,"")</f>
        <v>0</v>
      </c>
      <c r="P495" s="51">
        <f>IFERROR(SUMIFS(Infrastructure[2034],
Infrastructure[[variable_type]:[variable_type]],"H2_outflow",
Infrastructure[[cluster]:[cluster]],$B$491,
Infrastructure[[pipe_cluster_end]:[pipe_cluster_end]],$B495)*PJ2TWh,"")</f>
        <v>0</v>
      </c>
      <c r="Q495" s="51">
        <f>IFERROR(SUMIFS(Infrastructure[2035],
Infrastructure[[variable_type]:[variable_type]],"H2_outflow",
Infrastructure[[cluster]:[cluster]],$B$491,
Infrastructure[[pipe_cluster_end]:[pipe_cluster_end]],$B495)*PJ2TWh,"")</f>
        <v>0</v>
      </c>
      <c r="R495" s="51">
        <f>IFERROR(SUMIFS(Infrastructure[2036],
Infrastructure[[variable_type]:[variable_type]],"H2_outflow",
Infrastructure[[cluster]:[cluster]],$B$491,
Infrastructure[[pipe_cluster_end]:[pipe_cluster_end]],$B495)*PJ2TWh,"")</f>
        <v>0</v>
      </c>
      <c r="S495" s="51">
        <f>IFERROR(SUMIFS(Infrastructure[2037],
Infrastructure[[variable_type]:[variable_type]],"H2_outflow",
Infrastructure[[cluster]:[cluster]],$B$491,
Infrastructure[[pipe_cluster_end]:[pipe_cluster_end]],$B495)*PJ2TWh,"")</f>
        <v>0</v>
      </c>
      <c r="T495" s="51">
        <f>IFERROR(SUMIFS(Infrastructure[2038],
Infrastructure[[variable_type]:[variable_type]],"H2_outflow",
Infrastructure[[cluster]:[cluster]],$B$491,
Infrastructure[[pipe_cluster_end]:[pipe_cluster_end]],$B495)*PJ2TWh,"")</f>
        <v>0</v>
      </c>
      <c r="U495" s="51">
        <f>IFERROR(SUMIFS(Infrastructure[2039],
Infrastructure[[variable_type]:[variable_type]],"H2_outflow",
Infrastructure[[cluster]:[cluster]],$B$491,
Infrastructure[[pipe_cluster_end]:[pipe_cluster_end]],$B495)*PJ2TWh,"")</f>
        <v>0</v>
      </c>
      <c r="V495" s="51">
        <f>IFERROR(SUMIFS(Infrastructure[2040],
Infrastructure[[variable_type]:[variable_type]],"H2_outflow",
Infrastructure[[cluster]:[cluster]],$B$491,
Infrastructure[[pipe_cluster_end]:[pipe_cluster_end]],$B495)*PJ2TWh,"")</f>
        <v>0</v>
      </c>
      <c r="W495" s="51">
        <f>IFERROR(SUMIFS(Infrastructure[2041],
Infrastructure[[variable_type]:[variable_type]],"H2_outflow",
Infrastructure[[cluster]:[cluster]],$B$491,
Infrastructure[[pipe_cluster_end]:[pipe_cluster_end]],$B495)*PJ2TWh,"")</f>
        <v>0</v>
      </c>
      <c r="X495" s="51">
        <f>IFERROR(SUMIFS(Infrastructure[2042],
Infrastructure[[variable_type]:[variable_type]],"H2_outflow",
Infrastructure[[cluster]:[cluster]],$B$491,
Infrastructure[[pipe_cluster_end]:[pipe_cluster_end]],$B495)*PJ2TWh,"")</f>
        <v>0</v>
      </c>
      <c r="Y495" s="51">
        <f>IFERROR(SUMIFS(Infrastructure[2043],
Infrastructure[[variable_type]:[variable_type]],"H2_outflow",
Infrastructure[[cluster]:[cluster]],$B$491,
Infrastructure[[pipe_cluster_end]:[pipe_cluster_end]],$B495)*PJ2TWh,"")</f>
        <v>0</v>
      </c>
      <c r="Z495" s="51">
        <f>IFERROR(SUMIFS(Infrastructure[2044],
Infrastructure[[variable_type]:[variable_type]],"H2_outflow",
Infrastructure[[cluster]:[cluster]],$B$491,
Infrastructure[[pipe_cluster_end]:[pipe_cluster_end]],$B495)*PJ2TWh,"")</f>
        <v>0</v>
      </c>
      <c r="AA495" s="51">
        <f>IFERROR(SUMIFS(Infrastructure[2045],
Infrastructure[[variable_type]:[variable_type]],"H2_outflow",
Infrastructure[[cluster]:[cluster]],$B$491,
Infrastructure[[pipe_cluster_end]:[pipe_cluster_end]],$B495)*PJ2TWh,"")</f>
        <v>0</v>
      </c>
      <c r="AB495" s="51">
        <f>IFERROR(SUMIFS(Infrastructure[2046],
Infrastructure[[variable_type]:[variable_type]],"H2_outflow",
Infrastructure[[cluster]:[cluster]],$B$491,
Infrastructure[[pipe_cluster_end]:[pipe_cluster_end]],$B495)*PJ2TWh,"")</f>
        <v>0</v>
      </c>
      <c r="AC495" s="51">
        <f>IFERROR(SUMIFS(Infrastructure[2047],
Infrastructure[[variable_type]:[variable_type]],"H2_outflow",
Infrastructure[[cluster]:[cluster]],$B$491,
Infrastructure[[pipe_cluster_end]:[pipe_cluster_end]],$B495)*PJ2TWh,"")</f>
        <v>0</v>
      </c>
      <c r="AD495" s="51">
        <f>IFERROR(SUMIFS(Infrastructure[2048],
Infrastructure[[variable_type]:[variable_type]],"H2_outflow",
Infrastructure[[cluster]:[cluster]],$B$491,
Infrastructure[[pipe_cluster_end]:[pipe_cluster_end]],$B495)*PJ2TWh,"")</f>
        <v>0</v>
      </c>
      <c r="AE495" s="51">
        <f>IFERROR(SUMIFS(Infrastructure[2049],
Infrastructure[[variable_type]:[variable_type]],"H2_outflow",
Infrastructure[[cluster]:[cluster]],$B$491,
Infrastructure[[pipe_cluster_end]:[pipe_cluster_end]],$B495)*PJ2TWh,"")</f>
        <v>0</v>
      </c>
      <c r="AF495" s="51">
        <f>IFERROR(SUMIFS(Infrastructure[2050],
Infrastructure[[variable_type]:[variable_type]],"H2_outflow",
Infrastructure[[cluster]:[cluster]],$B$491,
Infrastructure[[pipe_cluster_end]:[pipe_cluster_end]],$B495)*PJ2TWh,"")</f>
        <v>0</v>
      </c>
      <c r="AG495" s="51">
        <f>IFERROR(SUMIFS(Infrastructure[2051],
Infrastructure[[variable_type]:[variable_type]],"H2_outflow",
Infrastructure[[cluster]:[cluster]],$B$491,
Infrastructure[[pipe_cluster_end]:[pipe_cluster_end]],$B495)*PJ2TWh,"")</f>
        <v>0</v>
      </c>
    </row>
    <row r="496" spans="1:33" x14ac:dyDescent="0.45">
      <c r="A496" s="2"/>
      <c r="B496" s="24" t="s">
        <v>73</v>
      </c>
      <c r="C496" s="51">
        <f>IFERROR(SUMIFS(Infrastructure[2021],
Infrastructure[[variable_type]:[variable_type]],"H2_outflow",
Infrastructure[[cluster]:[cluster]],$B$491,
Infrastructure[[pipe_cluster_end]:[pipe_cluster_end]],$B496)*PJ2TWh,"")</f>
        <v>0</v>
      </c>
      <c r="D496" s="51">
        <f>IFERROR(SUMIFS(Infrastructure[2022],
Infrastructure[[variable_type]:[variable_type]],"H2_outflow",
Infrastructure[[cluster]:[cluster]],$B$491,
Infrastructure[[pipe_cluster_end]:[pipe_cluster_end]],$B496)*PJ2TWh,"")</f>
        <v>0</v>
      </c>
      <c r="E496" s="51">
        <f>IFERROR(SUMIFS(Infrastructure[2023],
Infrastructure[[variable_type]:[variable_type]],"H2_outflow",
Infrastructure[[cluster]:[cluster]],$B$491,
Infrastructure[[pipe_cluster_end]:[pipe_cluster_end]],$B496)*PJ2TWh,"")</f>
        <v>0</v>
      </c>
      <c r="F496" s="51">
        <f>IFERROR(SUMIFS(Infrastructure[2024],
Infrastructure[[variable_type]:[variable_type]],"H2_outflow",
Infrastructure[[cluster]:[cluster]],$B$491,
Infrastructure[[pipe_cluster_end]:[pipe_cluster_end]],$B496)*PJ2TWh,"")</f>
        <v>0</v>
      </c>
      <c r="G496" s="51">
        <f>IFERROR(SUMIFS(Infrastructure[2025],
Infrastructure[[variable_type]:[variable_type]],"H2_outflow",
Infrastructure[[cluster]:[cluster]],$B$491,
Infrastructure[[pipe_cluster_end]:[pipe_cluster_end]],$B496)*PJ2TWh,"")</f>
        <v>0</v>
      </c>
      <c r="H496" s="51">
        <f>IFERROR(SUMIFS(Infrastructure[2026],
Infrastructure[[variable_type]:[variable_type]],"H2_outflow",
Infrastructure[[cluster]:[cluster]],$B$491,
Infrastructure[[pipe_cluster_end]:[pipe_cluster_end]],$B496)*PJ2TWh,"")</f>
        <v>0</v>
      </c>
      <c r="I496" s="51">
        <f>IFERROR(SUMIFS(Infrastructure[2027],
Infrastructure[[variable_type]:[variable_type]],"H2_outflow",
Infrastructure[[cluster]:[cluster]],$B$491,
Infrastructure[[pipe_cluster_end]:[pipe_cluster_end]],$B496)*PJ2TWh,"")</f>
        <v>0</v>
      </c>
      <c r="J496" s="51">
        <f>IFERROR(SUMIFS(Infrastructure[2028],
Infrastructure[[variable_type]:[variable_type]],"H2_outflow",
Infrastructure[[cluster]:[cluster]],$B$491,
Infrastructure[[pipe_cluster_end]:[pipe_cluster_end]],$B496)*PJ2TWh,"")</f>
        <v>0</v>
      </c>
      <c r="K496" s="51">
        <f>IFERROR(SUMIFS(Infrastructure[2029],
Infrastructure[[variable_type]:[variable_type]],"H2_outflow",
Infrastructure[[cluster]:[cluster]],$B$491,
Infrastructure[[pipe_cluster_end]:[pipe_cluster_end]],$B496)*PJ2TWh,"")</f>
        <v>0</v>
      </c>
      <c r="L496" s="51">
        <f>IFERROR(SUMIFS(Infrastructure[2030],
Infrastructure[[variable_type]:[variable_type]],"H2_outflow",
Infrastructure[[cluster]:[cluster]],$B$491,
Infrastructure[[pipe_cluster_end]:[pipe_cluster_end]],$B496)*PJ2TWh,"")</f>
        <v>0</v>
      </c>
      <c r="M496" s="51">
        <f>IFERROR(SUMIFS(Infrastructure[2031],
Infrastructure[[variable_type]:[variable_type]],"H2_outflow",
Infrastructure[[cluster]:[cluster]],$B$491,
Infrastructure[[pipe_cluster_end]:[pipe_cluster_end]],$B496)*PJ2TWh,"")</f>
        <v>0</v>
      </c>
      <c r="N496" s="51">
        <f>IFERROR(SUMIFS(Infrastructure[2032],
Infrastructure[[variable_type]:[variable_type]],"H2_outflow",
Infrastructure[[cluster]:[cluster]],$B$491,
Infrastructure[[pipe_cluster_end]:[pipe_cluster_end]],$B496)*PJ2TWh,"")</f>
        <v>0</v>
      </c>
      <c r="O496" s="51">
        <f>IFERROR(SUMIFS(Infrastructure[2033],
Infrastructure[[variable_type]:[variable_type]],"H2_outflow",
Infrastructure[[cluster]:[cluster]],$B$491,
Infrastructure[[pipe_cluster_end]:[pipe_cluster_end]],$B496)*PJ2TWh,"")</f>
        <v>0</v>
      </c>
      <c r="P496" s="51">
        <f>IFERROR(SUMIFS(Infrastructure[2034],
Infrastructure[[variable_type]:[variable_type]],"H2_outflow",
Infrastructure[[cluster]:[cluster]],$B$491,
Infrastructure[[pipe_cluster_end]:[pipe_cluster_end]],$B496)*PJ2TWh,"")</f>
        <v>0</v>
      </c>
      <c r="Q496" s="51">
        <f>IFERROR(SUMIFS(Infrastructure[2035],
Infrastructure[[variable_type]:[variable_type]],"H2_outflow",
Infrastructure[[cluster]:[cluster]],$B$491,
Infrastructure[[pipe_cluster_end]:[pipe_cluster_end]],$B496)*PJ2TWh,"")</f>
        <v>0</v>
      </c>
      <c r="R496" s="51">
        <f>IFERROR(SUMIFS(Infrastructure[2036],
Infrastructure[[variable_type]:[variable_type]],"H2_outflow",
Infrastructure[[cluster]:[cluster]],$B$491,
Infrastructure[[pipe_cluster_end]:[pipe_cluster_end]],$B496)*PJ2TWh,"")</f>
        <v>0</v>
      </c>
      <c r="S496" s="51">
        <f>IFERROR(SUMIFS(Infrastructure[2037],
Infrastructure[[variable_type]:[variable_type]],"H2_outflow",
Infrastructure[[cluster]:[cluster]],$B$491,
Infrastructure[[pipe_cluster_end]:[pipe_cluster_end]],$B496)*PJ2TWh,"")</f>
        <v>0</v>
      </c>
      <c r="T496" s="51">
        <f>IFERROR(SUMIFS(Infrastructure[2038],
Infrastructure[[variable_type]:[variable_type]],"H2_outflow",
Infrastructure[[cluster]:[cluster]],$B$491,
Infrastructure[[pipe_cluster_end]:[pipe_cluster_end]],$B496)*PJ2TWh,"")</f>
        <v>0</v>
      </c>
      <c r="U496" s="51">
        <f>IFERROR(SUMIFS(Infrastructure[2039],
Infrastructure[[variable_type]:[variable_type]],"H2_outflow",
Infrastructure[[cluster]:[cluster]],$B$491,
Infrastructure[[pipe_cluster_end]:[pipe_cluster_end]],$B496)*PJ2TWh,"")</f>
        <v>0</v>
      </c>
      <c r="V496" s="51">
        <f>IFERROR(SUMIFS(Infrastructure[2040],
Infrastructure[[variable_type]:[variable_type]],"H2_outflow",
Infrastructure[[cluster]:[cluster]],$B$491,
Infrastructure[[pipe_cluster_end]:[pipe_cluster_end]],$B496)*PJ2TWh,"")</f>
        <v>0</v>
      </c>
      <c r="W496" s="51">
        <f>IFERROR(SUMIFS(Infrastructure[2041],
Infrastructure[[variable_type]:[variable_type]],"H2_outflow",
Infrastructure[[cluster]:[cluster]],$B$491,
Infrastructure[[pipe_cluster_end]:[pipe_cluster_end]],$B496)*PJ2TWh,"")</f>
        <v>0</v>
      </c>
      <c r="X496" s="51">
        <f>IFERROR(SUMIFS(Infrastructure[2042],
Infrastructure[[variable_type]:[variable_type]],"H2_outflow",
Infrastructure[[cluster]:[cluster]],$B$491,
Infrastructure[[pipe_cluster_end]:[pipe_cluster_end]],$B496)*PJ2TWh,"")</f>
        <v>0</v>
      </c>
      <c r="Y496" s="51">
        <f>IFERROR(SUMIFS(Infrastructure[2043],
Infrastructure[[variable_type]:[variable_type]],"H2_outflow",
Infrastructure[[cluster]:[cluster]],$B$491,
Infrastructure[[pipe_cluster_end]:[pipe_cluster_end]],$B496)*PJ2TWh,"")</f>
        <v>0</v>
      </c>
      <c r="Z496" s="51">
        <f>IFERROR(SUMIFS(Infrastructure[2044],
Infrastructure[[variable_type]:[variable_type]],"H2_outflow",
Infrastructure[[cluster]:[cluster]],$B$491,
Infrastructure[[pipe_cluster_end]:[pipe_cluster_end]],$B496)*PJ2TWh,"")</f>
        <v>0</v>
      </c>
      <c r="AA496" s="51">
        <f>IFERROR(SUMIFS(Infrastructure[2045],
Infrastructure[[variable_type]:[variable_type]],"H2_outflow",
Infrastructure[[cluster]:[cluster]],$B$491,
Infrastructure[[pipe_cluster_end]:[pipe_cluster_end]],$B496)*PJ2TWh,"")</f>
        <v>0</v>
      </c>
      <c r="AB496" s="51">
        <f>IFERROR(SUMIFS(Infrastructure[2046],
Infrastructure[[variable_type]:[variable_type]],"H2_outflow",
Infrastructure[[cluster]:[cluster]],$B$491,
Infrastructure[[pipe_cluster_end]:[pipe_cluster_end]],$B496)*PJ2TWh,"")</f>
        <v>0</v>
      </c>
      <c r="AC496" s="51">
        <f>IFERROR(SUMIFS(Infrastructure[2047],
Infrastructure[[variable_type]:[variable_type]],"H2_outflow",
Infrastructure[[cluster]:[cluster]],$B$491,
Infrastructure[[pipe_cluster_end]:[pipe_cluster_end]],$B496)*PJ2TWh,"")</f>
        <v>0</v>
      </c>
      <c r="AD496" s="51">
        <f>IFERROR(SUMIFS(Infrastructure[2048],
Infrastructure[[variable_type]:[variable_type]],"H2_outflow",
Infrastructure[[cluster]:[cluster]],$B$491,
Infrastructure[[pipe_cluster_end]:[pipe_cluster_end]],$B496)*PJ2TWh,"")</f>
        <v>0</v>
      </c>
      <c r="AE496" s="51">
        <f>IFERROR(SUMIFS(Infrastructure[2049],
Infrastructure[[variable_type]:[variable_type]],"H2_outflow",
Infrastructure[[cluster]:[cluster]],$B$491,
Infrastructure[[pipe_cluster_end]:[pipe_cluster_end]],$B496)*PJ2TWh,"")</f>
        <v>0</v>
      </c>
      <c r="AF496" s="51">
        <f>IFERROR(SUMIFS(Infrastructure[2050],
Infrastructure[[variable_type]:[variable_type]],"H2_outflow",
Infrastructure[[cluster]:[cluster]],$B$491,
Infrastructure[[pipe_cluster_end]:[pipe_cluster_end]],$B496)*PJ2TWh,"")</f>
        <v>0</v>
      </c>
      <c r="AG496" s="51">
        <f>IFERROR(SUMIFS(Infrastructure[2051],
Infrastructure[[variable_type]:[variable_type]],"H2_outflow",
Infrastructure[[cluster]:[cluster]],$B$491,
Infrastructure[[pipe_cluster_end]:[pipe_cluster_end]],$B496)*PJ2TWh,"")</f>
        <v>0</v>
      </c>
    </row>
    <row r="497" spans="1:33" x14ac:dyDescent="0.45">
      <c r="A497" s="2"/>
      <c r="B497" s="24" t="s">
        <v>74</v>
      </c>
      <c r="C497" s="51">
        <f>IFERROR(SUMIFS(Infrastructure[2021],
Infrastructure[[variable_type]:[variable_type]],"H2_outflow",
Infrastructure[[cluster]:[cluster]],$B$491,
Infrastructure[[pipe_cluster_end]:[pipe_cluster_end]],$B497)*PJ2TWh,"")</f>
        <v>0</v>
      </c>
      <c r="D497" s="51">
        <f>IFERROR(SUMIFS(Infrastructure[2022],
Infrastructure[[variable_type]:[variable_type]],"H2_outflow",
Infrastructure[[cluster]:[cluster]],$B$491,
Infrastructure[[pipe_cluster_end]:[pipe_cluster_end]],$B497)*PJ2TWh,"")</f>
        <v>0</v>
      </c>
      <c r="E497" s="51">
        <f>IFERROR(SUMIFS(Infrastructure[2023],
Infrastructure[[variable_type]:[variable_type]],"H2_outflow",
Infrastructure[[cluster]:[cluster]],$B$491,
Infrastructure[[pipe_cluster_end]:[pipe_cluster_end]],$B497)*PJ2TWh,"")</f>
        <v>0</v>
      </c>
      <c r="F497" s="51">
        <f>IFERROR(SUMIFS(Infrastructure[2024],
Infrastructure[[variable_type]:[variable_type]],"H2_outflow",
Infrastructure[[cluster]:[cluster]],$B$491,
Infrastructure[[pipe_cluster_end]:[pipe_cluster_end]],$B497)*PJ2TWh,"")</f>
        <v>0</v>
      </c>
      <c r="G497" s="51">
        <f>IFERROR(SUMIFS(Infrastructure[2025],
Infrastructure[[variable_type]:[variable_type]],"H2_outflow",
Infrastructure[[cluster]:[cluster]],$B$491,
Infrastructure[[pipe_cluster_end]:[pipe_cluster_end]],$B497)*PJ2TWh,"")</f>
        <v>0</v>
      </c>
      <c r="H497" s="51">
        <f>IFERROR(SUMIFS(Infrastructure[2026],
Infrastructure[[variable_type]:[variable_type]],"H2_outflow",
Infrastructure[[cluster]:[cluster]],$B$491,
Infrastructure[[pipe_cluster_end]:[pipe_cluster_end]],$B497)*PJ2TWh,"")</f>
        <v>0</v>
      </c>
      <c r="I497" s="51">
        <f>IFERROR(SUMIFS(Infrastructure[2027],
Infrastructure[[variable_type]:[variable_type]],"H2_outflow",
Infrastructure[[cluster]:[cluster]],$B$491,
Infrastructure[[pipe_cluster_end]:[pipe_cluster_end]],$B497)*PJ2TWh,"")</f>
        <v>0</v>
      </c>
      <c r="J497" s="51">
        <f>IFERROR(SUMIFS(Infrastructure[2028],
Infrastructure[[variable_type]:[variable_type]],"H2_outflow",
Infrastructure[[cluster]:[cluster]],$B$491,
Infrastructure[[pipe_cluster_end]:[pipe_cluster_end]],$B497)*PJ2TWh,"")</f>
        <v>0</v>
      </c>
      <c r="K497" s="51">
        <f>IFERROR(SUMIFS(Infrastructure[2029],
Infrastructure[[variable_type]:[variable_type]],"H2_outflow",
Infrastructure[[cluster]:[cluster]],$B$491,
Infrastructure[[pipe_cluster_end]:[pipe_cluster_end]],$B497)*PJ2TWh,"")</f>
        <v>0</v>
      </c>
      <c r="L497" s="51">
        <f>IFERROR(SUMIFS(Infrastructure[2030],
Infrastructure[[variable_type]:[variable_type]],"H2_outflow",
Infrastructure[[cluster]:[cluster]],$B$491,
Infrastructure[[pipe_cluster_end]:[pipe_cluster_end]],$B497)*PJ2TWh,"")</f>
        <v>0</v>
      </c>
      <c r="M497" s="51">
        <f>IFERROR(SUMIFS(Infrastructure[2031],
Infrastructure[[variable_type]:[variable_type]],"H2_outflow",
Infrastructure[[cluster]:[cluster]],$B$491,
Infrastructure[[pipe_cluster_end]:[pipe_cluster_end]],$B497)*PJ2TWh,"")</f>
        <v>0</v>
      </c>
      <c r="N497" s="51">
        <f>IFERROR(SUMIFS(Infrastructure[2032],
Infrastructure[[variable_type]:[variable_type]],"H2_outflow",
Infrastructure[[cluster]:[cluster]],$B$491,
Infrastructure[[pipe_cluster_end]:[pipe_cluster_end]],$B497)*PJ2TWh,"")</f>
        <v>0</v>
      </c>
      <c r="O497" s="51">
        <f>IFERROR(SUMIFS(Infrastructure[2033],
Infrastructure[[variable_type]:[variable_type]],"H2_outflow",
Infrastructure[[cluster]:[cluster]],$B$491,
Infrastructure[[pipe_cluster_end]:[pipe_cluster_end]],$B497)*PJ2TWh,"")</f>
        <v>0</v>
      </c>
      <c r="P497" s="51">
        <f>IFERROR(SUMIFS(Infrastructure[2034],
Infrastructure[[variable_type]:[variable_type]],"H2_outflow",
Infrastructure[[cluster]:[cluster]],$B$491,
Infrastructure[[pipe_cluster_end]:[pipe_cluster_end]],$B497)*PJ2TWh,"")</f>
        <v>0</v>
      </c>
      <c r="Q497" s="51">
        <f>IFERROR(SUMIFS(Infrastructure[2035],
Infrastructure[[variable_type]:[variable_type]],"H2_outflow",
Infrastructure[[cluster]:[cluster]],$B$491,
Infrastructure[[pipe_cluster_end]:[pipe_cluster_end]],$B497)*PJ2TWh,"")</f>
        <v>0</v>
      </c>
      <c r="R497" s="51">
        <f>IFERROR(SUMIFS(Infrastructure[2036],
Infrastructure[[variable_type]:[variable_type]],"H2_outflow",
Infrastructure[[cluster]:[cluster]],$B$491,
Infrastructure[[pipe_cluster_end]:[pipe_cluster_end]],$B497)*PJ2TWh,"")</f>
        <v>0</v>
      </c>
      <c r="S497" s="51">
        <f>IFERROR(SUMIFS(Infrastructure[2037],
Infrastructure[[variable_type]:[variable_type]],"H2_outflow",
Infrastructure[[cluster]:[cluster]],$B$491,
Infrastructure[[pipe_cluster_end]:[pipe_cluster_end]],$B497)*PJ2TWh,"")</f>
        <v>0</v>
      </c>
      <c r="T497" s="51">
        <f>IFERROR(SUMIFS(Infrastructure[2038],
Infrastructure[[variable_type]:[variable_type]],"H2_outflow",
Infrastructure[[cluster]:[cluster]],$B$491,
Infrastructure[[pipe_cluster_end]:[pipe_cluster_end]],$B497)*PJ2TWh,"")</f>
        <v>0</v>
      </c>
      <c r="U497" s="51">
        <f>IFERROR(SUMIFS(Infrastructure[2039],
Infrastructure[[variable_type]:[variable_type]],"H2_outflow",
Infrastructure[[cluster]:[cluster]],$B$491,
Infrastructure[[pipe_cluster_end]:[pipe_cluster_end]],$B497)*PJ2TWh,"")</f>
        <v>0</v>
      </c>
      <c r="V497" s="51">
        <f>IFERROR(SUMIFS(Infrastructure[2040],
Infrastructure[[variable_type]:[variable_type]],"H2_outflow",
Infrastructure[[cluster]:[cluster]],$B$491,
Infrastructure[[pipe_cluster_end]:[pipe_cluster_end]],$B497)*PJ2TWh,"")</f>
        <v>0</v>
      </c>
      <c r="W497" s="51">
        <f>IFERROR(SUMIFS(Infrastructure[2041],
Infrastructure[[variable_type]:[variable_type]],"H2_outflow",
Infrastructure[[cluster]:[cluster]],$B$491,
Infrastructure[[pipe_cluster_end]:[pipe_cluster_end]],$B497)*PJ2TWh,"")</f>
        <v>0</v>
      </c>
      <c r="X497" s="51">
        <f>IFERROR(SUMIFS(Infrastructure[2042],
Infrastructure[[variable_type]:[variable_type]],"H2_outflow",
Infrastructure[[cluster]:[cluster]],$B$491,
Infrastructure[[pipe_cluster_end]:[pipe_cluster_end]],$B497)*PJ2TWh,"")</f>
        <v>0</v>
      </c>
      <c r="Y497" s="51">
        <f>IFERROR(SUMIFS(Infrastructure[2043],
Infrastructure[[variable_type]:[variable_type]],"H2_outflow",
Infrastructure[[cluster]:[cluster]],$B$491,
Infrastructure[[pipe_cluster_end]:[pipe_cluster_end]],$B497)*PJ2TWh,"")</f>
        <v>0</v>
      </c>
      <c r="Z497" s="51">
        <f>IFERROR(SUMIFS(Infrastructure[2044],
Infrastructure[[variable_type]:[variable_type]],"H2_outflow",
Infrastructure[[cluster]:[cluster]],$B$491,
Infrastructure[[pipe_cluster_end]:[pipe_cluster_end]],$B497)*PJ2TWh,"")</f>
        <v>0</v>
      </c>
      <c r="AA497" s="51">
        <f>IFERROR(SUMIFS(Infrastructure[2045],
Infrastructure[[variable_type]:[variable_type]],"H2_outflow",
Infrastructure[[cluster]:[cluster]],$B$491,
Infrastructure[[pipe_cluster_end]:[pipe_cluster_end]],$B497)*PJ2TWh,"")</f>
        <v>0</v>
      </c>
      <c r="AB497" s="51">
        <f>IFERROR(SUMIFS(Infrastructure[2046],
Infrastructure[[variable_type]:[variable_type]],"H2_outflow",
Infrastructure[[cluster]:[cluster]],$B$491,
Infrastructure[[pipe_cluster_end]:[pipe_cluster_end]],$B497)*PJ2TWh,"")</f>
        <v>0</v>
      </c>
      <c r="AC497" s="51">
        <f>IFERROR(SUMIFS(Infrastructure[2047],
Infrastructure[[variable_type]:[variable_type]],"H2_outflow",
Infrastructure[[cluster]:[cluster]],$B$491,
Infrastructure[[pipe_cluster_end]:[pipe_cluster_end]],$B497)*PJ2TWh,"")</f>
        <v>0</v>
      </c>
      <c r="AD497" s="51">
        <f>IFERROR(SUMIFS(Infrastructure[2048],
Infrastructure[[variable_type]:[variable_type]],"H2_outflow",
Infrastructure[[cluster]:[cluster]],$B$491,
Infrastructure[[pipe_cluster_end]:[pipe_cluster_end]],$B497)*PJ2TWh,"")</f>
        <v>0</v>
      </c>
      <c r="AE497" s="51">
        <f>IFERROR(SUMIFS(Infrastructure[2049],
Infrastructure[[variable_type]:[variable_type]],"H2_outflow",
Infrastructure[[cluster]:[cluster]],$B$491,
Infrastructure[[pipe_cluster_end]:[pipe_cluster_end]],$B497)*PJ2TWh,"")</f>
        <v>0</v>
      </c>
      <c r="AF497" s="51">
        <f>IFERROR(SUMIFS(Infrastructure[2050],
Infrastructure[[variable_type]:[variable_type]],"H2_outflow",
Infrastructure[[cluster]:[cluster]],$B$491,
Infrastructure[[pipe_cluster_end]:[pipe_cluster_end]],$B497)*PJ2TWh,"")</f>
        <v>0</v>
      </c>
      <c r="AG497" s="51">
        <f>IFERROR(SUMIFS(Infrastructure[2051],
Infrastructure[[variable_type]:[variable_type]],"H2_outflow",
Infrastructure[[cluster]:[cluster]],$B$491,
Infrastructure[[pipe_cluster_end]:[pipe_cluster_end]],$B497)*PJ2TWh,"")</f>
        <v>0</v>
      </c>
    </row>
    <row r="498" spans="1:33" x14ac:dyDescent="0.45">
      <c r="A498" s="2"/>
      <c r="B498" s="24" t="s">
        <v>75</v>
      </c>
      <c r="C498" s="51">
        <f>IFERROR(SUMIFS(Infrastructure[2021],
Infrastructure[[variable_type]:[variable_type]],"H2_outflow",
Infrastructure[[cluster]:[cluster]],$B$491,
Infrastructure[[pipe_cluster_end]:[pipe_cluster_end]],$B498)*PJ2TWh,"")</f>
        <v>0</v>
      </c>
      <c r="D498" s="51">
        <f>IFERROR(SUMIFS(Infrastructure[2022],
Infrastructure[[variable_type]:[variable_type]],"H2_outflow",
Infrastructure[[cluster]:[cluster]],$B$491,
Infrastructure[[pipe_cluster_end]:[pipe_cluster_end]],$B498)*PJ2TWh,"")</f>
        <v>0</v>
      </c>
      <c r="E498" s="51">
        <f>IFERROR(SUMIFS(Infrastructure[2023],
Infrastructure[[variable_type]:[variable_type]],"H2_outflow",
Infrastructure[[cluster]:[cluster]],$B$491,
Infrastructure[[pipe_cluster_end]:[pipe_cluster_end]],$B498)*PJ2TWh,"")</f>
        <v>0</v>
      </c>
      <c r="F498" s="51">
        <f>IFERROR(SUMIFS(Infrastructure[2024],
Infrastructure[[variable_type]:[variable_type]],"H2_outflow",
Infrastructure[[cluster]:[cluster]],$B$491,
Infrastructure[[pipe_cluster_end]:[pipe_cluster_end]],$B498)*PJ2TWh,"")</f>
        <v>0</v>
      </c>
      <c r="G498" s="51">
        <f>IFERROR(SUMIFS(Infrastructure[2025],
Infrastructure[[variable_type]:[variable_type]],"H2_outflow",
Infrastructure[[cluster]:[cluster]],$B$491,
Infrastructure[[pipe_cluster_end]:[pipe_cluster_end]],$B498)*PJ2TWh,"")</f>
        <v>0</v>
      </c>
      <c r="H498" s="51">
        <f>IFERROR(SUMIFS(Infrastructure[2026],
Infrastructure[[variable_type]:[variable_type]],"H2_outflow",
Infrastructure[[cluster]:[cluster]],$B$491,
Infrastructure[[pipe_cluster_end]:[pipe_cluster_end]],$B498)*PJ2TWh,"")</f>
        <v>0</v>
      </c>
      <c r="I498" s="51">
        <f>IFERROR(SUMIFS(Infrastructure[2027],
Infrastructure[[variable_type]:[variable_type]],"H2_outflow",
Infrastructure[[cluster]:[cluster]],$B$491,
Infrastructure[[pipe_cluster_end]:[pipe_cluster_end]],$B498)*PJ2TWh,"")</f>
        <v>0</v>
      </c>
      <c r="J498" s="51">
        <f>IFERROR(SUMIFS(Infrastructure[2028],
Infrastructure[[variable_type]:[variable_type]],"H2_outflow",
Infrastructure[[cluster]:[cluster]],$B$491,
Infrastructure[[pipe_cluster_end]:[pipe_cluster_end]],$B498)*PJ2TWh,"")</f>
        <v>0</v>
      </c>
      <c r="K498" s="51">
        <f>IFERROR(SUMIFS(Infrastructure[2029],
Infrastructure[[variable_type]:[variable_type]],"H2_outflow",
Infrastructure[[cluster]:[cluster]],$B$491,
Infrastructure[[pipe_cluster_end]:[pipe_cluster_end]],$B498)*PJ2TWh,"")</f>
        <v>0</v>
      </c>
      <c r="L498" s="51">
        <f>IFERROR(SUMIFS(Infrastructure[2030],
Infrastructure[[variable_type]:[variable_type]],"H2_outflow",
Infrastructure[[cluster]:[cluster]],$B$491,
Infrastructure[[pipe_cluster_end]:[pipe_cluster_end]],$B498)*PJ2TWh,"")</f>
        <v>0</v>
      </c>
      <c r="M498" s="51">
        <f>IFERROR(SUMIFS(Infrastructure[2031],
Infrastructure[[variable_type]:[variable_type]],"H2_outflow",
Infrastructure[[cluster]:[cluster]],$B$491,
Infrastructure[[pipe_cluster_end]:[pipe_cluster_end]],$B498)*PJ2TWh,"")</f>
        <v>0</v>
      </c>
      <c r="N498" s="51">
        <f>IFERROR(SUMIFS(Infrastructure[2032],
Infrastructure[[variable_type]:[variable_type]],"H2_outflow",
Infrastructure[[cluster]:[cluster]],$B$491,
Infrastructure[[pipe_cluster_end]:[pipe_cluster_end]],$B498)*PJ2TWh,"")</f>
        <v>0</v>
      </c>
      <c r="O498" s="51">
        <f>IFERROR(SUMIFS(Infrastructure[2033],
Infrastructure[[variable_type]:[variable_type]],"H2_outflow",
Infrastructure[[cluster]:[cluster]],$B$491,
Infrastructure[[pipe_cluster_end]:[pipe_cluster_end]],$B498)*PJ2TWh,"")</f>
        <v>0</v>
      </c>
      <c r="P498" s="51">
        <f>IFERROR(SUMIFS(Infrastructure[2034],
Infrastructure[[variable_type]:[variable_type]],"H2_outflow",
Infrastructure[[cluster]:[cluster]],$B$491,
Infrastructure[[pipe_cluster_end]:[pipe_cluster_end]],$B498)*PJ2TWh,"")</f>
        <v>0</v>
      </c>
      <c r="Q498" s="51">
        <f>IFERROR(SUMIFS(Infrastructure[2035],
Infrastructure[[variable_type]:[variable_type]],"H2_outflow",
Infrastructure[[cluster]:[cluster]],$B$491,
Infrastructure[[pipe_cluster_end]:[pipe_cluster_end]],$B498)*PJ2TWh,"")</f>
        <v>0</v>
      </c>
      <c r="R498" s="51">
        <f>IFERROR(SUMIFS(Infrastructure[2036],
Infrastructure[[variable_type]:[variable_type]],"H2_outflow",
Infrastructure[[cluster]:[cluster]],$B$491,
Infrastructure[[pipe_cluster_end]:[pipe_cluster_end]],$B498)*PJ2TWh,"")</f>
        <v>0</v>
      </c>
      <c r="S498" s="51">
        <f>IFERROR(SUMIFS(Infrastructure[2037],
Infrastructure[[variable_type]:[variable_type]],"H2_outflow",
Infrastructure[[cluster]:[cluster]],$B$491,
Infrastructure[[pipe_cluster_end]:[pipe_cluster_end]],$B498)*PJ2TWh,"")</f>
        <v>0</v>
      </c>
      <c r="T498" s="51">
        <f>IFERROR(SUMIFS(Infrastructure[2038],
Infrastructure[[variable_type]:[variable_type]],"H2_outflow",
Infrastructure[[cluster]:[cluster]],$B$491,
Infrastructure[[pipe_cluster_end]:[pipe_cluster_end]],$B498)*PJ2TWh,"")</f>
        <v>0</v>
      </c>
      <c r="U498" s="51">
        <f>IFERROR(SUMIFS(Infrastructure[2039],
Infrastructure[[variable_type]:[variable_type]],"H2_outflow",
Infrastructure[[cluster]:[cluster]],$B$491,
Infrastructure[[pipe_cluster_end]:[pipe_cluster_end]],$B498)*PJ2TWh,"")</f>
        <v>0</v>
      </c>
      <c r="V498" s="51">
        <f>IFERROR(SUMIFS(Infrastructure[2040],
Infrastructure[[variable_type]:[variable_type]],"H2_outflow",
Infrastructure[[cluster]:[cluster]],$B$491,
Infrastructure[[pipe_cluster_end]:[pipe_cluster_end]],$B498)*PJ2TWh,"")</f>
        <v>0</v>
      </c>
      <c r="W498" s="51">
        <f>IFERROR(SUMIFS(Infrastructure[2041],
Infrastructure[[variable_type]:[variable_type]],"H2_outflow",
Infrastructure[[cluster]:[cluster]],$B$491,
Infrastructure[[pipe_cluster_end]:[pipe_cluster_end]],$B498)*PJ2TWh,"")</f>
        <v>0</v>
      </c>
      <c r="X498" s="51">
        <f>IFERROR(SUMIFS(Infrastructure[2042],
Infrastructure[[variable_type]:[variable_type]],"H2_outflow",
Infrastructure[[cluster]:[cluster]],$B$491,
Infrastructure[[pipe_cluster_end]:[pipe_cluster_end]],$B498)*PJ2TWh,"")</f>
        <v>0</v>
      </c>
      <c r="Y498" s="51">
        <f>IFERROR(SUMIFS(Infrastructure[2043],
Infrastructure[[variable_type]:[variable_type]],"H2_outflow",
Infrastructure[[cluster]:[cluster]],$B$491,
Infrastructure[[pipe_cluster_end]:[pipe_cluster_end]],$B498)*PJ2TWh,"")</f>
        <v>0</v>
      </c>
      <c r="Z498" s="51">
        <f>IFERROR(SUMIFS(Infrastructure[2044],
Infrastructure[[variable_type]:[variable_type]],"H2_outflow",
Infrastructure[[cluster]:[cluster]],$B$491,
Infrastructure[[pipe_cluster_end]:[pipe_cluster_end]],$B498)*PJ2TWh,"")</f>
        <v>0</v>
      </c>
      <c r="AA498" s="51">
        <f>IFERROR(SUMIFS(Infrastructure[2045],
Infrastructure[[variable_type]:[variable_type]],"H2_outflow",
Infrastructure[[cluster]:[cluster]],$B$491,
Infrastructure[[pipe_cluster_end]:[pipe_cluster_end]],$B498)*PJ2TWh,"")</f>
        <v>0</v>
      </c>
      <c r="AB498" s="51">
        <f>IFERROR(SUMIFS(Infrastructure[2046],
Infrastructure[[variable_type]:[variable_type]],"H2_outflow",
Infrastructure[[cluster]:[cluster]],$B$491,
Infrastructure[[pipe_cluster_end]:[pipe_cluster_end]],$B498)*PJ2TWh,"")</f>
        <v>0</v>
      </c>
      <c r="AC498" s="51">
        <f>IFERROR(SUMIFS(Infrastructure[2047],
Infrastructure[[variable_type]:[variable_type]],"H2_outflow",
Infrastructure[[cluster]:[cluster]],$B$491,
Infrastructure[[pipe_cluster_end]:[pipe_cluster_end]],$B498)*PJ2TWh,"")</f>
        <v>0</v>
      </c>
      <c r="AD498" s="51">
        <f>IFERROR(SUMIFS(Infrastructure[2048],
Infrastructure[[variable_type]:[variable_type]],"H2_outflow",
Infrastructure[[cluster]:[cluster]],$B$491,
Infrastructure[[pipe_cluster_end]:[pipe_cluster_end]],$B498)*PJ2TWh,"")</f>
        <v>0</v>
      </c>
      <c r="AE498" s="51">
        <f>IFERROR(SUMIFS(Infrastructure[2049],
Infrastructure[[variable_type]:[variable_type]],"H2_outflow",
Infrastructure[[cluster]:[cluster]],$B$491,
Infrastructure[[pipe_cluster_end]:[pipe_cluster_end]],$B498)*PJ2TWh,"")</f>
        <v>0</v>
      </c>
      <c r="AF498" s="51">
        <f>IFERROR(SUMIFS(Infrastructure[2050],
Infrastructure[[variable_type]:[variable_type]],"H2_outflow",
Infrastructure[[cluster]:[cluster]],$B$491,
Infrastructure[[pipe_cluster_end]:[pipe_cluster_end]],$B498)*PJ2TWh,"")</f>
        <v>0</v>
      </c>
      <c r="AG498" s="51">
        <f>IFERROR(SUMIFS(Infrastructure[2051],
Infrastructure[[variable_type]:[variable_type]],"H2_outflow",
Infrastructure[[cluster]:[cluster]],$B$491,
Infrastructure[[pipe_cluster_end]:[pipe_cluster_end]],$B498)*PJ2TWh,"")</f>
        <v>0</v>
      </c>
    </row>
    <row r="499" spans="1:33" x14ac:dyDescent="0.45">
      <c r="A499" s="2"/>
      <c r="B499" s="24" t="s">
        <v>76</v>
      </c>
      <c r="C499" s="51">
        <f>IFERROR(SUMIFS(Infrastructure[2021],
Infrastructure[[variable_type]:[variable_type]],"H2_outflow",
Infrastructure[[cluster]:[cluster]],$B$491,
Infrastructure[[pipe_cluster_end]:[pipe_cluster_end]],$B499)*PJ2TWh,"")</f>
        <v>0</v>
      </c>
      <c r="D499" s="51">
        <f>IFERROR(SUMIFS(Infrastructure[2022],
Infrastructure[[variable_type]:[variable_type]],"H2_outflow",
Infrastructure[[cluster]:[cluster]],$B$491,
Infrastructure[[pipe_cluster_end]:[pipe_cluster_end]],$B499)*PJ2TWh,"")</f>
        <v>0</v>
      </c>
      <c r="E499" s="51">
        <f>IFERROR(SUMIFS(Infrastructure[2023],
Infrastructure[[variable_type]:[variable_type]],"H2_outflow",
Infrastructure[[cluster]:[cluster]],$B$491,
Infrastructure[[pipe_cluster_end]:[pipe_cluster_end]],$B499)*PJ2TWh,"")</f>
        <v>0</v>
      </c>
      <c r="F499" s="51">
        <f>IFERROR(SUMIFS(Infrastructure[2024],
Infrastructure[[variable_type]:[variable_type]],"H2_outflow",
Infrastructure[[cluster]:[cluster]],$B$491,
Infrastructure[[pipe_cluster_end]:[pipe_cluster_end]],$B499)*PJ2TWh,"")</f>
        <v>0</v>
      </c>
      <c r="G499" s="51">
        <f>IFERROR(SUMIFS(Infrastructure[2025],
Infrastructure[[variable_type]:[variable_type]],"H2_outflow",
Infrastructure[[cluster]:[cluster]],$B$491,
Infrastructure[[pipe_cluster_end]:[pipe_cluster_end]],$B499)*PJ2TWh,"")</f>
        <v>0</v>
      </c>
      <c r="H499" s="51">
        <f>IFERROR(SUMIFS(Infrastructure[2026],
Infrastructure[[variable_type]:[variable_type]],"H2_outflow",
Infrastructure[[cluster]:[cluster]],$B$491,
Infrastructure[[pipe_cluster_end]:[pipe_cluster_end]],$B499)*PJ2TWh,"")</f>
        <v>0</v>
      </c>
      <c r="I499" s="51">
        <f>IFERROR(SUMIFS(Infrastructure[2027],
Infrastructure[[variable_type]:[variable_type]],"H2_outflow",
Infrastructure[[cluster]:[cluster]],$B$491,
Infrastructure[[pipe_cluster_end]:[pipe_cluster_end]],$B499)*PJ2TWh,"")</f>
        <v>0</v>
      </c>
      <c r="J499" s="51">
        <f>IFERROR(SUMIFS(Infrastructure[2028],
Infrastructure[[variable_type]:[variable_type]],"H2_outflow",
Infrastructure[[cluster]:[cluster]],$B$491,
Infrastructure[[pipe_cluster_end]:[pipe_cluster_end]],$B499)*PJ2TWh,"")</f>
        <v>0</v>
      </c>
      <c r="K499" s="51">
        <f>IFERROR(SUMIFS(Infrastructure[2029],
Infrastructure[[variable_type]:[variable_type]],"H2_outflow",
Infrastructure[[cluster]:[cluster]],$B$491,
Infrastructure[[pipe_cluster_end]:[pipe_cluster_end]],$B499)*PJ2TWh,"")</f>
        <v>0</v>
      </c>
      <c r="L499" s="51">
        <f>IFERROR(SUMIFS(Infrastructure[2030],
Infrastructure[[variable_type]:[variable_type]],"H2_outflow",
Infrastructure[[cluster]:[cluster]],$B$491,
Infrastructure[[pipe_cluster_end]:[pipe_cluster_end]],$B499)*PJ2TWh,"")</f>
        <v>0</v>
      </c>
      <c r="M499" s="51">
        <f>IFERROR(SUMIFS(Infrastructure[2031],
Infrastructure[[variable_type]:[variable_type]],"H2_outflow",
Infrastructure[[cluster]:[cluster]],$B$491,
Infrastructure[[pipe_cluster_end]:[pipe_cluster_end]],$B499)*PJ2TWh,"")</f>
        <v>0</v>
      </c>
      <c r="N499" s="51">
        <f>IFERROR(SUMIFS(Infrastructure[2032],
Infrastructure[[variable_type]:[variable_type]],"H2_outflow",
Infrastructure[[cluster]:[cluster]],$B$491,
Infrastructure[[pipe_cluster_end]:[pipe_cluster_end]],$B499)*PJ2TWh,"")</f>
        <v>0</v>
      </c>
      <c r="O499" s="51">
        <f>IFERROR(SUMIFS(Infrastructure[2033],
Infrastructure[[variable_type]:[variable_type]],"H2_outflow",
Infrastructure[[cluster]:[cluster]],$B$491,
Infrastructure[[pipe_cluster_end]:[pipe_cluster_end]],$B499)*PJ2TWh,"")</f>
        <v>0</v>
      </c>
      <c r="P499" s="51">
        <f>IFERROR(SUMIFS(Infrastructure[2034],
Infrastructure[[variable_type]:[variable_type]],"H2_outflow",
Infrastructure[[cluster]:[cluster]],$B$491,
Infrastructure[[pipe_cluster_end]:[pipe_cluster_end]],$B499)*PJ2TWh,"")</f>
        <v>0</v>
      </c>
      <c r="Q499" s="51">
        <f>IFERROR(SUMIFS(Infrastructure[2035],
Infrastructure[[variable_type]:[variable_type]],"H2_outflow",
Infrastructure[[cluster]:[cluster]],$B$491,
Infrastructure[[pipe_cluster_end]:[pipe_cluster_end]],$B499)*PJ2TWh,"")</f>
        <v>0</v>
      </c>
      <c r="R499" s="51">
        <f>IFERROR(SUMIFS(Infrastructure[2036],
Infrastructure[[variable_type]:[variable_type]],"H2_outflow",
Infrastructure[[cluster]:[cluster]],$B$491,
Infrastructure[[pipe_cluster_end]:[pipe_cluster_end]],$B499)*PJ2TWh,"")</f>
        <v>0</v>
      </c>
      <c r="S499" s="51">
        <f>IFERROR(SUMIFS(Infrastructure[2037],
Infrastructure[[variable_type]:[variable_type]],"H2_outflow",
Infrastructure[[cluster]:[cluster]],$B$491,
Infrastructure[[pipe_cluster_end]:[pipe_cluster_end]],$B499)*PJ2TWh,"")</f>
        <v>0</v>
      </c>
      <c r="T499" s="51">
        <f>IFERROR(SUMIFS(Infrastructure[2038],
Infrastructure[[variable_type]:[variable_type]],"H2_outflow",
Infrastructure[[cluster]:[cluster]],$B$491,
Infrastructure[[pipe_cluster_end]:[pipe_cluster_end]],$B499)*PJ2TWh,"")</f>
        <v>0</v>
      </c>
      <c r="U499" s="51">
        <f>IFERROR(SUMIFS(Infrastructure[2039],
Infrastructure[[variable_type]:[variable_type]],"H2_outflow",
Infrastructure[[cluster]:[cluster]],$B$491,
Infrastructure[[pipe_cluster_end]:[pipe_cluster_end]],$B499)*PJ2TWh,"")</f>
        <v>0</v>
      </c>
      <c r="V499" s="51">
        <f>IFERROR(SUMIFS(Infrastructure[2040],
Infrastructure[[variable_type]:[variable_type]],"H2_outflow",
Infrastructure[[cluster]:[cluster]],$B$491,
Infrastructure[[pipe_cluster_end]:[pipe_cluster_end]],$B499)*PJ2TWh,"")</f>
        <v>0</v>
      </c>
      <c r="W499" s="51">
        <f>IFERROR(SUMIFS(Infrastructure[2041],
Infrastructure[[variable_type]:[variable_type]],"H2_outflow",
Infrastructure[[cluster]:[cluster]],$B$491,
Infrastructure[[pipe_cluster_end]:[pipe_cluster_end]],$B499)*PJ2TWh,"")</f>
        <v>0</v>
      </c>
      <c r="X499" s="51">
        <f>IFERROR(SUMIFS(Infrastructure[2042],
Infrastructure[[variable_type]:[variable_type]],"H2_outflow",
Infrastructure[[cluster]:[cluster]],$B$491,
Infrastructure[[pipe_cluster_end]:[pipe_cluster_end]],$B499)*PJ2TWh,"")</f>
        <v>0</v>
      </c>
      <c r="Y499" s="51">
        <f>IFERROR(SUMIFS(Infrastructure[2043],
Infrastructure[[variable_type]:[variable_type]],"H2_outflow",
Infrastructure[[cluster]:[cluster]],$B$491,
Infrastructure[[pipe_cluster_end]:[pipe_cluster_end]],$B499)*PJ2TWh,"")</f>
        <v>0</v>
      </c>
      <c r="Z499" s="51">
        <f>IFERROR(SUMIFS(Infrastructure[2044],
Infrastructure[[variable_type]:[variable_type]],"H2_outflow",
Infrastructure[[cluster]:[cluster]],$B$491,
Infrastructure[[pipe_cluster_end]:[pipe_cluster_end]],$B499)*PJ2TWh,"")</f>
        <v>0</v>
      </c>
      <c r="AA499" s="51">
        <f>IFERROR(SUMIFS(Infrastructure[2045],
Infrastructure[[variable_type]:[variable_type]],"H2_outflow",
Infrastructure[[cluster]:[cluster]],$B$491,
Infrastructure[[pipe_cluster_end]:[pipe_cluster_end]],$B499)*PJ2TWh,"")</f>
        <v>0</v>
      </c>
      <c r="AB499" s="51">
        <f>IFERROR(SUMIFS(Infrastructure[2046],
Infrastructure[[variable_type]:[variable_type]],"H2_outflow",
Infrastructure[[cluster]:[cluster]],$B$491,
Infrastructure[[pipe_cluster_end]:[pipe_cluster_end]],$B499)*PJ2TWh,"")</f>
        <v>0</v>
      </c>
      <c r="AC499" s="51">
        <f>IFERROR(SUMIFS(Infrastructure[2047],
Infrastructure[[variable_type]:[variable_type]],"H2_outflow",
Infrastructure[[cluster]:[cluster]],$B$491,
Infrastructure[[pipe_cluster_end]:[pipe_cluster_end]],$B499)*PJ2TWh,"")</f>
        <v>0</v>
      </c>
      <c r="AD499" s="51">
        <f>IFERROR(SUMIFS(Infrastructure[2048],
Infrastructure[[variable_type]:[variable_type]],"H2_outflow",
Infrastructure[[cluster]:[cluster]],$B$491,
Infrastructure[[pipe_cluster_end]:[pipe_cluster_end]],$B499)*PJ2TWh,"")</f>
        <v>0</v>
      </c>
      <c r="AE499" s="51">
        <f>IFERROR(SUMIFS(Infrastructure[2049],
Infrastructure[[variable_type]:[variable_type]],"H2_outflow",
Infrastructure[[cluster]:[cluster]],$B$491,
Infrastructure[[pipe_cluster_end]:[pipe_cluster_end]],$B499)*PJ2TWh,"")</f>
        <v>0</v>
      </c>
      <c r="AF499" s="51">
        <f>IFERROR(SUMIFS(Infrastructure[2050],
Infrastructure[[variable_type]:[variable_type]],"H2_outflow",
Infrastructure[[cluster]:[cluster]],$B$491,
Infrastructure[[pipe_cluster_end]:[pipe_cluster_end]],$B499)*PJ2TWh,"")</f>
        <v>0</v>
      </c>
      <c r="AG499" s="51">
        <f>IFERROR(SUMIFS(Infrastructure[2051],
Infrastructure[[variable_type]:[variable_type]],"H2_outflow",
Infrastructure[[cluster]:[cluster]],$B$491,
Infrastructure[[pipe_cluster_end]:[pipe_cluster_end]],$B499)*PJ2TWh,"")</f>
        <v>0</v>
      </c>
    </row>
    <row r="500" spans="1:33" x14ac:dyDescent="0.45">
      <c r="A500" s="2"/>
      <c r="B500" s="24" t="s">
        <v>77</v>
      </c>
      <c r="C500" s="51">
        <f>IFERROR(SUMIFS(Infrastructure[2021],
Infrastructure[[variable_type]:[variable_type]],"H2_outflow",
Infrastructure[[cluster]:[cluster]],$B$491,
Infrastructure[[pipe_cluster_end]:[pipe_cluster_end]],$B500)*PJ2TWh,"")</f>
        <v>0</v>
      </c>
      <c r="D500" s="51">
        <f>IFERROR(SUMIFS(Infrastructure[2022],
Infrastructure[[variable_type]:[variable_type]],"H2_outflow",
Infrastructure[[cluster]:[cluster]],$B$491,
Infrastructure[[pipe_cluster_end]:[pipe_cluster_end]],$B500)*PJ2TWh,"")</f>
        <v>0</v>
      </c>
      <c r="E500" s="51">
        <f>IFERROR(SUMIFS(Infrastructure[2023],
Infrastructure[[variable_type]:[variable_type]],"H2_outflow",
Infrastructure[[cluster]:[cluster]],$B$491,
Infrastructure[[pipe_cluster_end]:[pipe_cluster_end]],$B500)*PJ2TWh,"")</f>
        <v>0</v>
      </c>
      <c r="F500" s="51">
        <f>IFERROR(SUMIFS(Infrastructure[2024],
Infrastructure[[variable_type]:[variable_type]],"H2_outflow",
Infrastructure[[cluster]:[cluster]],$B$491,
Infrastructure[[pipe_cluster_end]:[pipe_cluster_end]],$B500)*PJ2TWh,"")</f>
        <v>0</v>
      </c>
      <c r="G500" s="51">
        <f>IFERROR(SUMIFS(Infrastructure[2025],
Infrastructure[[variable_type]:[variable_type]],"H2_outflow",
Infrastructure[[cluster]:[cluster]],$B$491,
Infrastructure[[pipe_cluster_end]:[pipe_cluster_end]],$B500)*PJ2TWh,"")</f>
        <v>0</v>
      </c>
      <c r="H500" s="51">
        <f>IFERROR(SUMIFS(Infrastructure[2026],
Infrastructure[[variable_type]:[variable_type]],"H2_outflow",
Infrastructure[[cluster]:[cluster]],$B$491,
Infrastructure[[pipe_cluster_end]:[pipe_cluster_end]],$B500)*PJ2TWh,"")</f>
        <v>0</v>
      </c>
      <c r="I500" s="51">
        <f>IFERROR(SUMIFS(Infrastructure[2027],
Infrastructure[[variable_type]:[variable_type]],"H2_outflow",
Infrastructure[[cluster]:[cluster]],$B$491,
Infrastructure[[pipe_cluster_end]:[pipe_cluster_end]],$B500)*PJ2TWh,"")</f>
        <v>0</v>
      </c>
      <c r="J500" s="51">
        <f>IFERROR(SUMIFS(Infrastructure[2028],
Infrastructure[[variable_type]:[variable_type]],"H2_outflow",
Infrastructure[[cluster]:[cluster]],$B$491,
Infrastructure[[pipe_cluster_end]:[pipe_cluster_end]],$B500)*PJ2TWh,"")</f>
        <v>0</v>
      </c>
      <c r="K500" s="51">
        <f>IFERROR(SUMIFS(Infrastructure[2029],
Infrastructure[[variable_type]:[variable_type]],"H2_outflow",
Infrastructure[[cluster]:[cluster]],$B$491,
Infrastructure[[pipe_cluster_end]:[pipe_cluster_end]],$B500)*PJ2TWh,"")</f>
        <v>0</v>
      </c>
      <c r="L500" s="51">
        <f>IFERROR(SUMIFS(Infrastructure[2030],
Infrastructure[[variable_type]:[variable_type]],"H2_outflow",
Infrastructure[[cluster]:[cluster]],$B$491,
Infrastructure[[pipe_cluster_end]:[pipe_cluster_end]],$B500)*PJ2TWh,"")</f>
        <v>0</v>
      </c>
      <c r="M500" s="51">
        <f>IFERROR(SUMIFS(Infrastructure[2031],
Infrastructure[[variable_type]:[variable_type]],"H2_outflow",
Infrastructure[[cluster]:[cluster]],$B$491,
Infrastructure[[pipe_cluster_end]:[pipe_cluster_end]],$B500)*PJ2TWh,"")</f>
        <v>0</v>
      </c>
      <c r="N500" s="51">
        <f>IFERROR(SUMIFS(Infrastructure[2032],
Infrastructure[[variable_type]:[variable_type]],"H2_outflow",
Infrastructure[[cluster]:[cluster]],$B$491,
Infrastructure[[pipe_cluster_end]:[pipe_cluster_end]],$B500)*PJ2TWh,"")</f>
        <v>0</v>
      </c>
      <c r="O500" s="51">
        <f>IFERROR(SUMIFS(Infrastructure[2033],
Infrastructure[[variable_type]:[variable_type]],"H2_outflow",
Infrastructure[[cluster]:[cluster]],$B$491,
Infrastructure[[pipe_cluster_end]:[pipe_cluster_end]],$B500)*PJ2TWh,"")</f>
        <v>0</v>
      </c>
      <c r="P500" s="51">
        <f>IFERROR(SUMIFS(Infrastructure[2034],
Infrastructure[[variable_type]:[variable_type]],"H2_outflow",
Infrastructure[[cluster]:[cluster]],$B$491,
Infrastructure[[pipe_cluster_end]:[pipe_cluster_end]],$B500)*PJ2TWh,"")</f>
        <v>0</v>
      </c>
      <c r="Q500" s="51">
        <f>IFERROR(SUMIFS(Infrastructure[2035],
Infrastructure[[variable_type]:[variable_type]],"H2_outflow",
Infrastructure[[cluster]:[cluster]],$B$491,
Infrastructure[[pipe_cluster_end]:[pipe_cluster_end]],$B500)*PJ2TWh,"")</f>
        <v>0</v>
      </c>
      <c r="R500" s="51">
        <f>IFERROR(SUMIFS(Infrastructure[2036],
Infrastructure[[variable_type]:[variable_type]],"H2_outflow",
Infrastructure[[cluster]:[cluster]],$B$491,
Infrastructure[[pipe_cluster_end]:[pipe_cluster_end]],$B500)*PJ2TWh,"")</f>
        <v>0</v>
      </c>
      <c r="S500" s="51">
        <f>IFERROR(SUMIFS(Infrastructure[2037],
Infrastructure[[variable_type]:[variable_type]],"H2_outflow",
Infrastructure[[cluster]:[cluster]],$B$491,
Infrastructure[[pipe_cluster_end]:[pipe_cluster_end]],$B500)*PJ2TWh,"")</f>
        <v>0</v>
      </c>
      <c r="T500" s="51">
        <f>IFERROR(SUMIFS(Infrastructure[2038],
Infrastructure[[variable_type]:[variable_type]],"H2_outflow",
Infrastructure[[cluster]:[cluster]],$B$491,
Infrastructure[[pipe_cluster_end]:[pipe_cluster_end]],$B500)*PJ2TWh,"")</f>
        <v>0</v>
      </c>
      <c r="U500" s="51">
        <f>IFERROR(SUMIFS(Infrastructure[2039],
Infrastructure[[variable_type]:[variable_type]],"H2_outflow",
Infrastructure[[cluster]:[cluster]],$B$491,
Infrastructure[[pipe_cluster_end]:[pipe_cluster_end]],$B500)*PJ2TWh,"")</f>
        <v>0</v>
      </c>
      <c r="V500" s="51">
        <f>IFERROR(SUMIFS(Infrastructure[2040],
Infrastructure[[variable_type]:[variable_type]],"H2_outflow",
Infrastructure[[cluster]:[cluster]],$B$491,
Infrastructure[[pipe_cluster_end]:[pipe_cluster_end]],$B500)*PJ2TWh,"")</f>
        <v>0</v>
      </c>
      <c r="W500" s="51">
        <f>IFERROR(SUMIFS(Infrastructure[2041],
Infrastructure[[variable_type]:[variable_type]],"H2_outflow",
Infrastructure[[cluster]:[cluster]],$B$491,
Infrastructure[[pipe_cluster_end]:[pipe_cluster_end]],$B500)*PJ2TWh,"")</f>
        <v>0</v>
      </c>
      <c r="X500" s="51">
        <f>IFERROR(SUMIFS(Infrastructure[2042],
Infrastructure[[variable_type]:[variable_type]],"H2_outflow",
Infrastructure[[cluster]:[cluster]],$B$491,
Infrastructure[[pipe_cluster_end]:[pipe_cluster_end]],$B500)*PJ2TWh,"")</f>
        <v>0</v>
      </c>
      <c r="Y500" s="51">
        <f>IFERROR(SUMIFS(Infrastructure[2043],
Infrastructure[[variable_type]:[variable_type]],"H2_outflow",
Infrastructure[[cluster]:[cluster]],$B$491,
Infrastructure[[pipe_cluster_end]:[pipe_cluster_end]],$B500)*PJ2TWh,"")</f>
        <v>0</v>
      </c>
      <c r="Z500" s="51">
        <f>IFERROR(SUMIFS(Infrastructure[2044],
Infrastructure[[variable_type]:[variable_type]],"H2_outflow",
Infrastructure[[cluster]:[cluster]],$B$491,
Infrastructure[[pipe_cluster_end]:[pipe_cluster_end]],$B500)*PJ2TWh,"")</f>
        <v>0</v>
      </c>
      <c r="AA500" s="51">
        <f>IFERROR(SUMIFS(Infrastructure[2045],
Infrastructure[[variable_type]:[variable_type]],"H2_outflow",
Infrastructure[[cluster]:[cluster]],$B$491,
Infrastructure[[pipe_cluster_end]:[pipe_cluster_end]],$B500)*PJ2TWh,"")</f>
        <v>0</v>
      </c>
      <c r="AB500" s="51">
        <f>IFERROR(SUMIFS(Infrastructure[2046],
Infrastructure[[variable_type]:[variable_type]],"H2_outflow",
Infrastructure[[cluster]:[cluster]],$B$491,
Infrastructure[[pipe_cluster_end]:[pipe_cluster_end]],$B500)*PJ2TWh,"")</f>
        <v>0</v>
      </c>
      <c r="AC500" s="51">
        <f>IFERROR(SUMIFS(Infrastructure[2047],
Infrastructure[[variable_type]:[variable_type]],"H2_outflow",
Infrastructure[[cluster]:[cluster]],$B$491,
Infrastructure[[pipe_cluster_end]:[pipe_cluster_end]],$B500)*PJ2TWh,"")</f>
        <v>0</v>
      </c>
      <c r="AD500" s="51">
        <f>IFERROR(SUMIFS(Infrastructure[2048],
Infrastructure[[variable_type]:[variable_type]],"H2_outflow",
Infrastructure[[cluster]:[cluster]],$B$491,
Infrastructure[[pipe_cluster_end]:[pipe_cluster_end]],$B500)*PJ2TWh,"")</f>
        <v>0</v>
      </c>
      <c r="AE500" s="51">
        <f>IFERROR(SUMIFS(Infrastructure[2049],
Infrastructure[[variable_type]:[variable_type]],"H2_outflow",
Infrastructure[[cluster]:[cluster]],$B$491,
Infrastructure[[pipe_cluster_end]:[pipe_cluster_end]],$B500)*PJ2TWh,"")</f>
        <v>0</v>
      </c>
      <c r="AF500" s="51">
        <f>IFERROR(SUMIFS(Infrastructure[2050],
Infrastructure[[variable_type]:[variable_type]],"H2_outflow",
Infrastructure[[cluster]:[cluster]],$B$491,
Infrastructure[[pipe_cluster_end]:[pipe_cluster_end]],$B500)*PJ2TWh,"")</f>
        <v>0</v>
      </c>
      <c r="AG500" s="51">
        <f>IFERROR(SUMIFS(Infrastructure[2051],
Infrastructure[[variable_type]:[variable_type]],"H2_outflow",
Infrastructure[[cluster]:[cluster]],$B$491,
Infrastructure[[pipe_cluster_end]:[pipe_cluster_end]],$B500)*PJ2TWh,"")</f>
        <v>0</v>
      </c>
    </row>
    <row r="501" spans="1:33" x14ac:dyDescent="0.45">
      <c r="A501" s="2"/>
      <c r="B501" s="24" t="s">
        <v>78</v>
      </c>
      <c r="C501" s="51">
        <f>IFERROR(SUMIFS(Infrastructure[2021],
Infrastructure[[variable_type]:[variable_type]],"H2_outflow",
Infrastructure[[cluster]:[cluster]],$B$491,
Infrastructure[[pipe_cluster_end]:[pipe_cluster_end]],$B501)*PJ2TWh,"")</f>
        <v>0</v>
      </c>
      <c r="D501" s="51">
        <f>IFERROR(SUMIFS(Infrastructure[2022],
Infrastructure[[variable_type]:[variable_type]],"H2_outflow",
Infrastructure[[cluster]:[cluster]],$B$491,
Infrastructure[[pipe_cluster_end]:[pipe_cluster_end]],$B501)*PJ2TWh,"")</f>
        <v>0</v>
      </c>
      <c r="E501" s="51">
        <f>IFERROR(SUMIFS(Infrastructure[2023],
Infrastructure[[variable_type]:[variable_type]],"H2_outflow",
Infrastructure[[cluster]:[cluster]],$B$491,
Infrastructure[[pipe_cluster_end]:[pipe_cluster_end]],$B501)*PJ2TWh,"")</f>
        <v>0</v>
      </c>
      <c r="F501" s="51">
        <f>IFERROR(SUMIFS(Infrastructure[2024],
Infrastructure[[variable_type]:[variable_type]],"H2_outflow",
Infrastructure[[cluster]:[cluster]],$B$491,
Infrastructure[[pipe_cluster_end]:[pipe_cluster_end]],$B501)*PJ2TWh,"")</f>
        <v>0</v>
      </c>
      <c r="G501" s="51">
        <f>IFERROR(SUMIFS(Infrastructure[2025],
Infrastructure[[variable_type]:[variable_type]],"H2_outflow",
Infrastructure[[cluster]:[cluster]],$B$491,
Infrastructure[[pipe_cluster_end]:[pipe_cluster_end]],$B501)*PJ2TWh,"")</f>
        <v>0</v>
      </c>
      <c r="H501" s="51">
        <f>IFERROR(SUMIFS(Infrastructure[2026],
Infrastructure[[variable_type]:[variable_type]],"H2_outflow",
Infrastructure[[cluster]:[cluster]],$B$491,
Infrastructure[[pipe_cluster_end]:[pipe_cluster_end]],$B501)*PJ2TWh,"")</f>
        <v>0</v>
      </c>
      <c r="I501" s="51">
        <f>IFERROR(SUMIFS(Infrastructure[2027],
Infrastructure[[variable_type]:[variable_type]],"H2_outflow",
Infrastructure[[cluster]:[cluster]],$B$491,
Infrastructure[[pipe_cluster_end]:[pipe_cluster_end]],$B501)*PJ2TWh,"")</f>
        <v>0</v>
      </c>
      <c r="J501" s="51">
        <f>IFERROR(SUMIFS(Infrastructure[2028],
Infrastructure[[variable_type]:[variable_type]],"H2_outflow",
Infrastructure[[cluster]:[cluster]],$B$491,
Infrastructure[[pipe_cluster_end]:[pipe_cluster_end]],$B501)*PJ2TWh,"")</f>
        <v>0</v>
      </c>
      <c r="K501" s="51">
        <f>IFERROR(SUMIFS(Infrastructure[2029],
Infrastructure[[variable_type]:[variable_type]],"H2_outflow",
Infrastructure[[cluster]:[cluster]],$B$491,
Infrastructure[[pipe_cluster_end]:[pipe_cluster_end]],$B501)*PJ2TWh,"")</f>
        <v>0</v>
      </c>
      <c r="L501" s="51">
        <f>IFERROR(SUMIFS(Infrastructure[2030],
Infrastructure[[variable_type]:[variable_type]],"H2_outflow",
Infrastructure[[cluster]:[cluster]],$B$491,
Infrastructure[[pipe_cluster_end]:[pipe_cluster_end]],$B501)*PJ2TWh,"")</f>
        <v>0</v>
      </c>
      <c r="M501" s="51">
        <f>IFERROR(SUMIFS(Infrastructure[2031],
Infrastructure[[variable_type]:[variable_type]],"H2_outflow",
Infrastructure[[cluster]:[cluster]],$B$491,
Infrastructure[[pipe_cluster_end]:[pipe_cluster_end]],$B501)*PJ2TWh,"")</f>
        <v>0</v>
      </c>
      <c r="N501" s="51">
        <f>IFERROR(SUMIFS(Infrastructure[2032],
Infrastructure[[variable_type]:[variable_type]],"H2_outflow",
Infrastructure[[cluster]:[cluster]],$B$491,
Infrastructure[[pipe_cluster_end]:[pipe_cluster_end]],$B501)*PJ2TWh,"")</f>
        <v>0</v>
      </c>
      <c r="O501" s="51">
        <f>IFERROR(SUMIFS(Infrastructure[2033],
Infrastructure[[variable_type]:[variable_type]],"H2_outflow",
Infrastructure[[cluster]:[cluster]],$B$491,
Infrastructure[[pipe_cluster_end]:[pipe_cluster_end]],$B501)*PJ2TWh,"")</f>
        <v>0</v>
      </c>
      <c r="P501" s="51">
        <f>IFERROR(SUMIFS(Infrastructure[2034],
Infrastructure[[variable_type]:[variable_type]],"H2_outflow",
Infrastructure[[cluster]:[cluster]],$B$491,
Infrastructure[[pipe_cluster_end]:[pipe_cluster_end]],$B501)*PJ2TWh,"")</f>
        <v>0</v>
      </c>
      <c r="Q501" s="51">
        <f>IFERROR(SUMIFS(Infrastructure[2035],
Infrastructure[[variable_type]:[variable_type]],"H2_outflow",
Infrastructure[[cluster]:[cluster]],$B$491,
Infrastructure[[pipe_cluster_end]:[pipe_cluster_end]],$B501)*PJ2TWh,"")</f>
        <v>0</v>
      </c>
      <c r="R501" s="51">
        <f>IFERROR(SUMIFS(Infrastructure[2036],
Infrastructure[[variable_type]:[variable_type]],"H2_outflow",
Infrastructure[[cluster]:[cluster]],$B$491,
Infrastructure[[pipe_cluster_end]:[pipe_cluster_end]],$B501)*PJ2TWh,"")</f>
        <v>0</v>
      </c>
      <c r="S501" s="51">
        <f>IFERROR(SUMIFS(Infrastructure[2037],
Infrastructure[[variable_type]:[variable_type]],"H2_outflow",
Infrastructure[[cluster]:[cluster]],$B$491,
Infrastructure[[pipe_cluster_end]:[pipe_cluster_end]],$B501)*PJ2TWh,"")</f>
        <v>0</v>
      </c>
      <c r="T501" s="51">
        <f>IFERROR(SUMIFS(Infrastructure[2038],
Infrastructure[[variable_type]:[variable_type]],"H2_outflow",
Infrastructure[[cluster]:[cluster]],$B$491,
Infrastructure[[pipe_cluster_end]:[pipe_cluster_end]],$B501)*PJ2TWh,"")</f>
        <v>0</v>
      </c>
      <c r="U501" s="51">
        <f>IFERROR(SUMIFS(Infrastructure[2039],
Infrastructure[[variable_type]:[variable_type]],"H2_outflow",
Infrastructure[[cluster]:[cluster]],$B$491,
Infrastructure[[pipe_cluster_end]:[pipe_cluster_end]],$B501)*PJ2TWh,"")</f>
        <v>0</v>
      </c>
      <c r="V501" s="51">
        <f>IFERROR(SUMIFS(Infrastructure[2040],
Infrastructure[[variable_type]:[variable_type]],"H2_outflow",
Infrastructure[[cluster]:[cluster]],$B$491,
Infrastructure[[pipe_cluster_end]:[pipe_cluster_end]],$B501)*PJ2TWh,"")</f>
        <v>0</v>
      </c>
      <c r="W501" s="51">
        <f>IFERROR(SUMIFS(Infrastructure[2041],
Infrastructure[[variable_type]:[variable_type]],"H2_outflow",
Infrastructure[[cluster]:[cluster]],$B$491,
Infrastructure[[pipe_cluster_end]:[pipe_cluster_end]],$B501)*PJ2TWh,"")</f>
        <v>0</v>
      </c>
      <c r="X501" s="51">
        <f>IFERROR(SUMIFS(Infrastructure[2042],
Infrastructure[[variable_type]:[variable_type]],"H2_outflow",
Infrastructure[[cluster]:[cluster]],$B$491,
Infrastructure[[pipe_cluster_end]:[pipe_cluster_end]],$B501)*PJ2TWh,"")</f>
        <v>0</v>
      </c>
      <c r="Y501" s="51">
        <f>IFERROR(SUMIFS(Infrastructure[2043],
Infrastructure[[variable_type]:[variable_type]],"H2_outflow",
Infrastructure[[cluster]:[cluster]],$B$491,
Infrastructure[[pipe_cluster_end]:[pipe_cluster_end]],$B501)*PJ2TWh,"")</f>
        <v>0</v>
      </c>
      <c r="Z501" s="51">
        <f>IFERROR(SUMIFS(Infrastructure[2044],
Infrastructure[[variable_type]:[variable_type]],"H2_outflow",
Infrastructure[[cluster]:[cluster]],$B$491,
Infrastructure[[pipe_cluster_end]:[pipe_cluster_end]],$B501)*PJ2TWh,"")</f>
        <v>0</v>
      </c>
      <c r="AA501" s="51">
        <f>IFERROR(SUMIFS(Infrastructure[2045],
Infrastructure[[variable_type]:[variable_type]],"H2_outflow",
Infrastructure[[cluster]:[cluster]],$B$491,
Infrastructure[[pipe_cluster_end]:[pipe_cluster_end]],$B501)*PJ2TWh,"")</f>
        <v>0</v>
      </c>
      <c r="AB501" s="51">
        <f>IFERROR(SUMIFS(Infrastructure[2046],
Infrastructure[[variable_type]:[variable_type]],"H2_outflow",
Infrastructure[[cluster]:[cluster]],$B$491,
Infrastructure[[pipe_cluster_end]:[pipe_cluster_end]],$B501)*PJ2TWh,"")</f>
        <v>0</v>
      </c>
      <c r="AC501" s="51">
        <f>IFERROR(SUMIFS(Infrastructure[2047],
Infrastructure[[variable_type]:[variable_type]],"H2_outflow",
Infrastructure[[cluster]:[cluster]],$B$491,
Infrastructure[[pipe_cluster_end]:[pipe_cluster_end]],$B501)*PJ2TWh,"")</f>
        <v>0</v>
      </c>
      <c r="AD501" s="51">
        <f>IFERROR(SUMIFS(Infrastructure[2048],
Infrastructure[[variable_type]:[variable_type]],"H2_outflow",
Infrastructure[[cluster]:[cluster]],$B$491,
Infrastructure[[pipe_cluster_end]:[pipe_cluster_end]],$B501)*PJ2TWh,"")</f>
        <v>0</v>
      </c>
      <c r="AE501" s="51">
        <f>IFERROR(SUMIFS(Infrastructure[2049],
Infrastructure[[variable_type]:[variable_type]],"H2_outflow",
Infrastructure[[cluster]:[cluster]],$B$491,
Infrastructure[[pipe_cluster_end]:[pipe_cluster_end]],$B501)*PJ2TWh,"")</f>
        <v>0</v>
      </c>
      <c r="AF501" s="51">
        <f>IFERROR(SUMIFS(Infrastructure[2050],
Infrastructure[[variable_type]:[variable_type]],"H2_outflow",
Infrastructure[[cluster]:[cluster]],$B$491,
Infrastructure[[pipe_cluster_end]:[pipe_cluster_end]],$B501)*PJ2TWh,"")</f>
        <v>0</v>
      </c>
      <c r="AG501" s="51">
        <f>IFERROR(SUMIFS(Infrastructure[2051],
Infrastructure[[variable_type]:[variable_type]],"H2_outflow",
Infrastructure[[cluster]:[cluster]],$B$491,
Infrastructure[[pipe_cluster_end]:[pipe_cluster_end]],$B501)*PJ2TWh,"")</f>
        <v>0</v>
      </c>
    </row>
    <row r="502" spans="1:33" x14ac:dyDescent="0.45">
      <c r="B502" s="6" t="s">
        <v>73</v>
      </c>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row>
    <row r="503" spans="1:33" x14ac:dyDescent="0.45">
      <c r="A503" s="2"/>
      <c r="B503" s="24" t="s">
        <v>70</v>
      </c>
      <c r="C503" s="51">
        <f>IFERROR(SUMIFS(Infrastructure[2021],
Infrastructure[[variable_type]:[variable_type]],"H2_outflow",
Infrastructure[[cluster]:[cluster]],$B$502,
Infrastructure[[pipe_cluster_end]:[pipe_cluster_end]],$B503)*PJ2TWh,"")</f>
        <v>0</v>
      </c>
      <c r="D503" s="51">
        <f>IFERROR(SUMIFS(Infrastructure[2022],
Infrastructure[[variable_type]:[variable_type]],"H2_outflow",
Infrastructure[[cluster]:[cluster]],$B$502,
Infrastructure[[pipe_cluster_end]:[pipe_cluster_end]],$B503)*PJ2TWh,"")</f>
        <v>0</v>
      </c>
      <c r="E503" s="51">
        <f>IFERROR(SUMIFS(Infrastructure[2023],
Infrastructure[[variable_type]:[variable_type]],"H2_outflow",
Infrastructure[[cluster]:[cluster]],$B$502,
Infrastructure[[pipe_cluster_end]:[pipe_cluster_end]],$B503)*PJ2TWh,"")</f>
        <v>0</v>
      </c>
      <c r="F503" s="51">
        <f>IFERROR(SUMIFS(Infrastructure[2024],
Infrastructure[[variable_type]:[variable_type]],"H2_outflow",
Infrastructure[[cluster]:[cluster]],$B$502,
Infrastructure[[pipe_cluster_end]:[pipe_cluster_end]],$B503)*PJ2TWh,"")</f>
        <v>0</v>
      </c>
      <c r="G503" s="51">
        <f>IFERROR(SUMIFS(Infrastructure[2025],
Infrastructure[[variable_type]:[variable_type]],"H2_outflow",
Infrastructure[[cluster]:[cluster]],$B$502,
Infrastructure[[pipe_cluster_end]:[pipe_cluster_end]],$B503)*PJ2TWh,"")</f>
        <v>0</v>
      </c>
      <c r="H503" s="51">
        <f>IFERROR(SUMIFS(Infrastructure[2026],
Infrastructure[[variable_type]:[variable_type]],"H2_outflow",
Infrastructure[[cluster]:[cluster]],$B$502,
Infrastructure[[pipe_cluster_end]:[pipe_cluster_end]],$B503)*PJ2TWh,"")</f>
        <v>0</v>
      </c>
      <c r="I503" s="51">
        <f>IFERROR(SUMIFS(Infrastructure[2027],
Infrastructure[[variable_type]:[variable_type]],"H2_outflow",
Infrastructure[[cluster]:[cluster]],$B$502,
Infrastructure[[pipe_cluster_end]:[pipe_cluster_end]],$B503)*PJ2TWh,"")</f>
        <v>0</v>
      </c>
      <c r="J503" s="51">
        <f>IFERROR(SUMIFS(Infrastructure[2028],
Infrastructure[[variable_type]:[variable_type]],"H2_outflow",
Infrastructure[[cluster]:[cluster]],$B$502,
Infrastructure[[pipe_cluster_end]:[pipe_cluster_end]],$B503)*PJ2TWh,"")</f>
        <v>0</v>
      </c>
      <c r="K503" s="51">
        <f>IFERROR(SUMIFS(Infrastructure[2029],
Infrastructure[[variable_type]:[variable_type]],"H2_outflow",
Infrastructure[[cluster]:[cluster]],$B$502,
Infrastructure[[pipe_cluster_end]:[pipe_cluster_end]],$B503)*PJ2TWh,"")</f>
        <v>0</v>
      </c>
      <c r="L503" s="51">
        <f>IFERROR(SUMIFS(Infrastructure[2030],
Infrastructure[[variable_type]:[variable_type]],"H2_outflow",
Infrastructure[[cluster]:[cluster]],$B$502,
Infrastructure[[pipe_cluster_end]:[pipe_cluster_end]],$B503)*PJ2TWh,"")</f>
        <v>0</v>
      </c>
      <c r="M503" s="51">
        <f>IFERROR(SUMIFS(Infrastructure[2031],
Infrastructure[[variable_type]:[variable_type]],"H2_outflow",
Infrastructure[[cluster]:[cluster]],$B$502,
Infrastructure[[pipe_cluster_end]:[pipe_cluster_end]],$B503)*PJ2TWh,"")</f>
        <v>0</v>
      </c>
      <c r="N503" s="51">
        <f>IFERROR(SUMIFS(Infrastructure[2032],
Infrastructure[[variable_type]:[variable_type]],"H2_outflow",
Infrastructure[[cluster]:[cluster]],$B$502,
Infrastructure[[pipe_cluster_end]:[pipe_cluster_end]],$B503)*PJ2TWh,"")</f>
        <v>0</v>
      </c>
      <c r="O503" s="51">
        <f>IFERROR(SUMIFS(Infrastructure[2033],
Infrastructure[[variable_type]:[variable_type]],"H2_outflow",
Infrastructure[[cluster]:[cluster]],$B$502,
Infrastructure[[pipe_cluster_end]:[pipe_cluster_end]],$B503)*PJ2TWh,"")</f>
        <v>0</v>
      </c>
      <c r="P503" s="51">
        <f>IFERROR(SUMIFS(Infrastructure[2034],
Infrastructure[[variable_type]:[variable_type]],"H2_outflow",
Infrastructure[[cluster]:[cluster]],$B$502,
Infrastructure[[pipe_cluster_end]:[pipe_cluster_end]],$B503)*PJ2TWh,"")</f>
        <v>0</v>
      </c>
      <c r="Q503" s="51">
        <f>IFERROR(SUMIFS(Infrastructure[2035],
Infrastructure[[variable_type]:[variable_type]],"H2_outflow",
Infrastructure[[cluster]:[cluster]],$B$502,
Infrastructure[[pipe_cluster_end]:[pipe_cluster_end]],$B503)*PJ2TWh,"")</f>
        <v>0</v>
      </c>
      <c r="R503" s="51">
        <f>IFERROR(SUMIFS(Infrastructure[2036],
Infrastructure[[variable_type]:[variable_type]],"H2_outflow",
Infrastructure[[cluster]:[cluster]],$B$502,
Infrastructure[[pipe_cluster_end]:[pipe_cluster_end]],$B503)*PJ2TWh,"")</f>
        <v>0</v>
      </c>
      <c r="S503" s="51">
        <f>IFERROR(SUMIFS(Infrastructure[2037],
Infrastructure[[variable_type]:[variable_type]],"H2_outflow",
Infrastructure[[cluster]:[cluster]],$B$502,
Infrastructure[[pipe_cluster_end]:[pipe_cluster_end]],$B503)*PJ2TWh,"")</f>
        <v>0</v>
      </c>
      <c r="T503" s="51">
        <f>IFERROR(SUMIFS(Infrastructure[2038],
Infrastructure[[variable_type]:[variable_type]],"H2_outflow",
Infrastructure[[cluster]:[cluster]],$B$502,
Infrastructure[[pipe_cluster_end]:[pipe_cluster_end]],$B503)*PJ2TWh,"")</f>
        <v>0</v>
      </c>
      <c r="U503" s="51">
        <f>IFERROR(SUMIFS(Infrastructure[2039],
Infrastructure[[variable_type]:[variable_type]],"H2_outflow",
Infrastructure[[cluster]:[cluster]],$B$502,
Infrastructure[[pipe_cluster_end]:[pipe_cluster_end]],$B503)*PJ2TWh,"")</f>
        <v>0</v>
      </c>
      <c r="V503" s="51">
        <f>IFERROR(SUMIFS(Infrastructure[2040],
Infrastructure[[variable_type]:[variable_type]],"H2_outflow",
Infrastructure[[cluster]:[cluster]],$B$502,
Infrastructure[[pipe_cluster_end]:[pipe_cluster_end]],$B503)*PJ2TWh,"")</f>
        <v>0</v>
      </c>
      <c r="W503" s="51">
        <f>IFERROR(SUMIFS(Infrastructure[2041],
Infrastructure[[variable_type]:[variable_type]],"H2_outflow",
Infrastructure[[cluster]:[cluster]],$B$502,
Infrastructure[[pipe_cluster_end]:[pipe_cluster_end]],$B503)*PJ2TWh,"")</f>
        <v>0</v>
      </c>
      <c r="X503" s="51">
        <f>IFERROR(SUMIFS(Infrastructure[2042],
Infrastructure[[variable_type]:[variable_type]],"H2_outflow",
Infrastructure[[cluster]:[cluster]],$B$502,
Infrastructure[[pipe_cluster_end]:[pipe_cluster_end]],$B503)*PJ2TWh,"")</f>
        <v>0</v>
      </c>
      <c r="Y503" s="51">
        <f>IFERROR(SUMIFS(Infrastructure[2043],
Infrastructure[[variable_type]:[variable_type]],"H2_outflow",
Infrastructure[[cluster]:[cluster]],$B$502,
Infrastructure[[pipe_cluster_end]:[pipe_cluster_end]],$B503)*PJ2TWh,"")</f>
        <v>0</v>
      </c>
      <c r="Z503" s="51">
        <f>IFERROR(SUMIFS(Infrastructure[2044],
Infrastructure[[variable_type]:[variable_type]],"H2_outflow",
Infrastructure[[cluster]:[cluster]],$B$502,
Infrastructure[[pipe_cluster_end]:[pipe_cluster_end]],$B503)*PJ2TWh,"")</f>
        <v>0</v>
      </c>
      <c r="AA503" s="51">
        <f>IFERROR(SUMIFS(Infrastructure[2045],
Infrastructure[[variable_type]:[variable_type]],"H2_outflow",
Infrastructure[[cluster]:[cluster]],$B$502,
Infrastructure[[pipe_cluster_end]:[pipe_cluster_end]],$B503)*PJ2TWh,"")</f>
        <v>0</v>
      </c>
      <c r="AB503" s="51">
        <f>IFERROR(SUMIFS(Infrastructure[2046],
Infrastructure[[variable_type]:[variable_type]],"H2_outflow",
Infrastructure[[cluster]:[cluster]],$B$502,
Infrastructure[[pipe_cluster_end]:[pipe_cluster_end]],$B503)*PJ2TWh,"")</f>
        <v>0</v>
      </c>
      <c r="AC503" s="51">
        <f>IFERROR(SUMIFS(Infrastructure[2047],
Infrastructure[[variable_type]:[variable_type]],"H2_outflow",
Infrastructure[[cluster]:[cluster]],$B$502,
Infrastructure[[pipe_cluster_end]:[pipe_cluster_end]],$B503)*PJ2TWh,"")</f>
        <v>0</v>
      </c>
      <c r="AD503" s="51">
        <f>IFERROR(SUMIFS(Infrastructure[2048],
Infrastructure[[variable_type]:[variable_type]],"H2_outflow",
Infrastructure[[cluster]:[cluster]],$B$502,
Infrastructure[[pipe_cluster_end]:[pipe_cluster_end]],$B503)*PJ2TWh,"")</f>
        <v>0</v>
      </c>
      <c r="AE503" s="51">
        <f>IFERROR(SUMIFS(Infrastructure[2049],
Infrastructure[[variable_type]:[variable_type]],"H2_outflow",
Infrastructure[[cluster]:[cluster]],$B$502,
Infrastructure[[pipe_cluster_end]:[pipe_cluster_end]],$B503)*PJ2TWh,"")</f>
        <v>0</v>
      </c>
      <c r="AF503" s="51">
        <f>IFERROR(SUMIFS(Infrastructure[2050],
Infrastructure[[variable_type]:[variable_type]],"H2_outflow",
Infrastructure[[cluster]:[cluster]],$B$502,
Infrastructure[[pipe_cluster_end]:[pipe_cluster_end]],$B503)*PJ2TWh,"")</f>
        <v>0</v>
      </c>
      <c r="AG503" s="51">
        <f>IFERROR(SUMIFS(Infrastructure[2051],
Infrastructure[[variable_type]:[variable_type]],"H2_outflow",
Infrastructure[[cluster]:[cluster]],$B$502,
Infrastructure[[pipe_cluster_end]:[pipe_cluster_end]],$B503)*PJ2TWh,"")</f>
        <v>0</v>
      </c>
    </row>
    <row r="504" spans="1:33" x14ac:dyDescent="0.45">
      <c r="A504" s="2"/>
      <c r="B504" s="24" t="s">
        <v>52</v>
      </c>
      <c r="C504" s="51">
        <f>IFERROR(SUMIFS(Infrastructure[2021],
Infrastructure[[variable_type]:[variable_type]],"H2_outflow",
Infrastructure[[cluster]:[cluster]],$B$502,
Infrastructure[[pipe_cluster_end]:[pipe_cluster_end]],$B504)*PJ2TWh,"")</f>
        <v>0</v>
      </c>
      <c r="D504" s="51">
        <f>IFERROR(SUMIFS(Infrastructure[2022],
Infrastructure[[variable_type]:[variable_type]],"H2_outflow",
Infrastructure[[cluster]:[cluster]],$B$502,
Infrastructure[[pipe_cluster_end]:[pipe_cluster_end]],$B504)*PJ2TWh,"")</f>
        <v>0</v>
      </c>
      <c r="E504" s="51">
        <f>IFERROR(SUMIFS(Infrastructure[2023],
Infrastructure[[variable_type]:[variable_type]],"H2_outflow",
Infrastructure[[cluster]:[cluster]],$B$502,
Infrastructure[[pipe_cluster_end]:[pipe_cluster_end]],$B504)*PJ2TWh,"")</f>
        <v>0</v>
      </c>
      <c r="F504" s="51">
        <f>IFERROR(SUMIFS(Infrastructure[2024],
Infrastructure[[variable_type]:[variable_type]],"H2_outflow",
Infrastructure[[cluster]:[cluster]],$B$502,
Infrastructure[[pipe_cluster_end]:[pipe_cluster_end]],$B504)*PJ2TWh,"")</f>
        <v>0</v>
      </c>
      <c r="G504" s="51">
        <f>IFERROR(SUMIFS(Infrastructure[2025],
Infrastructure[[variable_type]:[variable_type]],"H2_outflow",
Infrastructure[[cluster]:[cluster]],$B$502,
Infrastructure[[pipe_cluster_end]:[pipe_cluster_end]],$B504)*PJ2TWh,"")</f>
        <v>0</v>
      </c>
      <c r="H504" s="51">
        <f>IFERROR(SUMIFS(Infrastructure[2026],
Infrastructure[[variable_type]:[variable_type]],"H2_outflow",
Infrastructure[[cluster]:[cluster]],$B$502,
Infrastructure[[pipe_cluster_end]:[pipe_cluster_end]],$B504)*PJ2TWh,"")</f>
        <v>0</v>
      </c>
      <c r="I504" s="51">
        <f>IFERROR(SUMIFS(Infrastructure[2027],
Infrastructure[[variable_type]:[variable_type]],"H2_outflow",
Infrastructure[[cluster]:[cluster]],$B$502,
Infrastructure[[pipe_cluster_end]:[pipe_cluster_end]],$B504)*PJ2TWh,"")</f>
        <v>0</v>
      </c>
      <c r="J504" s="51">
        <f>IFERROR(SUMIFS(Infrastructure[2028],
Infrastructure[[variable_type]:[variable_type]],"H2_outflow",
Infrastructure[[cluster]:[cluster]],$B$502,
Infrastructure[[pipe_cluster_end]:[pipe_cluster_end]],$B504)*PJ2TWh,"")</f>
        <v>0</v>
      </c>
      <c r="K504" s="51">
        <f>IFERROR(SUMIFS(Infrastructure[2029],
Infrastructure[[variable_type]:[variable_type]],"H2_outflow",
Infrastructure[[cluster]:[cluster]],$B$502,
Infrastructure[[pipe_cluster_end]:[pipe_cluster_end]],$B504)*PJ2TWh,"")</f>
        <v>0</v>
      </c>
      <c r="L504" s="51">
        <f>IFERROR(SUMIFS(Infrastructure[2030],
Infrastructure[[variable_type]:[variable_type]],"H2_outflow",
Infrastructure[[cluster]:[cluster]],$B$502,
Infrastructure[[pipe_cluster_end]:[pipe_cluster_end]],$B504)*PJ2TWh,"")</f>
        <v>0</v>
      </c>
      <c r="M504" s="51">
        <f>IFERROR(SUMIFS(Infrastructure[2031],
Infrastructure[[variable_type]:[variable_type]],"H2_outflow",
Infrastructure[[cluster]:[cluster]],$B$502,
Infrastructure[[pipe_cluster_end]:[pipe_cluster_end]],$B504)*PJ2TWh,"")</f>
        <v>0</v>
      </c>
      <c r="N504" s="51">
        <f>IFERROR(SUMIFS(Infrastructure[2032],
Infrastructure[[variable_type]:[variable_type]],"H2_outflow",
Infrastructure[[cluster]:[cluster]],$B$502,
Infrastructure[[pipe_cluster_end]:[pipe_cluster_end]],$B504)*PJ2TWh,"")</f>
        <v>0</v>
      </c>
      <c r="O504" s="51">
        <f>IFERROR(SUMIFS(Infrastructure[2033],
Infrastructure[[variable_type]:[variable_type]],"H2_outflow",
Infrastructure[[cluster]:[cluster]],$B$502,
Infrastructure[[pipe_cluster_end]:[pipe_cluster_end]],$B504)*PJ2TWh,"")</f>
        <v>0</v>
      </c>
      <c r="P504" s="51">
        <f>IFERROR(SUMIFS(Infrastructure[2034],
Infrastructure[[variable_type]:[variable_type]],"H2_outflow",
Infrastructure[[cluster]:[cluster]],$B$502,
Infrastructure[[pipe_cluster_end]:[pipe_cluster_end]],$B504)*PJ2TWh,"")</f>
        <v>0</v>
      </c>
      <c r="Q504" s="51">
        <f>IFERROR(SUMIFS(Infrastructure[2035],
Infrastructure[[variable_type]:[variable_type]],"H2_outflow",
Infrastructure[[cluster]:[cluster]],$B$502,
Infrastructure[[pipe_cluster_end]:[pipe_cluster_end]],$B504)*PJ2TWh,"")</f>
        <v>0</v>
      </c>
      <c r="R504" s="51">
        <f>IFERROR(SUMIFS(Infrastructure[2036],
Infrastructure[[variable_type]:[variable_type]],"H2_outflow",
Infrastructure[[cluster]:[cluster]],$B$502,
Infrastructure[[pipe_cluster_end]:[pipe_cluster_end]],$B504)*PJ2TWh,"")</f>
        <v>0</v>
      </c>
      <c r="S504" s="51">
        <f>IFERROR(SUMIFS(Infrastructure[2037],
Infrastructure[[variable_type]:[variable_type]],"H2_outflow",
Infrastructure[[cluster]:[cluster]],$B$502,
Infrastructure[[pipe_cluster_end]:[pipe_cluster_end]],$B504)*PJ2TWh,"")</f>
        <v>0</v>
      </c>
      <c r="T504" s="51">
        <f>IFERROR(SUMIFS(Infrastructure[2038],
Infrastructure[[variable_type]:[variable_type]],"H2_outflow",
Infrastructure[[cluster]:[cluster]],$B$502,
Infrastructure[[pipe_cluster_end]:[pipe_cluster_end]],$B504)*PJ2TWh,"")</f>
        <v>0</v>
      </c>
      <c r="U504" s="51">
        <f>IFERROR(SUMIFS(Infrastructure[2039],
Infrastructure[[variable_type]:[variable_type]],"H2_outflow",
Infrastructure[[cluster]:[cluster]],$B$502,
Infrastructure[[pipe_cluster_end]:[pipe_cluster_end]],$B504)*PJ2TWh,"")</f>
        <v>0</v>
      </c>
      <c r="V504" s="51">
        <f>IFERROR(SUMIFS(Infrastructure[2040],
Infrastructure[[variable_type]:[variable_type]],"H2_outflow",
Infrastructure[[cluster]:[cluster]],$B$502,
Infrastructure[[pipe_cluster_end]:[pipe_cluster_end]],$B504)*PJ2TWh,"")</f>
        <v>0</v>
      </c>
      <c r="W504" s="51">
        <f>IFERROR(SUMIFS(Infrastructure[2041],
Infrastructure[[variable_type]:[variable_type]],"H2_outflow",
Infrastructure[[cluster]:[cluster]],$B$502,
Infrastructure[[pipe_cluster_end]:[pipe_cluster_end]],$B504)*PJ2TWh,"")</f>
        <v>0</v>
      </c>
      <c r="X504" s="51">
        <f>IFERROR(SUMIFS(Infrastructure[2042],
Infrastructure[[variable_type]:[variable_type]],"H2_outflow",
Infrastructure[[cluster]:[cluster]],$B$502,
Infrastructure[[pipe_cluster_end]:[pipe_cluster_end]],$B504)*PJ2TWh,"")</f>
        <v>0</v>
      </c>
      <c r="Y504" s="51">
        <f>IFERROR(SUMIFS(Infrastructure[2043],
Infrastructure[[variable_type]:[variable_type]],"H2_outflow",
Infrastructure[[cluster]:[cluster]],$B$502,
Infrastructure[[pipe_cluster_end]:[pipe_cluster_end]],$B504)*PJ2TWh,"")</f>
        <v>0</v>
      </c>
      <c r="Z504" s="51">
        <f>IFERROR(SUMIFS(Infrastructure[2044],
Infrastructure[[variable_type]:[variable_type]],"H2_outflow",
Infrastructure[[cluster]:[cluster]],$B$502,
Infrastructure[[pipe_cluster_end]:[pipe_cluster_end]],$B504)*PJ2TWh,"")</f>
        <v>0</v>
      </c>
      <c r="AA504" s="51">
        <f>IFERROR(SUMIFS(Infrastructure[2045],
Infrastructure[[variable_type]:[variable_type]],"H2_outflow",
Infrastructure[[cluster]:[cluster]],$B$502,
Infrastructure[[pipe_cluster_end]:[pipe_cluster_end]],$B504)*PJ2TWh,"")</f>
        <v>0</v>
      </c>
      <c r="AB504" s="51">
        <f>IFERROR(SUMIFS(Infrastructure[2046],
Infrastructure[[variable_type]:[variable_type]],"H2_outflow",
Infrastructure[[cluster]:[cluster]],$B$502,
Infrastructure[[pipe_cluster_end]:[pipe_cluster_end]],$B504)*PJ2TWh,"")</f>
        <v>0</v>
      </c>
      <c r="AC504" s="51">
        <f>IFERROR(SUMIFS(Infrastructure[2047],
Infrastructure[[variable_type]:[variable_type]],"H2_outflow",
Infrastructure[[cluster]:[cluster]],$B$502,
Infrastructure[[pipe_cluster_end]:[pipe_cluster_end]],$B504)*PJ2TWh,"")</f>
        <v>0</v>
      </c>
      <c r="AD504" s="51">
        <f>IFERROR(SUMIFS(Infrastructure[2048],
Infrastructure[[variable_type]:[variable_type]],"H2_outflow",
Infrastructure[[cluster]:[cluster]],$B$502,
Infrastructure[[pipe_cluster_end]:[pipe_cluster_end]],$B504)*PJ2TWh,"")</f>
        <v>0</v>
      </c>
      <c r="AE504" s="51">
        <f>IFERROR(SUMIFS(Infrastructure[2049],
Infrastructure[[variable_type]:[variable_type]],"H2_outflow",
Infrastructure[[cluster]:[cluster]],$B$502,
Infrastructure[[pipe_cluster_end]:[pipe_cluster_end]],$B504)*PJ2TWh,"")</f>
        <v>0</v>
      </c>
      <c r="AF504" s="51">
        <f>IFERROR(SUMIFS(Infrastructure[2050],
Infrastructure[[variable_type]:[variable_type]],"H2_outflow",
Infrastructure[[cluster]:[cluster]],$B$502,
Infrastructure[[pipe_cluster_end]:[pipe_cluster_end]],$B504)*PJ2TWh,"")</f>
        <v>0</v>
      </c>
      <c r="AG504" s="51">
        <f>IFERROR(SUMIFS(Infrastructure[2051],
Infrastructure[[variable_type]:[variable_type]],"H2_outflow",
Infrastructure[[cluster]:[cluster]],$B$502,
Infrastructure[[pipe_cluster_end]:[pipe_cluster_end]],$B504)*PJ2TWh,"")</f>
        <v>0</v>
      </c>
    </row>
    <row r="505" spans="1:33" x14ac:dyDescent="0.45">
      <c r="A505" s="2"/>
      <c r="B505" s="24" t="s">
        <v>71</v>
      </c>
      <c r="C505" s="51">
        <f>IFERROR(SUMIFS(Infrastructure[2021],
Infrastructure[[variable_type]:[variable_type]],"H2_outflow",
Infrastructure[[cluster]:[cluster]],$B$502,
Infrastructure[[pipe_cluster_end]:[pipe_cluster_end]],$B505)*PJ2TWh,"")</f>
        <v>0</v>
      </c>
      <c r="D505" s="51">
        <f>IFERROR(SUMIFS(Infrastructure[2022],
Infrastructure[[variable_type]:[variable_type]],"H2_outflow",
Infrastructure[[cluster]:[cluster]],$B$502,
Infrastructure[[pipe_cluster_end]:[pipe_cluster_end]],$B505)*PJ2TWh,"")</f>
        <v>0</v>
      </c>
      <c r="E505" s="51">
        <f>IFERROR(SUMIFS(Infrastructure[2023],
Infrastructure[[variable_type]:[variable_type]],"H2_outflow",
Infrastructure[[cluster]:[cluster]],$B$502,
Infrastructure[[pipe_cluster_end]:[pipe_cluster_end]],$B505)*PJ2TWh,"")</f>
        <v>0</v>
      </c>
      <c r="F505" s="51">
        <f>IFERROR(SUMIFS(Infrastructure[2024],
Infrastructure[[variable_type]:[variable_type]],"H2_outflow",
Infrastructure[[cluster]:[cluster]],$B$502,
Infrastructure[[pipe_cluster_end]:[pipe_cluster_end]],$B505)*PJ2TWh,"")</f>
        <v>0</v>
      </c>
      <c r="G505" s="51">
        <f>IFERROR(SUMIFS(Infrastructure[2025],
Infrastructure[[variable_type]:[variable_type]],"H2_outflow",
Infrastructure[[cluster]:[cluster]],$B$502,
Infrastructure[[pipe_cluster_end]:[pipe_cluster_end]],$B505)*PJ2TWh,"")</f>
        <v>0</v>
      </c>
      <c r="H505" s="51">
        <f>IFERROR(SUMIFS(Infrastructure[2026],
Infrastructure[[variable_type]:[variable_type]],"H2_outflow",
Infrastructure[[cluster]:[cluster]],$B$502,
Infrastructure[[pipe_cluster_end]:[pipe_cluster_end]],$B505)*PJ2TWh,"")</f>
        <v>0</v>
      </c>
      <c r="I505" s="51">
        <f>IFERROR(SUMIFS(Infrastructure[2027],
Infrastructure[[variable_type]:[variable_type]],"H2_outflow",
Infrastructure[[cluster]:[cluster]],$B$502,
Infrastructure[[pipe_cluster_end]:[pipe_cluster_end]],$B505)*PJ2TWh,"")</f>
        <v>0</v>
      </c>
      <c r="J505" s="51">
        <f>IFERROR(SUMIFS(Infrastructure[2028],
Infrastructure[[variable_type]:[variable_type]],"H2_outflow",
Infrastructure[[cluster]:[cluster]],$B$502,
Infrastructure[[pipe_cluster_end]:[pipe_cluster_end]],$B505)*PJ2TWh,"")</f>
        <v>0</v>
      </c>
      <c r="K505" s="51">
        <f>IFERROR(SUMIFS(Infrastructure[2029],
Infrastructure[[variable_type]:[variable_type]],"H2_outflow",
Infrastructure[[cluster]:[cluster]],$B$502,
Infrastructure[[pipe_cluster_end]:[pipe_cluster_end]],$B505)*PJ2TWh,"")</f>
        <v>0</v>
      </c>
      <c r="L505" s="51">
        <f>IFERROR(SUMIFS(Infrastructure[2030],
Infrastructure[[variable_type]:[variable_type]],"H2_outflow",
Infrastructure[[cluster]:[cluster]],$B$502,
Infrastructure[[pipe_cluster_end]:[pipe_cluster_end]],$B505)*PJ2TWh,"")</f>
        <v>0</v>
      </c>
      <c r="M505" s="51">
        <f>IFERROR(SUMIFS(Infrastructure[2031],
Infrastructure[[variable_type]:[variable_type]],"H2_outflow",
Infrastructure[[cluster]:[cluster]],$B$502,
Infrastructure[[pipe_cluster_end]:[pipe_cluster_end]],$B505)*PJ2TWh,"")</f>
        <v>0</v>
      </c>
      <c r="N505" s="51">
        <f>IFERROR(SUMIFS(Infrastructure[2032],
Infrastructure[[variable_type]:[variable_type]],"H2_outflow",
Infrastructure[[cluster]:[cluster]],$B$502,
Infrastructure[[pipe_cluster_end]:[pipe_cluster_end]],$B505)*PJ2TWh,"")</f>
        <v>0</v>
      </c>
      <c r="O505" s="51">
        <f>IFERROR(SUMIFS(Infrastructure[2033],
Infrastructure[[variable_type]:[variable_type]],"H2_outflow",
Infrastructure[[cluster]:[cluster]],$B$502,
Infrastructure[[pipe_cluster_end]:[pipe_cluster_end]],$B505)*PJ2TWh,"")</f>
        <v>0</v>
      </c>
      <c r="P505" s="51">
        <f>IFERROR(SUMIFS(Infrastructure[2034],
Infrastructure[[variable_type]:[variable_type]],"H2_outflow",
Infrastructure[[cluster]:[cluster]],$B$502,
Infrastructure[[pipe_cluster_end]:[pipe_cluster_end]],$B505)*PJ2TWh,"")</f>
        <v>0</v>
      </c>
      <c r="Q505" s="51">
        <f>IFERROR(SUMIFS(Infrastructure[2035],
Infrastructure[[variable_type]:[variable_type]],"H2_outflow",
Infrastructure[[cluster]:[cluster]],$B$502,
Infrastructure[[pipe_cluster_end]:[pipe_cluster_end]],$B505)*PJ2TWh,"")</f>
        <v>0</v>
      </c>
      <c r="R505" s="51">
        <f>IFERROR(SUMIFS(Infrastructure[2036],
Infrastructure[[variable_type]:[variable_type]],"H2_outflow",
Infrastructure[[cluster]:[cluster]],$B$502,
Infrastructure[[pipe_cluster_end]:[pipe_cluster_end]],$B505)*PJ2TWh,"")</f>
        <v>0</v>
      </c>
      <c r="S505" s="51">
        <f>IFERROR(SUMIFS(Infrastructure[2037],
Infrastructure[[variable_type]:[variable_type]],"H2_outflow",
Infrastructure[[cluster]:[cluster]],$B$502,
Infrastructure[[pipe_cluster_end]:[pipe_cluster_end]],$B505)*PJ2TWh,"")</f>
        <v>0</v>
      </c>
      <c r="T505" s="51">
        <f>IFERROR(SUMIFS(Infrastructure[2038],
Infrastructure[[variable_type]:[variable_type]],"H2_outflow",
Infrastructure[[cluster]:[cluster]],$B$502,
Infrastructure[[pipe_cluster_end]:[pipe_cluster_end]],$B505)*PJ2TWh,"")</f>
        <v>0</v>
      </c>
      <c r="U505" s="51">
        <f>IFERROR(SUMIFS(Infrastructure[2039],
Infrastructure[[variable_type]:[variable_type]],"H2_outflow",
Infrastructure[[cluster]:[cluster]],$B$502,
Infrastructure[[pipe_cluster_end]:[pipe_cluster_end]],$B505)*PJ2TWh,"")</f>
        <v>0</v>
      </c>
      <c r="V505" s="51">
        <f>IFERROR(SUMIFS(Infrastructure[2040],
Infrastructure[[variable_type]:[variable_type]],"H2_outflow",
Infrastructure[[cluster]:[cluster]],$B$502,
Infrastructure[[pipe_cluster_end]:[pipe_cluster_end]],$B505)*PJ2TWh,"")</f>
        <v>0</v>
      </c>
      <c r="W505" s="51">
        <f>IFERROR(SUMIFS(Infrastructure[2041],
Infrastructure[[variable_type]:[variable_type]],"H2_outflow",
Infrastructure[[cluster]:[cluster]],$B$502,
Infrastructure[[pipe_cluster_end]:[pipe_cluster_end]],$B505)*PJ2TWh,"")</f>
        <v>0</v>
      </c>
      <c r="X505" s="51">
        <f>IFERROR(SUMIFS(Infrastructure[2042],
Infrastructure[[variable_type]:[variable_type]],"H2_outflow",
Infrastructure[[cluster]:[cluster]],$B$502,
Infrastructure[[pipe_cluster_end]:[pipe_cluster_end]],$B505)*PJ2TWh,"")</f>
        <v>0</v>
      </c>
      <c r="Y505" s="51">
        <f>IFERROR(SUMIFS(Infrastructure[2043],
Infrastructure[[variable_type]:[variable_type]],"H2_outflow",
Infrastructure[[cluster]:[cluster]],$B$502,
Infrastructure[[pipe_cluster_end]:[pipe_cluster_end]],$B505)*PJ2TWh,"")</f>
        <v>0</v>
      </c>
      <c r="Z505" s="51">
        <f>IFERROR(SUMIFS(Infrastructure[2044],
Infrastructure[[variable_type]:[variable_type]],"H2_outflow",
Infrastructure[[cluster]:[cluster]],$B$502,
Infrastructure[[pipe_cluster_end]:[pipe_cluster_end]],$B505)*PJ2TWh,"")</f>
        <v>0</v>
      </c>
      <c r="AA505" s="51">
        <f>IFERROR(SUMIFS(Infrastructure[2045],
Infrastructure[[variable_type]:[variable_type]],"H2_outflow",
Infrastructure[[cluster]:[cluster]],$B$502,
Infrastructure[[pipe_cluster_end]:[pipe_cluster_end]],$B505)*PJ2TWh,"")</f>
        <v>0</v>
      </c>
      <c r="AB505" s="51">
        <f>IFERROR(SUMIFS(Infrastructure[2046],
Infrastructure[[variable_type]:[variable_type]],"H2_outflow",
Infrastructure[[cluster]:[cluster]],$B$502,
Infrastructure[[pipe_cluster_end]:[pipe_cluster_end]],$B505)*PJ2TWh,"")</f>
        <v>0</v>
      </c>
      <c r="AC505" s="51">
        <f>IFERROR(SUMIFS(Infrastructure[2047],
Infrastructure[[variable_type]:[variable_type]],"H2_outflow",
Infrastructure[[cluster]:[cluster]],$B$502,
Infrastructure[[pipe_cluster_end]:[pipe_cluster_end]],$B505)*PJ2TWh,"")</f>
        <v>0</v>
      </c>
      <c r="AD505" s="51">
        <f>IFERROR(SUMIFS(Infrastructure[2048],
Infrastructure[[variable_type]:[variable_type]],"H2_outflow",
Infrastructure[[cluster]:[cluster]],$B$502,
Infrastructure[[pipe_cluster_end]:[pipe_cluster_end]],$B505)*PJ2TWh,"")</f>
        <v>0</v>
      </c>
      <c r="AE505" s="51">
        <f>IFERROR(SUMIFS(Infrastructure[2049],
Infrastructure[[variable_type]:[variable_type]],"H2_outflow",
Infrastructure[[cluster]:[cluster]],$B$502,
Infrastructure[[pipe_cluster_end]:[pipe_cluster_end]],$B505)*PJ2TWh,"")</f>
        <v>0</v>
      </c>
      <c r="AF505" s="51">
        <f>IFERROR(SUMIFS(Infrastructure[2050],
Infrastructure[[variable_type]:[variable_type]],"H2_outflow",
Infrastructure[[cluster]:[cluster]],$B$502,
Infrastructure[[pipe_cluster_end]:[pipe_cluster_end]],$B505)*PJ2TWh,"")</f>
        <v>0</v>
      </c>
      <c r="AG505" s="51">
        <f>IFERROR(SUMIFS(Infrastructure[2051],
Infrastructure[[variable_type]:[variable_type]],"H2_outflow",
Infrastructure[[cluster]:[cluster]],$B$502,
Infrastructure[[pipe_cluster_end]:[pipe_cluster_end]],$B505)*PJ2TWh,"")</f>
        <v>0</v>
      </c>
    </row>
    <row r="506" spans="1:33" x14ac:dyDescent="0.45">
      <c r="A506" s="2"/>
      <c r="B506" s="24" t="s">
        <v>72</v>
      </c>
      <c r="C506" s="51">
        <f>IFERROR(SUMIFS(Infrastructure[2021],
Infrastructure[[variable_type]:[variable_type]],"H2_outflow",
Infrastructure[[cluster]:[cluster]],$B$502,
Infrastructure[[pipe_cluster_end]:[pipe_cluster_end]],$B506)*PJ2TWh,"")</f>
        <v>0</v>
      </c>
      <c r="D506" s="51">
        <f>IFERROR(SUMIFS(Infrastructure[2022],
Infrastructure[[variable_type]:[variable_type]],"H2_outflow",
Infrastructure[[cluster]:[cluster]],$B$502,
Infrastructure[[pipe_cluster_end]:[pipe_cluster_end]],$B506)*PJ2TWh,"")</f>
        <v>0</v>
      </c>
      <c r="E506" s="51">
        <f>IFERROR(SUMIFS(Infrastructure[2023],
Infrastructure[[variable_type]:[variable_type]],"H2_outflow",
Infrastructure[[cluster]:[cluster]],$B$502,
Infrastructure[[pipe_cluster_end]:[pipe_cluster_end]],$B506)*PJ2TWh,"")</f>
        <v>0</v>
      </c>
      <c r="F506" s="51">
        <f>IFERROR(SUMIFS(Infrastructure[2024],
Infrastructure[[variable_type]:[variable_type]],"H2_outflow",
Infrastructure[[cluster]:[cluster]],$B$502,
Infrastructure[[pipe_cluster_end]:[pipe_cluster_end]],$B506)*PJ2TWh,"")</f>
        <v>0</v>
      </c>
      <c r="G506" s="51">
        <f>IFERROR(SUMIFS(Infrastructure[2025],
Infrastructure[[variable_type]:[variable_type]],"H2_outflow",
Infrastructure[[cluster]:[cluster]],$B$502,
Infrastructure[[pipe_cluster_end]:[pipe_cluster_end]],$B506)*PJ2TWh,"")</f>
        <v>0</v>
      </c>
      <c r="H506" s="51">
        <f>IFERROR(SUMIFS(Infrastructure[2026],
Infrastructure[[variable_type]:[variable_type]],"H2_outflow",
Infrastructure[[cluster]:[cluster]],$B$502,
Infrastructure[[pipe_cluster_end]:[pipe_cluster_end]],$B506)*PJ2TWh,"")</f>
        <v>0</v>
      </c>
      <c r="I506" s="51">
        <f>IFERROR(SUMIFS(Infrastructure[2027],
Infrastructure[[variable_type]:[variable_type]],"H2_outflow",
Infrastructure[[cluster]:[cluster]],$B$502,
Infrastructure[[pipe_cluster_end]:[pipe_cluster_end]],$B506)*PJ2TWh,"")</f>
        <v>0</v>
      </c>
      <c r="J506" s="51">
        <f>IFERROR(SUMIFS(Infrastructure[2028],
Infrastructure[[variable_type]:[variable_type]],"H2_outflow",
Infrastructure[[cluster]:[cluster]],$B$502,
Infrastructure[[pipe_cluster_end]:[pipe_cluster_end]],$B506)*PJ2TWh,"")</f>
        <v>0</v>
      </c>
      <c r="K506" s="51">
        <f>IFERROR(SUMIFS(Infrastructure[2029],
Infrastructure[[variable_type]:[variable_type]],"H2_outflow",
Infrastructure[[cluster]:[cluster]],$B$502,
Infrastructure[[pipe_cluster_end]:[pipe_cluster_end]],$B506)*PJ2TWh,"")</f>
        <v>0</v>
      </c>
      <c r="L506" s="51">
        <f>IFERROR(SUMIFS(Infrastructure[2030],
Infrastructure[[variable_type]:[variable_type]],"H2_outflow",
Infrastructure[[cluster]:[cluster]],$B$502,
Infrastructure[[pipe_cluster_end]:[pipe_cluster_end]],$B506)*PJ2TWh,"")</f>
        <v>0</v>
      </c>
      <c r="M506" s="51">
        <f>IFERROR(SUMIFS(Infrastructure[2031],
Infrastructure[[variable_type]:[variable_type]],"H2_outflow",
Infrastructure[[cluster]:[cluster]],$B$502,
Infrastructure[[pipe_cluster_end]:[pipe_cluster_end]],$B506)*PJ2TWh,"")</f>
        <v>0</v>
      </c>
      <c r="N506" s="51">
        <f>IFERROR(SUMIFS(Infrastructure[2032],
Infrastructure[[variable_type]:[variable_type]],"H2_outflow",
Infrastructure[[cluster]:[cluster]],$B$502,
Infrastructure[[pipe_cluster_end]:[pipe_cluster_end]],$B506)*PJ2TWh,"")</f>
        <v>0</v>
      </c>
      <c r="O506" s="51">
        <f>IFERROR(SUMIFS(Infrastructure[2033],
Infrastructure[[variable_type]:[variable_type]],"H2_outflow",
Infrastructure[[cluster]:[cluster]],$B$502,
Infrastructure[[pipe_cluster_end]:[pipe_cluster_end]],$B506)*PJ2TWh,"")</f>
        <v>0</v>
      </c>
      <c r="P506" s="51">
        <f>IFERROR(SUMIFS(Infrastructure[2034],
Infrastructure[[variable_type]:[variable_type]],"H2_outflow",
Infrastructure[[cluster]:[cluster]],$B$502,
Infrastructure[[pipe_cluster_end]:[pipe_cluster_end]],$B506)*PJ2TWh,"")</f>
        <v>0</v>
      </c>
      <c r="Q506" s="51">
        <f>IFERROR(SUMIFS(Infrastructure[2035],
Infrastructure[[variable_type]:[variable_type]],"H2_outflow",
Infrastructure[[cluster]:[cluster]],$B$502,
Infrastructure[[pipe_cluster_end]:[pipe_cluster_end]],$B506)*PJ2TWh,"")</f>
        <v>0</v>
      </c>
      <c r="R506" s="51">
        <f>IFERROR(SUMIFS(Infrastructure[2036],
Infrastructure[[variable_type]:[variable_type]],"H2_outflow",
Infrastructure[[cluster]:[cluster]],$B$502,
Infrastructure[[pipe_cluster_end]:[pipe_cluster_end]],$B506)*PJ2TWh,"")</f>
        <v>0</v>
      </c>
      <c r="S506" s="51">
        <f>IFERROR(SUMIFS(Infrastructure[2037],
Infrastructure[[variable_type]:[variable_type]],"H2_outflow",
Infrastructure[[cluster]:[cluster]],$B$502,
Infrastructure[[pipe_cluster_end]:[pipe_cluster_end]],$B506)*PJ2TWh,"")</f>
        <v>0</v>
      </c>
      <c r="T506" s="51">
        <f>IFERROR(SUMIFS(Infrastructure[2038],
Infrastructure[[variable_type]:[variable_type]],"H2_outflow",
Infrastructure[[cluster]:[cluster]],$B$502,
Infrastructure[[pipe_cluster_end]:[pipe_cluster_end]],$B506)*PJ2TWh,"")</f>
        <v>0</v>
      </c>
      <c r="U506" s="51">
        <f>IFERROR(SUMIFS(Infrastructure[2039],
Infrastructure[[variable_type]:[variable_type]],"H2_outflow",
Infrastructure[[cluster]:[cluster]],$B$502,
Infrastructure[[pipe_cluster_end]:[pipe_cluster_end]],$B506)*PJ2TWh,"")</f>
        <v>0</v>
      </c>
      <c r="V506" s="51">
        <f>IFERROR(SUMIFS(Infrastructure[2040],
Infrastructure[[variable_type]:[variable_type]],"H2_outflow",
Infrastructure[[cluster]:[cluster]],$B$502,
Infrastructure[[pipe_cluster_end]:[pipe_cluster_end]],$B506)*PJ2TWh,"")</f>
        <v>0</v>
      </c>
      <c r="W506" s="51">
        <f>IFERROR(SUMIFS(Infrastructure[2041],
Infrastructure[[variable_type]:[variable_type]],"H2_outflow",
Infrastructure[[cluster]:[cluster]],$B$502,
Infrastructure[[pipe_cluster_end]:[pipe_cluster_end]],$B506)*PJ2TWh,"")</f>
        <v>0</v>
      </c>
      <c r="X506" s="51">
        <f>IFERROR(SUMIFS(Infrastructure[2042],
Infrastructure[[variable_type]:[variable_type]],"H2_outflow",
Infrastructure[[cluster]:[cluster]],$B$502,
Infrastructure[[pipe_cluster_end]:[pipe_cluster_end]],$B506)*PJ2TWh,"")</f>
        <v>0</v>
      </c>
      <c r="Y506" s="51">
        <f>IFERROR(SUMIFS(Infrastructure[2043],
Infrastructure[[variable_type]:[variable_type]],"H2_outflow",
Infrastructure[[cluster]:[cluster]],$B$502,
Infrastructure[[pipe_cluster_end]:[pipe_cluster_end]],$B506)*PJ2TWh,"")</f>
        <v>0</v>
      </c>
      <c r="Z506" s="51">
        <f>IFERROR(SUMIFS(Infrastructure[2044],
Infrastructure[[variable_type]:[variable_type]],"H2_outflow",
Infrastructure[[cluster]:[cluster]],$B$502,
Infrastructure[[pipe_cluster_end]:[pipe_cluster_end]],$B506)*PJ2TWh,"")</f>
        <v>0</v>
      </c>
      <c r="AA506" s="51">
        <f>IFERROR(SUMIFS(Infrastructure[2045],
Infrastructure[[variable_type]:[variable_type]],"H2_outflow",
Infrastructure[[cluster]:[cluster]],$B$502,
Infrastructure[[pipe_cluster_end]:[pipe_cluster_end]],$B506)*PJ2TWh,"")</f>
        <v>0</v>
      </c>
      <c r="AB506" s="51">
        <f>IFERROR(SUMIFS(Infrastructure[2046],
Infrastructure[[variable_type]:[variable_type]],"H2_outflow",
Infrastructure[[cluster]:[cluster]],$B$502,
Infrastructure[[pipe_cluster_end]:[pipe_cluster_end]],$B506)*PJ2TWh,"")</f>
        <v>0</v>
      </c>
      <c r="AC506" s="51">
        <f>IFERROR(SUMIFS(Infrastructure[2047],
Infrastructure[[variable_type]:[variable_type]],"H2_outflow",
Infrastructure[[cluster]:[cluster]],$B$502,
Infrastructure[[pipe_cluster_end]:[pipe_cluster_end]],$B506)*PJ2TWh,"")</f>
        <v>0</v>
      </c>
      <c r="AD506" s="51">
        <f>IFERROR(SUMIFS(Infrastructure[2048],
Infrastructure[[variable_type]:[variable_type]],"H2_outflow",
Infrastructure[[cluster]:[cluster]],$B$502,
Infrastructure[[pipe_cluster_end]:[pipe_cluster_end]],$B506)*PJ2TWh,"")</f>
        <v>0</v>
      </c>
      <c r="AE506" s="51">
        <f>IFERROR(SUMIFS(Infrastructure[2049],
Infrastructure[[variable_type]:[variable_type]],"H2_outflow",
Infrastructure[[cluster]:[cluster]],$B$502,
Infrastructure[[pipe_cluster_end]:[pipe_cluster_end]],$B506)*PJ2TWh,"")</f>
        <v>0</v>
      </c>
      <c r="AF506" s="51">
        <f>IFERROR(SUMIFS(Infrastructure[2050],
Infrastructure[[variable_type]:[variable_type]],"H2_outflow",
Infrastructure[[cluster]:[cluster]],$B$502,
Infrastructure[[pipe_cluster_end]:[pipe_cluster_end]],$B506)*PJ2TWh,"")</f>
        <v>0</v>
      </c>
      <c r="AG506" s="51">
        <f>IFERROR(SUMIFS(Infrastructure[2051],
Infrastructure[[variable_type]:[variable_type]],"H2_outflow",
Infrastructure[[cluster]:[cluster]],$B$502,
Infrastructure[[pipe_cluster_end]:[pipe_cluster_end]],$B506)*PJ2TWh,"")</f>
        <v>0</v>
      </c>
    </row>
    <row r="507" spans="1:33" x14ac:dyDescent="0.45">
      <c r="A507" s="2"/>
      <c r="B507" s="24" t="s">
        <v>73</v>
      </c>
      <c r="C507" s="51">
        <f>IFERROR(SUMIFS(Infrastructure[2021],
Infrastructure[[variable_type]:[variable_type]],"H2_outflow",
Infrastructure[[cluster]:[cluster]],$B$502,
Infrastructure[[pipe_cluster_end]:[pipe_cluster_end]],$B507)*PJ2TWh,"")</f>
        <v>0</v>
      </c>
      <c r="D507" s="51">
        <f>IFERROR(SUMIFS(Infrastructure[2022],
Infrastructure[[variable_type]:[variable_type]],"H2_outflow",
Infrastructure[[cluster]:[cluster]],$B$502,
Infrastructure[[pipe_cluster_end]:[pipe_cluster_end]],$B507)*PJ2TWh,"")</f>
        <v>0</v>
      </c>
      <c r="E507" s="51">
        <f>IFERROR(SUMIFS(Infrastructure[2023],
Infrastructure[[variable_type]:[variable_type]],"H2_outflow",
Infrastructure[[cluster]:[cluster]],$B$502,
Infrastructure[[pipe_cluster_end]:[pipe_cluster_end]],$B507)*PJ2TWh,"")</f>
        <v>0</v>
      </c>
      <c r="F507" s="51">
        <f>IFERROR(SUMIFS(Infrastructure[2024],
Infrastructure[[variable_type]:[variable_type]],"H2_outflow",
Infrastructure[[cluster]:[cluster]],$B$502,
Infrastructure[[pipe_cluster_end]:[pipe_cluster_end]],$B507)*PJ2TWh,"")</f>
        <v>0</v>
      </c>
      <c r="G507" s="51">
        <f>IFERROR(SUMIFS(Infrastructure[2025],
Infrastructure[[variable_type]:[variable_type]],"H2_outflow",
Infrastructure[[cluster]:[cluster]],$B$502,
Infrastructure[[pipe_cluster_end]:[pipe_cluster_end]],$B507)*PJ2TWh,"")</f>
        <v>0</v>
      </c>
      <c r="H507" s="51">
        <f>IFERROR(SUMIFS(Infrastructure[2026],
Infrastructure[[variable_type]:[variable_type]],"H2_outflow",
Infrastructure[[cluster]:[cluster]],$B$502,
Infrastructure[[pipe_cluster_end]:[pipe_cluster_end]],$B507)*PJ2TWh,"")</f>
        <v>0</v>
      </c>
      <c r="I507" s="51">
        <f>IFERROR(SUMIFS(Infrastructure[2027],
Infrastructure[[variable_type]:[variable_type]],"H2_outflow",
Infrastructure[[cluster]:[cluster]],$B$502,
Infrastructure[[pipe_cluster_end]:[pipe_cluster_end]],$B507)*PJ2TWh,"")</f>
        <v>0</v>
      </c>
      <c r="J507" s="51">
        <f>IFERROR(SUMIFS(Infrastructure[2028],
Infrastructure[[variable_type]:[variable_type]],"H2_outflow",
Infrastructure[[cluster]:[cluster]],$B$502,
Infrastructure[[pipe_cluster_end]:[pipe_cluster_end]],$B507)*PJ2TWh,"")</f>
        <v>0</v>
      </c>
      <c r="K507" s="51">
        <f>IFERROR(SUMIFS(Infrastructure[2029],
Infrastructure[[variable_type]:[variable_type]],"H2_outflow",
Infrastructure[[cluster]:[cluster]],$B$502,
Infrastructure[[pipe_cluster_end]:[pipe_cluster_end]],$B507)*PJ2TWh,"")</f>
        <v>0</v>
      </c>
      <c r="L507" s="51">
        <f>IFERROR(SUMIFS(Infrastructure[2030],
Infrastructure[[variable_type]:[variable_type]],"H2_outflow",
Infrastructure[[cluster]:[cluster]],$B$502,
Infrastructure[[pipe_cluster_end]:[pipe_cluster_end]],$B507)*PJ2TWh,"")</f>
        <v>0</v>
      </c>
      <c r="M507" s="51">
        <f>IFERROR(SUMIFS(Infrastructure[2031],
Infrastructure[[variable_type]:[variable_type]],"H2_outflow",
Infrastructure[[cluster]:[cluster]],$B$502,
Infrastructure[[pipe_cluster_end]:[pipe_cluster_end]],$B507)*PJ2TWh,"")</f>
        <v>0</v>
      </c>
      <c r="N507" s="51">
        <f>IFERROR(SUMIFS(Infrastructure[2032],
Infrastructure[[variable_type]:[variable_type]],"H2_outflow",
Infrastructure[[cluster]:[cluster]],$B$502,
Infrastructure[[pipe_cluster_end]:[pipe_cluster_end]],$B507)*PJ2TWh,"")</f>
        <v>0</v>
      </c>
      <c r="O507" s="51">
        <f>IFERROR(SUMIFS(Infrastructure[2033],
Infrastructure[[variable_type]:[variable_type]],"H2_outflow",
Infrastructure[[cluster]:[cluster]],$B$502,
Infrastructure[[pipe_cluster_end]:[pipe_cluster_end]],$B507)*PJ2TWh,"")</f>
        <v>0</v>
      </c>
      <c r="P507" s="51">
        <f>IFERROR(SUMIFS(Infrastructure[2034],
Infrastructure[[variable_type]:[variable_type]],"H2_outflow",
Infrastructure[[cluster]:[cluster]],$B$502,
Infrastructure[[pipe_cluster_end]:[pipe_cluster_end]],$B507)*PJ2TWh,"")</f>
        <v>0</v>
      </c>
      <c r="Q507" s="51">
        <f>IFERROR(SUMIFS(Infrastructure[2035],
Infrastructure[[variable_type]:[variable_type]],"H2_outflow",
Infrastructure[[cluster]:[cluster]],$B$502,
Infrastructure[[pipe_cluster_end]:[pipe_cluster_end]],$B507)*PJ2TWh,"")</f>
        <v>0</v>
      </c>
      <c r="R507" s="51">
        <f>IFERROR(SUMIFS(Infrastructure[2036],
Infrastructure[[variable_type]:[variable_type]],"H2_outflow",
Infrastructure[[cluster]:[cluster]],$B$502,
Infrastructure[[pipe_cluster_end]:[pipe_cluster_end]],$B507)*PJ2TWh,"")</f>
        <v>0</v>
      </c>
      <c r="S507" s="51">
        <f>IFERROR(SUMIFS(Infrastructure[2037],
Infrastructure[[variable_type]:[variable_type]],"H2_outflow",
Infrastructure[[cluster]:[cluster]],$B$502,
Infrastructure[[pipe_cluster_end]:[pipe_cluster_end]],$B507)*PJ2TWh,"")</f>
        <v>0</v>
      </c>
      <c r="T507" s="51">
        <f>IFERROR(SUMIFS(Infrastructure[2038],
Infrastructure[[variable_type]:[variable_type]],"H2_outflow",
Infrastructure[[cluster]:[cluster]],$B$502,
Infrastructure[[pipe_cluster_end]:[pipe_cluster_end]],$B507)*PJ2TWh,"")</f>
        <v>0</v>
      </c>
      <c r="U507" s="51">
        <f>IFERROR(SUMIFS(Infrastructure[2039],
Infrastructure[[variable_type]:[variable_type]],"H2_outflow",
Infrastructure[[cluster]:[cluster]],$B$502,
Infrastructure[[pipe_cluster_end]:[pipe_cluster_end]],$B507)*PJ2TWh,"")</f>
        <v>0</v>
      </c>
      <c r="V507" s="51">
        <f>IFERROR(SUMIFS(Infrastructure[2040],
Infrastructure[[variable_type]:[variable_type]],"H2_outflow",
Infrastructure[[cluster]:[cluster]],$B$502,
Infrastructure[[pipe_cluster_end]:[pipe_cluster_end]],$B507)*PJ2TWh,"")</f>
        <v>0</v>
      </c>
      <c r="W507" s="51">
        <f>IFERROR(SUMIFS(Infrastructure[2041],
Infrastructure[[variable_type]:[variable_type]],"H2_outflow",
Infrastructure[[cluster]:[cluster]],$B$502,
Infrastructure[[pipe_cluster_end]:[pipe_cluster_end]],$B507)*PJ2TWh,"")</f>
        <v>0</v>
      </c>
      <c r="X507" s="51">
        <f>IFERROR(SUMIFS(Infrastructure[2042],
Infrastructure[[variable_type]:[variable_type]],"H2_outflow",
Infrastructure[[cluster]:[cluster]],$B$502,
Infrastructure[[pipe_cluster_end]:[pipe_cluster_end]],$B507)*PJ2TWh,"")</f>
        <v>0</v>
      </c>
      <c r="Y507" s="51">
        <f>IFERROR(SUMIFS(Infrastructure[2043],
Infrastructure[[variable_type]:[variable_type]],"H2_outflow",
Infrastructure[[cluster]:[cluster]],$B$502,
Infrastructure[[pipe_cluster_end]:[pipe_cluster_end]],$B507)*PJ2TWh,"")</f>
        <v>0</v>
      </c>
      <c r="Z507" s="51">
        <f>IFERROR(SUMIFS(Infrastructure[2044],
Infrastructure[[variable_type]:[variable_type]],"H2_outflow",
Infrastructure[[cluster]:[cluster]],$B$502,
Infrastructure[[pipe_cluster_end]:[pipe_cluster_end]],$B507)*PJ2TWh,"")</f>
        <v>0</v>
      </c>
      <c r="AA507" s="51">
        <f>IFERROR(SUMIFS(Infrastructure[2045],
Infrastructure[[variable_type]:[variable_type]],"H2_outflow",
Infrastructure[[cluster]:[cluster]],$B$502,
Infrastructure[[pipe_cluster_end]:[pipe_cluster_end]],$B507)*PJ2TWh,"")</f>
        <v>0</v>
      </c>
      <c r="AB507" s="51">
        <f>IFERROR(SUMIFS(Infrastructure[2046],
Infrastructure[[variable_type]:[variable_type]],"H2_outflow",
Infrastructure[[cluster]:[cluster]],$B$502,
Infrastructure[[pipe_cluster_end]:[pipe_cluster_end]],$B507)*PJ2TWh,"")</f>
        <v>0</v>
      </c>
      <c r="AC507" s="51">
        <f>IFERROR(SUMIFS(Infrastructure[2047],
Infrastructure[[variable_type]:[variable_type]],"H2_outflow",
Infrastructure[[cluster]:[cluster]],$B$502,
Infrastructure[[pipe_cluster_end]:[pipe_cluster_end]],$B507)*PJ2TWh,"")</f>
        <v>0</v>
      </c>
      <c r="AD507" s="51">
        <f>IFERROR(SUMIFS(Infrastructure[2048],
Infrastructure[[variable_type]:[variable_type]],"H2_outflow",
Infrastructure[[cluster]:[cluster]],$B$502,
Infrastructure[[pipe_cluster_end]:[pipe_cluster_end]],$B507)*PJ2TWh,"")</f>
        <v>0</v>
      </c>
      <c r="AE507" s="51">
        <f>IFERROR(SUMIFS(Infrastructure[2049],
Infrastructure[[variable_type]:[variable_type]],"H2_outflow",
Infrastructure[[cluster]:[cluster]],$B$502,
Infrastructure[[pipe_cluster_end]:[pipe_cluster_end]],$B507)*PJ2TWh,"")</f>
        <v>0</v>
      </c>
      <c r="AF507" s="51">
        <f>IFERROR(SUMIFS(Infrastructure[2050],
Infrastructure[[variable_type]:[variable_type]],"H2_outflow",
Infrastructure[[cluster]:[cluster]],$B$502,
Infrastructure[[pipe_cluster_end]:[pipe_cluster_end]],$B507)*PJ2TWh,"")</f>
        <v>0</v>
      </c>
      <c r="AG507" s="51">
        <f>IFERROR(SUMIFS(Infrastructure[2051],
Infrastructure[[variable_type]:[variable_type]],"H2_outflow",
Infrastructure[[cluster]:[cluster]],$B$502,
Infrastructure[[pipe_cluster_end]:[pipe_cluster_end]],$B507)*PJ2TWh,"")</f>
        <v>0</v>
      </c>
    </row>
    <row r="508" spans="1:33" x14ac:dyDescent="0.45">
      <c r="A508" s="2"/>
      <c r="B508" s="24" t="s">
        <v>74</v>
      </c>
      <c r="C508" s="51">
        <f>IFERROR(SUMIFS(Infrastructure[2021],
Infrastructure[[variable_type]:[variable_type]],"H2_outflow",
Infrastructure[[cluster]:[cluster]],$B$502,
Infrastructure[[pipe_cluster_end]:[pipe_cluster_end]],$B508)*PJ2TWh,"")</f>
        <v>0</v>
      </c>
      <c r="D508" s="51">
        <f>IFERROR(SUMIFS(Infrastructure[2022],
Infrastructure[[variable_type]:[variable_type]],"H2_outflow",
Infrastructure[[cluster]:[cluster]],$B$502,
Infrastructure[[pipe_cluster_end]:[pipe_cluster_end]],$B508)*PJ2TWh,"")</f>
        <v>0</v>
      </c>
      <c r="E508" s="51">
        <f>IFERROR(SUMIFS(Infrastructure[2023],
Infrastructure[[variable_type]:[variable_type]],"H2_outflow",
Infrastructure[[cluster]:[cluster]],$B$502,
Infrastructure[[pipe_cluster_end]:[pipe_cluster_end]],$B508)*PJ2TWh,"")</f>
        <v>0</v>
      </c>
      <c r="F508" s="51">
        <f>IFERROR(SUMIFS(Infrastructure[2024],
Infrastructure[[variable_type]:[variable_type]],"H2_outflow",
Infrastructure[[cluster]:[cluster]],$B$502,
Infrastructure[[pipe_cluster_end]:[pipe_cluster_end]],$B508)*PJ2TWh,"")</f>
        <v>0</v>
      </c>
      <c r="G508" s="51">
        <f>IFERROR(SUMIFS(Infrastructure[2025],
Infrastructure[[variable_type]:[variable_type]],"H2_outflow",
Infrastructure[[cluster]:[cluster]],$B$502,
Infrastructure[[pipe_cluster_end]:[pipe_cluster_end]],$B508)*PJ2TWh,"")</f>
        <v>0</v>
      </c>
      <c r="H508" s="51">
        <f>IFERROR(SUMIFS(Infrastructure[2026],
Infrastructure[[variable_type]:[variable_type]],"H2_outflow",
Infrastructure[[cluster]:[cluster]],$B$502,
Infrastructure[[pipe_cluster_end]:[pipe_cluster_end]],$B508)*PJ2TWh,"")</f>
        <v>0</v>
      </c>
      <c r="I508" s="51">
        <f>IFERROR(SUMIFS(Infrastructure[2027],
Infrastructure[[variable_type]:[variable_type]],"H2_outflow",
Infrastructure[[cluster]:[cluster]],$B$502,
Infrastructure[[pipe_cluster_end]:[pipe_cluster_end]],$B508)*PJ2TWh,"")</f>
        <v>0</v>
      </c>
      <c r="J508" s="51">
        <f>IFERROR(SUMIFS(Infrastructure[2028],
Infrastructure[[variable_type]:[variable_type]],"H2_outflow",
Infrastructure[[cluster]:[cluster]],$B$502,
Infrastructure[[pipe_cluster_end]:[pipe_cluster_end]],$B508)*PJ2TWh,"")</f>
        <v>0</v>
      </c>
      <c r="K508" s="51">
        <f>IFERROR(SUMIFS(Infrastructure[2029],
Infrastructure[[variable_type]:[variable_type]],"H2_outflow",
Infrastructure[[cluster]:[cluster]],$B$502,
Infrastructure[[pipe_cluster_end]:[pipe_cluster_end]],$B508)*PJ2TWh,"")</f>
        <v>0</v>
      </c>
      <c r="L508" s="51">
        <f>IFERROR(SUMIFS(Infrastructure[2030],
Infrastructure[[variable_type]:[variable_type]],"H2_outflow",
Infrastructure[[cluster]:[cluster]],$B$502,
Infrastructure[[pipe_cluster_end]:[pipe_cluster_end]],$B508)*PJ2TWh,"")</f>
        <v>0</v>
      </c>
      <c r="M508" s="51">
        <f>IFERROR(SUMIFS(Infrastructure[2031],
Infrastructure[[variable_type]:[variable_type]],"H2_outflow",
Infrastructure[[cluster]:[cluster]],$B$502,
Infrastructure[[pipe_cluster_end]:[pipe_cluster_end]],$B508)*PJ2TWh,"")</f>
        <v>0</v>
      </c>
      <c r="N508" s="51">
        <f>IFERROR(SUMIFS(Infrastructure[2032],
Infrastructure[[variable_type]:[variable_type]],"H2_outflow",
Infrastructure[[cluster]:[cluster]],$B$502,
Infrastructure[[pipe_cluster_end]:[pipe_cluster_end]],$B508)*PJ2TWh,"")</f>
        <v>0</v>
      </c>
      <c r="O508" s="51">
        <f>IFERROR(SUMIFS(Infrastructure[2033],
Infrastructure[[variable_type]:[variable_type]],"H2_outflow",
Infrastructure[[cluster]:[cluster]],$B$502,
Infrastructure[[pipe_cluster_end]:[pipe_cluster_end]],$B508)*PJ2TWh,"")</f>
        <v>0</v>
      </c>
      <c r="P508" s="51">
        <f>IFERROR(SUMIFS(Infrastructure[2034],
Infrastructure[[variable_type]:[variable_type]],"H2_outflow",
Infrastructure[[cluster]:[cluster]],$B$502,
Infrastructure[[pipe_cluster_end]:[pipe_cluster_end]],$B508)*PJ2TWh,"")</f>
        <v>0</v>
      </c>
      <c r="Q508" s="51">
        <f>IFERROR(SUMIFS(Infrastructure[2035],
Infrastructure[[variable_type]:[variable_type]],"H2_outflow",
Infrastructure[[cluster]:[cluster]],$B$502,
Infrastructure[[pipe_cluster_end]:[pipe_cluster_end]],$B508)*PJ2TWh,"")</f>
        <v>0</v>
      </c>
      <c r="R508" s="51">
        <f>IFERROR(SUMIFS(Infrastructure[2036],
Infrastructure[[variable_type]:[variable_type]],"H2_outflow",
Infrastructure[[cluster]:[cluster]],$B$502,
Infrastructure[[pipe_cluster_end]:[pipe_cluster_end]],$B508)*PJ2TWh,"")</f>
        <v>0</v>
      </c>
      <c r="S508" s="51">
        <f>IFERROR(SUMIFS(Infrastructure[2037],
Infrastructure[[variable_type]:[variable_type]],"H2_outflow",
Infrastructure[[cluster]:[cluster]],$B$502,
Infrastructure[[pipe_cluster_end]:[pipe_cluster_end]],$B508)*PJ2TWh,"")</f>
        <v>0</v>
      </c>
      <c r="T508" s="51">
        <f>IFERROR(SUMIFS(Infrastructure[2038],
Infrastructure[[variable_type]:[variable_type]],"H2_outflow",
Infrastructure[[cluster]:[cluster]],$B$502,
Infrastructure[[pipe_cluster_end]:[pipe_cluster_end]],$B508)*PJ2TWh,"")</f>
        <v>0</v>
      </c>
      <c r="U508" s="51">
        <f>IFERROR(SUMIFS(Infrastructure[2039],
Infrastructure[[variable_type]:[variable_type]],"H2_outflow",
Infrastructure[[cluster]:[cluster]],$B$502,
Infrastructure[[pipe_cluster_end]:[pipe_cluster_end]],$B508)*PJ2TWh,"")</f>
        <v>0</v>
      </c>
      <c r="V508" s="51">
        <f>IFERROR(SUMIFS(Infrastructure[2040],
Infrastructure[[variable_type]:[variable_type]],"H2_outflow",
Infrastructure[[cluster]:[cluster]],$B$502,
Infrastructure[[pipe_cluster_end]:[pipe_cluster_end]],$B508)*PJ2TWh,"")</f>
        <v>0</v>
      </c>
      <c r="W508" s="51">
        <f>IFERROR(SUMIFS(Infrastructure[2041],
Infrastructure[[variable_type]:[variable_type]],"H2_outflow",
Infrastructure[[cluster]:[cluster]],$B$502,
Infrastructure[[pipe_cluster_end]:[pipe_cluster_end]],$B508)*PJ2TWh,"")</f>
        <v>0</v>
      </c>
      <c r="X508" s="51">
        <f>IFERROR(SUMIFS(Infrastructure[2042],
Infrastructure[[variable_type]:[variable_type]],"H2_outflow",
Infrastructure[[cluster]:[cluster]],$B$502,
Infrastructure[[pipe_cluster_end]:[pipe_cluster_end]],$B508)*PJ2TWh,"")</f>
        <v>0</v>
      </c>
      <c r="Y508" s="51">
        <f>IFERROR(SUMIFS(Infrastructure[2043],
Infrastructure[[variable_type]:[variable_type]],"H2_outflow",
Infrastructure[[cluster]:[cluster]],$B$502,
Infrastructure[[pipe_cluster_end]:[pipe_cluster_end]],$B508)*PJ2TWh,"")</f>
        <v>0</v>
      </c>
      <c r="Z508" s="51">
        <f>IFERROR(SUMIFS(Infrastructure[2044],
Infrastructure[[variable_type]:[variable_type]],"H2_outflow",
Infrastructure[[cluster]:[cluster]],$B$502,
Infrastructure[[pipe_cluster_end]:[pipe_cluster_end]],$B508)*PJ2TWh,"")</f>
        <v>0</v>
      </c>
      <c r="AA508" s="51">
        <f>IFERROR(SUMIFS(Infrastructure[2045],
Infrastructure[[variable_type]:[variable_type]],"H2_outflow",
Infrastructure[[cluster]:[cluster]],$B$502,
Infrastructure[[pipe_cluster_end]:[pipe_cluster_end]],$B508)*PJ2TWh,"")</f>
        <v>0</v>
      </c>
      <c r="AB508" s="51">
        <f>IFERROR(SUMIFS(Infrastructure[2046],
Infrastructure[[variable_type]:[variable_type]],"H2_outflow",
Infrastructure[[cluster]:[cluster]],$B$502,
Infrastructure[[pipe_cluster_end]:[pipe_cluster_end]],$B508)*PJ2TWh,"")</f>
        <v>0</v>
      </c>
      <c r="AC508" s="51">
        <f>IFERROR(SUMIFS(Infrastructure[2047],
Infrastructure[[variable_type]:[variable_type]],"H2_outflow",
Infrastructure[[cluster]:[cluster]],$B$502,
Infrastructure[[pipe_cluster_end]:[pipe_cluster_end]],$B508)*PJ2TWh,"")</f>
        <v>0</v>
      </c>
      <c r="AD508" s="51">
        <f>IFERROR(SUMIFS(Infrastructure[2048],
Infrastructure[[variable_type]:[variable_type]],"H2_outflow",
Infrastructure[[cluster]:[cluster]],$B$502,
Infrastructure[[pipe_cluster_end]:[pipe_cluster_end]],$B508)*PJ2TWh,"")</f>
        <v>0</v>
      </c>
      <c r="AE508" s="51">
        <f>IFERROR(SUMIFS(Infrastructure[2049],
Infrastructure[[variable_type]:[variable_type]],"H2_outflow",
Infrastructure[[cluster]:[cluster]],$B$502,
Infrastructure[[pipe_cluster_end]:[pipe_cluster_end]],$B508)*PJ2TWh,"")</f>
        <v>0</v>
      </c>
      <c r="AF508" s="51">
        <f>IFERROR(SUMIFS(Infrastructure[2050],
Infrastructure[[variable_type]:[variable_type]],"H2_outflow",
Infrastructure[[cluster]:[cluster]],$B$502,
Infrastructure[[pipe_cluster_end]:[pipe_cluster_end]],$B508)*PJ2TWh,"")</f>
        <v>0</v>
      </c>
      <c r="AG508" s="51">
        <f>IFERROR(SUMIFS(Infrastructure[2051],
Infrastructure[[variable_type]:[variable_type]],"H2_outflow",
Infrastructure[[cluster]:[cluster]],$B$502,
Infrastructure[[pipe_cluster_end]:[pipe_cluster_end]],$B508)*PJ2TWh,"")</f>
        <v>0</v>
      </c>
    </row>
    <row r="509" spans="1:33" x14ac:dyDescent="0.45">
      <c r="A509" s="2"/>
      <c r="B509" s="24" t="s">
        <v>75</v>
      </c>
      <c r="C509" s="51">
        <f>IFERROR(SUMIFS(Infrastructure[2021],
Infrastructure[[variable_type]:[variable_type]],"H2_outflow",
Infrastructure[[cluster]:[cluster]],$B$502,
Infrastructure[[pipe_cluster_end]:[pipe_cluster_end]],$B509)*PJ2TWh,"")</f>
        <v>0</v>
      </c>
      <c r="D509" s="51">
        <f>IFERROR(SUMIFS(Infrastructure[2022],
Infrastructure[[variable_type]:[variable_type]],"H2_outflow",
Infrastructure[[cluster]:[cluster]],$B$502,
Infrastructure[[pipe_cluster_end]:[pipe_cluster_end]],$B509)*PJ2TWh,"")</f>
        <v>0</v>
      </c>
      <c r="E509" s="51">
        <f>IFERROR(SUMIFS(Infrastructure[2023],
Infrastructure[[variable_type]:[variable_type]],"H2_outflow",
Infrastructure[[cluster]:[cluster]],$B$502,
Infrastructure[[pipe_cluster_end]:[pipe_cluster_end]],$B509)*PJ2TWh,"")</f>
        <v>0</v>
      </c>
      <c r="F509" s="51">
        <f>IFERROR(SUMIFS(Infrastructure[2024],
Infrastructure[[variable_type]:[variable_type]],"H2_outflow",
Infrastructure[[cluster]:[cluster]],$B$502,
Infrastructure[[pipe_cluster_end]:[pipe_cluster_end]],$B509)*PJ2TWh,"")</f>
        <v>0</v>
      </c>
      <c r="G509" s="51">
        <f>IFERROR(SUMIFS(Infrastructure[2025],
Infrastructure[[variable_type]:[variable_type]],"H2_outflow",
Infrastructure[[cluster]:[cluster]],$B$502,
Infrastructure[[pipe_cluster_end]:[pipe_cluster_end]],$B509)*PJ2TWh,"")</f>
        <v>0</v>
      </c>
      <c r="H509" s="51">
        <f>IFERROR(SUMIFS(Infrastructure[2026],
Infrastructure[[variable_type]:[variable_type]],"H2_outflow",
Infrastructure[[cluster]:[cluster]],$B$502,
Infrastructure[[pipe_cluster_end]:[pipe_cluster_end]],$B509)*PJ2TWh,"")</f>
        <v>0</v>
      </c>
      <c r="I509" s="51">
        <f>IFERROR(SUMIFS(Infrastructure[2027],
Infrastructure[[variable_type]:[variable_type]],"H2_outflow",
Infrastructure[[cluster]:[cluster]],$B$502,
Infrastructure[[pipe_cluster_end]:[pipe_cluster_end]],$B509)*PJ2TWh,"")</f>
        <v>0</v>
      </c>
      <c r="J509" s="51">
        <f>IFERROR(SUMIFS(Infrastructure[2028],
Infrastructure[[variable_type]:[variable_type]],"H2_outflow",
Infrastructure[[cluster]:[cluster]],$B$502,
Infrastructure[[pipe_cluster_end]:[pipe_cluster_end]],$B509)*PJ2TWh,"")</f>
        <v>0</v>
      </c>
      <c r="K509" s="51">
        <f>IFERROR(SUMIFS(Infrastructure[2029],
Infrastructure[[variable_type]:[variable_type]],"H2_outflow",
Infrastructure[[cluster]:[cluster]],$B$502,
Infrastructure[[pipe_cluster_end]:[pipe_cluster_end]],$B509)*PJ2TWh,"")</f>
        <v>0</v>
      </c>
      <c r="L509" s="51">
        <f>IFERROR(SUMIFS(Infrastructure[2030],
Infrastructure[[variable_type]:[variable_type]],"H2_outflow",
Infrastructure[[cluster]:[cluster]],$B$502,
Infrastructure[[pipe_cluster_end]:[pipe_cluster_end]],$B509)*PJ2TWh,"")</f>
        <v>0</v>
      </c>
      <c r="M509" s="51">
        <f>IFERROR(SUMIFS(Infrastructure[2031],
Infrastructure[[variable_type]:[variable_type]],"H2_outflow",
Infrastructure[[cluster]:[cluster]],$B$502,
Infrastructure[[pipe_cluster_end]:[pipe_cluster_end]],$B509)*PJ2TWh,"")</f>
        <v>0</v>
      </c>
      <c r="N509" s="51">
        <f>IFERROR(SUMIFS(Infrastructure[2032],
Infrastructure[[variable_type]:[variable_type]],"H2_outflow",
Infrastructure[[cluster]:[cluster]],$B$502,
Infrastructure[[pipe_cluster_end]:[pipe_cluster_end]],$B509)*PJ2TWh,"")</f>
        <v>0</v>
      </c>
      <c r="O509" s="51">
        <f>IFERROR(SUMIFS(Infrastructure[2033],
Infrastructure[[variable_type]:[variable_type]],"H2_outflow",
Infrastructure[[cluster]:[cluster]],$B$502,
Infrastructure[[pipe_cluster_end]:[pipe_cluster_end]],$B509)*PJ2TWh,"")</f>
        <v>0</v>
      </c>
      <c r="P509" s="51">
        <f>IFERROR(SUMIFS(Infrastructure[2034],
Infrastructure[[variable_type]:[variable_type]],"H2_outflow",
Infrastructure[[cluster]:[cluster]],$B$502,
Infrastructure[[pipe_cluster_end]:[pipe_cluster_end]],$B509)*PJ2TWh,"")</f>
        <v>0</v>
      </c>
      <c r="Q509" s="51">
        <f>IFERROR(SUMIFS(Infrastructure[2035],
Infrastructure[[variable_type]:[variable_type]],"H2_outflow",
Infrastructure[[cluster]:[cluster]],$B$502,
Infrastructure[[pipe_cluster_end]:[pipe_cluster_end]],$B509)*PJ2TWh,"")</f>
        <v>0</v>
      </c>
      <c r="R509" s="51">
        <f>IFERROR(SUMIFS(Infrastructure[2036],
Infrastructure[[variable_type]:[variable_type]],"H2_outflow",
Infrastructure[[cluster]:[cluster]],$B$502,
Infrastructure[[pipe_cluster_end]:[pipe_cluster_end]],$B509)*PJ2TWh,"")</f>
        <v>0</v>
      </c>
      <c r="S509" s="51">
        <f>IFERROR(SUMIFS(Infrastructure[2037],
Infrastructure[[variable_type]:[variable_type]],"H2_outflow",
Infrastructure[[cluster]:[cluster]],$B$502,
Infrastructure[[pipe_cluster_end]:[pipe_cluster_end]],$B509)*PJ2TWh,"")</f>
        <v>0</v>
      </c>
      <c r="T509" s="51">
        <f>IFERROR(SUMIFS(Infrastructure[2038],
Infrastructure[[variable_type]:[variable_type]],"H2_outflow",
Infrastructure[[cluster]:[cluster]],$B$502,
Infrastructure[[pipe_cluster_end]:[pipe_cluster_end]],$B509)*PJ2TWh,"")</f>
        <v>0</v>
      </c>
      <c r="U509" s="51">
        <f>IFERROR(SUMIFS(Infrastructure[2039],
Infrastructure[[variable_type]:[variable_type]],"H2_outflow",
Infrastructure[[cluster]:[cluster]],$B$502,
Infrastructure[[pipe_cluster_end]:[pipe_cluster_end]],$B509)*PJ2TWh,"")</f>
        <v>0</v>
      </c>
      <c r="V509" s="51">
        <f>IFERROR(SUMIFS(Infrastructure[2040],
Infrastructure[[variable_type]:[variable_type]],"H2_outflow",
Infrastructure[[cluster]:[cluster]],$B$502,
Infrastructure[[pipe_cluster_end]:[pipe_cluster_end]],$B509)*PJ2TWh,"")</f>
        <v>0</v>
      </c>
      <c r="W509" s="51">
        <f>IFERROR(SUMIFS(Infrastructure[2041],
Infrastructure[[variable_type]:[variable_type]],"H2_outflow",
Infrastructure[[cluster]:[cluster]],$B$502,
Infrastructure[[pipe_cluster_end]:[pipe_cluster_end]],$B509)*PJ2TWh,"")</f>
        <v>0</v>
      </c>
      <c r="X509" s="51">
        <f>IFERROR(SUMIFS(Infrastructure[2042],
Infrastructure[[variable_type]:[variable_type]],"H2_outflow",
Infrastructure[[cluster]:[cluster]],$B$502,
Infrastructure[[pipe_cluster_end]:[pipe_cluster_end]],$B509)*PJ2TWh,"")</f>
        <v>0</v>
      </c>
      <c r="Y509" s="51">
        <f>IFERROR(SUMIFS(Infrastructure[2043],
Infrastructure[[variable_type]:[variable_type]],"H2_outflow",
Infrastructure[[cluster]:[cluster]],$B$502,
Infrastructure[[pipe_cluster_end]:[pipe_cluster_end]],$B509)*PJ2TWh,"")</f>
        <v>0</v>
      </c>
      <c r="Z509" s="51">
        <f>IFERROR(SUMIFS(Infrastructure[2044],
Infrastructure[[variable_type]:[variable_type]],"H2_outflow",
Infrastructure[[cluster]:[cluster]],$B$502,
Infrastructure[[pipe_cluster_end]:[pipe_cluster_end]],$B509)*PJ2TWh,"")</f>
        <v>0</v>
      </c>
      <c r="AA509" s="51">
        <f>IFERROR(SUMIFS(Infrastructure[2045],
Infrastructure[[variable_type]:[variable_type]],"H2_outflow",
Infrastructure[[cluster]:[cluster]],$B$502,
Infrastructure[[pipe_cluster_end]:[pipe_cluster_end]],$B509)*PJ2TWh,"")</f>
        <v>0</v>
      </c>
      <c r="AB509" s="51">
        <f>IFERROR(SUMIFS(Infrastructure[2046],
Infrastructure[[variable_type]:[variable_type]],"H2_outflow",
Infrastructure[[cluster]:[cluster]],$B$502,
Infrastructure[[pipe_cluster_end]:[pipe_cluster_end]],$B509)*PJ2TWh,"")</f>
        <v>0</v>
      </c>
      <c r="AC509" s="51">
        <f>IFERROR(SUMIFS(Infrastructure[2047],
Infrastructure[[variable_type]:[variable_type]],"H2_outflow",
Infrastructure[[cluster]:[cluster]],$B$502,
Infrastructure[[pipe_cluster_end]:[pipe_cluster_end]],$B509)*PJ2TWh,"")</f>
        <v>0</v>
      </c>
      <c r="AD509" s="51">
        <f>IFERROR(SUMIFS(Infrastructure[2048],
Infrastructure[[variable_type]:[variable_type]],"H2_outflow",
Infrastructure[[cluster]:[cluster]],$B$502,
Infrastructure[[pipe_cluster_end]:[pipe_cluster_end]],$B509)*PJ2TWh,"")</f>
        <v>0</v>
      </c>
      <c r="AE509" s="51">
        <f>IFERROR(SUMIFS(Infrastructure[2049],
Infrastructure[[variable_type]:[variable_type]],"H2_outflow",
Infrastructure[[cluster]:[cluster]],$B$502,
Infrastructure[[pipe_cluster_end]:[pipe_cluster_end]],$B509)*PJ2TWh,"")</f>
        <v>0</v>
      </c>
      <c r="AF509" s="51">
        <f>IFERROR(SUMIFS(Infrastructure[2050],
Infrastructure[[variable_type]:[variable_type]],"H2_outflow",
Infrastructure[[cluster]:[cluster]],$B$502,
Infrastructure[[pipe_cluster_end]:[pipe_cluster_end]],$B509)*PJ2TWh,"")</f>
        <v>0</v>
      </c>
      <c r="AG509" s="51">
        <f>IFERROR(SUMIFS(Infrastructure[2051],
Infrastructure[[variable_type]:[variable_type]],"H2_outflow",
Infrastructure[[cluster]:[cluster]],$B$502,
Infrastructure[[pipe_cluster_end]:[pipe_cluster_end]],$B509)*PJ2TWh,"")</f>
        <v>0</v>
      </c>
    </row>
    <row r="510" spans="1:33" x14ac:dyDescent="0.45">
      <c r="A510" s="2"/>
      <c r="B510" s="24" t="s">
        <v>76</v>
      </c>
      <c r="C510" s="51">
        <f>IFERROR(SUMIFS(Infrastructure[2021],
Infrastructure[[variable_type]:[variable_type]],"H2_outflow",
Infrastructure[[cluster]:[cluster]],$B$502,
Infrastructure[[pipe_cluster_end]:[pipe_cluster_end]],$B510)*PJ2TWh,"")</f>
        <v>0</v>
      </c>
      <c r="D510" s="51">
        <f>IFERROR(SUMIFS(Infrastructure[2022],
Infrastructure[[variable_type]:[variable_type]],"H2_outflow",
Infrastructure[[cluster]:[cluster]],$B$502,
Infrastructure[[pipe_cluster_end]:[pipe_cluster_end]],$B510)*PJ2TWh,"")</f>
        <v>0</v>
      </c>
      <c r="E510" s="51">
        <f>IFERROR(SUMIFS(Infrastructure[2023],
Infrastructure[[variable_type]:[variable_type]],"H2_outflow",
Infrastructure[[cluster]:[cluster]],$B$502,
Infrastructure[[pipe_cluster_end]:[pipe_cluster_end]],$B510)*PJ2TWh,"")</f>
        <v>0</v>
      </c>
      <c r="F510" s="51">
        <f>IFERROR(SUMIFS(Infrastructure[2024],
Infrastructure[[variable_type]:[variable_type]],"H2_outflow",
Infrastructure[[cluster]:[cluster]],$B$502,
Infrastructure[[pipe_cluster_end]:[pipe_cluster_end]],$B510)*PJ2TWh,"")</f>
        <v>0</v>
      </c>
      <c r="G510" s="51">
        <f>IFERROR(SUMIFS(Infrastructure[2025],
Infrastructure[[variable_type]:[variable_type]],"H2_outflow",
Infrastructure[[cluster]:[cluster]],$B$502,
Infrastructure[[pipe_cluster_end]:[pipe_cluster_end]],$B510)*PJ2TWh,"")</f>
        <v>0</v>
      </c>
      <c r="H510" s="51">
        <f>IFERROR(SUMIFS(Infrastructure[2026],
Infrastructure[[variable_type]:[variable_type]],"H2_outflow",
Infrastructure[[cluster]:[cluster]],$B$502,
Infrastructure[[pipe_cluster_end]:[pipe_cluster_end]],$B510)*PJ2TWh,"")</f>
        <v>0</v>
      </c>
      <c r="I510" s="51">
        <f>IFERROR(SUMIFS(Infrastructure[2027],
Infrastructure[[variable_type]:[variable_type]],"H2_outflow",
Infrastructure[[cluster]:[cluster]],$B$502,
Infrastructure[[pipe_cluster_end]:[pipe_cluster_end]],$B510)*PJ2TWh,"")</f>
        <v>0</v>
      </c>
      <c r="J510" s="51">
        <f>IFERROR(SUMIFS(Infrastructure[2028],
Infrastructure[[variable_type]:[variable_type]],"H2_outflow",
Infrastructure[[cluster]:[cluster]],$B$502,
Infrastructure[[pipe_cluster_end]:[pipe_cluster_end]],$B510)*PJ2TWh,"")</f>
        <v>0</v>
      </c>
      <c r="K510" s="51">
        <f>IFERROR(SUMIFS(Infrastructure[2029],
Infrastructure[[variable_type]:[variable_type]],"H2_outflow",
Infrastructure[[cluster]:[cluster]],$B$502,
Infrastructure[[pipe_cluster_end]:[pipe_cluster_end]],$B510)*PJ2TWh,"")</f>
        <v>0</v>
      </c>
      <c r="L510" s="51">
        <f>IFERROR(SUMIFS(Infrastructure[2030],
Infrastructure[[variable_type]:[variable_type]],"H2_outflow",
Infrastructure[[cluster]:[cluster]],$B$502,
Infrastructure[[pipe_cluster_end]:[pipe_cluster_end]],$B510)*PJ2TWh,"")</f>
        <v>0</v>
      </c>
      <c r="M510" s="51">
        <f>IFERROR(SUMIFS(Infrastructure[2031],
Infrastructure[[variable_type]:[variable_type]],"H2_outflow",
Infrastructure[[cluster]:[cluster]],$B$502,
Infrastructure[[pipe_cluster_end]:[pipe_cluster_end]],$B510)*PJ2TWh,"")</f>
        <v>0</v>
      </c>
      <c r="N510" s="51">
        <f>IFERROR(SUMIFS(Infrastructure[2032],
Infrastructure[[variable_type]:[variable_type]],"H2_outflow",
Infrastructure[[cluster]:[cluster]],$B$502,
Infrastructure[[pipe_cluster_end]:[pipe_cluster_end]],$B510)*PJ2TWh,"")</f>
        <v>0</v>
      </c>
      <c r="O510" s="51">
        <f>IFERROR(SUMIFS(Infrastructure[2033],
Infrastructure[[variable_type]:[variable_type]],"H2_outflow",
Infrastructure[[cluster]:[cluster]],$B$502,
Infrastructure[[pipe_cluster_end]:[pipe_cluster_end]],$B510)*PJ2TWh,"")</f>
        <v>0</v>
      </c>
      <c r="P510" s="51">
        <f>IFERROR(SUMIFS(Infrastructure[2034],
Infrastructure[[variable_type]:[variable_type]],"H2_outflow",
Infrastructure[[cluster]:[cluster]],$B$502,
Infrastructure[[pipe_cluster_end]:[pipe_cluster_end]],$B510)*PJ2TWh,"")</f>
        <v>0</v>
      </c>
      <c r="Q510" s="51">
        <f>IFERROR(SUMIFS(Infrastructure[2035],
Infrastructure[[variable_type]:[variable_type]],"H2_outflow",
Infrastructure[[cluster]:[cluster]],$B$502,
Infrastructure[[pipe_cluster_end]:[pipe_cluster_end]],$B510)*PJ2TWh,"")</f>
        <v>0</v>
      </c>
      <c r="R510" s="51">
        <f>IFERROR(SUMIFS(Infrastructure[2036],
Infrastructure[[variable_type]:[variable_type]],"H2_outflow",
Infrastructure[[cluster]:[cluster]],$B$502,
Infrastructure[[pipe_cluster_end]:[pipe_cluster_end]],$B510)*PJ2TWh,"")</f>
        <v>0</v>
      </c>
      <c r="S510" s="51">
        <f>IFERROR(SUMIFS(Infrastructure[2037],
Infrastructure[[variable_type]:[variable_type]],"H2_outflow",
Infrastructure[[cluster]:[cluster]],$B$502,
Infrastructure[[pipe_cluster_end]:[pipe_cluster_end]],$B510)*PJ2TWh,"")</f>
        <v>0</v>
      </c>
      <c r="T510" s="51">
        <f>IFERROR(SUMIFS(Infrastructure[2038],
Infrastructure[[variable_type]:[variable_type]],"H2_outflow",
Infrastructure[[cluster]:[cluster]],$B$502,
Infrastructure[[pipe_cluster_end]:[pipe_cluster_end]],$B510)*PJ2TWh,"")</f>
        <v>0</v>
      </c>
      <c r="U510" s="51">
        <f>IFERROR(SUMIFS(Infrastructure[2039],
Infrastructure[[variable_type]:[variable_type]],"H2_outflow",
Infrastructure[[cluster]:[cluster]],$B$502,
Infrastructure[[pipe_cluster_end]:[pipe_cluster_end]],$B510)*PJ2TWh,"")</f>
        <v>0</v>
      </c>
      <c r="V510" s="51">
        <f>IFERROR(SUMIFS(Infrastructure[2040],
Infrastructure[[variable_type]:[variable_type]],"H2_outflow",
Infrastructure[[cluster]:[cluster]],$B$502,
Infrastructure[[pipe_cluster_end]:[pipe_cluster_end]],$B510)*PJ2TWh,"")</f>
        <v>0</v>
      </c>
      <c r="W510" s="51">
        <f>IFERROR(SUMIFS(Infrastructure[2041],
Infrastructure[[variable_type]:[variable_type]],"H2_outflow",
Infrastructure[[cluster]:[cluster]],$B$502,
Infrastructure[[pipe_cluster_end]:[pipe_cluster_end]],$B510)*PJ2TWh,"")</f>
        <v>0</v>
      </c>
      <c r="X510" s="51">
        <f>IFERROR(SUMIFS(Infrastructure[2042],
Infrastructure[[variable_type]:[variable_type]],"H2_outflow",
Infrastructure[[cluster]:[cluster]],$B$502,
Infrastructure[[pipe_cluster_end]:[pipe_cluster_end]],$B510)*PJ2TWh,"")</f>
        <v>0</v>
      </c>
      <c r="Y510" s="51">
        <f>IFERROR(SUMIFS(Infrastructure[2043],
Infrastructure[[variable_type]:[variable_type]],"H2_outflow",
Infrastructure[[cluster]:[cluster]],$B$502,
Infrastructure[[pipe_cluster_end]:[pipe_cluster_end]],$B510)*PJ2TWh,"")</f>
        <v>0</v>
      </c>
      <c r="Z510" s="51">
        <f>IFERROR(SUMIFS(Infrastructure[2044],
Infrastructure[[variable_type]:[variable_type]],"H2_outflow",
Infrastructure[[cluster]:[cluster]],$B$502,
Infrastructure[[pipe_cluster_end]:[pipe_cluster_end]],$B510)*PJ2TWh,"")</f>
        <v>0</v>
      </c>
      <c r="AA510" s="51">
        <f>IFERROR(SUMIFS(Infrastructure[2045],
Infrastructure[[variable_type]:[variable_type]],"H2_outflow",
Infrastructure[[cluster]:[cluster]],$B$502,
Infrastructure[[pipe_cluster_end]:[pipe_cluster_end]],$B510)*PJ2TWh,"")</f>
        <v>0</v>
      </c>
      <c r="AB510" s="51">
        <f>IFERROR(SUMIFS(Infrastructure[2046],
Infrastructure[[variable_type]:[variable_type]],"H2_outflow",
Infrastructure[[cluster]:[cluster]],$B$502,
Infrastructure[[pipe_cluster_end]:[pipe_cluster_end]],$B510)*PJ2TWh,"")</f>
        <v>0</v>
      </c>
      <c r="AC510" s="51">
        <f>IFERROR(SUMIFS(Infrastructure[2047],
Infrastructure[[variable_type]:[variable_type]],"H2_outflow",
Infrastructure[[cluster]:[cluster]],$B$502,
Infrastructure[[pipe_cluster_end]:[pipe_cluster_end]],$B510)*PJ2TWh,"")</f>
        <v>0</v>
      </c>
      <c r="AD510" s="51">
        <f>IFERROR(SUMIFS(Infrastructure[2048],
Infrastructure[[variable_type]:[variable_type]],"H2_outflow",
Infrastructure[[cluster]:[cluster]],$B$502,
Infrastructure[[pipe_cluster_end]:[pipe_cluster_end]],$B510)*PJ2TWh,"")</f>
        <v>0</v>
      </c>
      <c r="AE510" s="51">
        <f>IFERROR(SUMIFS(Infrastructure[2049],
Infrastructure[[variable_type]:[variable_type]],"H2_outflow",
Infrastructure[[cluster]:[cluster]],$B$502,
Infrastructure[[pipe_cluster_end]:[pipe_cluster_end]],$B510)*PJ2TWh,"")</f>
        <v>0</v>
      </c>
      <c r="AF510" s="51">
        <f>IFERROR(SUMIFS(Infrastructure[2050],
Infrastructure[[variable_type]:[variable_type]],"H2_outflow",
Infrastructure[[cluster]:[cluster]],$B$502,
Infrastructure[[pipe_cluster_end]:[pipe_cluster_end]],$B510)*PJ2TWh,"")</f>
        <v>0</v>
      </c>
      <c r="AG510" s="51">
        <f>IFERROR(SUMIFS(Infrastructure[2051],
Infrastructure[[variable_type]:[variable_type]],"H2_outflow",
Infrastructure[[cluster]:[cluster]],$B$502,
Infrastructure[[pipe_cluster_end]:[pipe_cluster_end]],$B510)*PJ2TWh,"")</f>
        <v>0</v>
      </c>
    </row>
    <row r="511" spans="1:33" x14ac:dyDescent="0.45">
      <c r="A511" s="2"/>
      <c r="B511" s="24" t="s">
        <v>77</v>
      </c>
      <c r="C511" s="51">
        <f>IFERROR(SUMIFS(Infrastructure[2021],
Infrastructure[[variable_type]:[variable_type]],"H2_outflow",
Infrastructure[[cluster]:[cluster]],$B$502,
Infrastructure[[pipe_cluster_end]:[pipe_cluster_end]],$B511)*PJ2TWh,"")</f>
        <v>0</v>
      </c>
      <c r="D511" s="51">
        <f>IFERROR(SUMIFS(Infrastructure[2022],
Infrastructure[[variable_type]:[variable_type]],"H2_outflow",
Infrastructure[[cluster]:[cluster]],$B$502,
Infrastructure[[pipe_cluster_end]:[pipe_cluster_end]],$B511)*PJ2TWh,"")</f>
        <v>0</v>
      </c>
      <c r="E511" s="51">
        <f>IFERROR(SUMIFS(Infrastructure[2023],
Infrastructure[[variable_type]:[variable_type]],"H2_outflow",
Infrastructure[[cluster]:[cluster]],$B$502,
Infrastructure[[pipe_cluster_end]:[pipe_cluster_end]],$B511)*PJ2TWh,"")</f>
        <v>0</v>
      </c>
      <c r="F511" s="51">
        <f>IFERROR(SUMIFS(Infrastructure[2024],
Infrastructure[[variable_type]:[variable_type]],"H2_outflow",
Infrastructure[[cluster]:[cluster]],$B$502,
Infrastructure[[pipe_cluster_end]:[pipe_cluster_end]],$B511)*PJ2TWh,"")</f>
        <v>0</v>
      </c>
      <c r="G511" s="51">
        <f>IFERROR(SUMIFS(Infrastructure[2025],
Infrastructure[[variable_type]:[variable_type]],"H2_outflow",
Infrastructure[[cluster]:[cluster]],$B$502,
Infrastructure[[pipe_cluster_end]:[pipe_cluster_end]],$B511)*PJ2TWh,"")</f>
        <v>0</v>
      </c>
      <c r="H511" s="51">
        <f>IFERROR(SUMIFS(Infrastructure[2026],
Infrastructure[[variable_type]:[variable_type]],"H2_outflow",
Infrastructure[[cluster]:[cluster]],$B$502,
Infrastructure[[pipe_cluster_end]:[pipe_cluster_end]],$B511)*PJ2TWh,"")</f>
        <v>0</v>
      </c>
      <c r="I511" s="51">
        <f>IFERROR(SUMIFS(Infrastructure[2027],
Infrastructure[[variable_type]:[variable_type]],"H2_outflow",
Infrastructure[[cluster]:[cluster]],$B$502,
Infrastructure[[pipe_cluster_end]:[pipe_cluster_end]],$B511)*PJ2TWh,"")</f>
        <v>0</v>
      </c>
      <c r="J511" s="51">
        <f>IFERROR(SUMIFS(Infrastructure[2028],
Infrastructure[[variable_type]:[variable_type]],"H2_outflow",
Infrastructure[[cluster]:[cluster]],$B$502,
Infrastructure[[pipe_cluster_end]:[pipe_cluster_end]],$B511)*PJ2TWh,"")</f>
        <v>0</v>
      </c>
      <c r="K511" s="51">
        <f>IFERROR(SUMIFS(Infrastructure[2029],
Infrastructure[[variable_type]:[variable_type]],"H2_outflow",
Infrastructure[[cluster]:[cluster]],$B$502,
Infrastructure[[pipe_cluster_end]:[pipe_cluster_end]],$B511)*PJ2TWh,"")</f>
        <v>0</v>
      </c>
      <c r="L511" s="51">
        <f>IFERROR(SUMIFS(Infrastructure[2030],
Infrastructure[[variable_type]:[variable_type]],"H2_outflow",
Infrastructure[[cluster]:[cluster]],$B$502,
Infrastructure[[pipe_cluster_end]:[pipe_cluster_end]],$B511)*PJ2TWh,"")</f>
        <v>0</v>
      </c>
      <c r="M511" s="51">
        <f>IFERROR(SUMIFS(Infrastructure[2031],
Infrastructure[[variable_type]:[variable_type]],"H2_outflow",
Infrastructure[[cluster]:[cluster]],$B$502,
Infrastructure[[pipe_cluster_end]:[pipe_cluster_end]],$B511)*PJ2TWh,"")</f>
        <v>0</v>
      </c>
      <c r="N511" s="51">
        <f>IFERROR(SUMIFS(Infrastructure[2032],
Infrastructure[[variable_type]:[variable_type]],"H2_outflow",
Infrastructure[[cluster]:[cluster]],$B$502,
Infrastructure[[pipe_cluster_end]:[pipe_cluster_end]],$B511)*PJ2TWh,"")</f>
        <v>0</v>
      </c>
      <c r="O511" s="51">
        <f>IFERROR(SUMIFS(Infrastructure[2033],
Infrastructure[[variable_type]:[variable_type]],"H2_outflow",
Infrastructure[[cluster]:[cluster]],$B$502,
Infrastructure[[pipe_cluster_end]:[pipe_cluster_end]],$B511)*PJ2TWh,"")</f>
        <v>0</v>
      </c>
      <c r="P511" s="51">
        <f>IFERROR(SUMIFS(Infrastructure[2034],
Infrastructure[[variable_type]:[variable_type]],"H2_outflow",
Infrastructure[[cluster]:[cluster]],$B$502,
Infrastructure[[pipe_cluster_end]:[pipe_cluster_end]],$B511)*PJ2TWh,"")</f>
        <v>0</v>
      </c>
      <c r="Q511" s="51">
        <f>IFERROR(SUMIFS(Infrastructure[2035],
Infrastructure[[variable_type]:[variable_type]],"H2_outflow",
Infrastructure[[cluster]:[cluster]],$B$502,
Infrastructure[[pipe_cluster_end]:[pipe_cluster_end]],$B511)*PJ2TWh,"")</f>
        <v>0</v>
      </c>
      <c r="R511" s="51">
        <f>IFERROR(SUMIFS(Infrastructure[2036],
Infrastructure[[variable_type]:[variable_type]],"H2_outflow",
Infrastructure[[cluster]:[cluster]],$B$502,
Infrastructure[[pipe_cluster_end]:[pipe_cluster_end]],$B511)*PJ2TWh,"")</f>
        <v>0</v>
      </c>
      <c r="S511" s="51">
        <f>IFERROR(SUMIFS(Infrastructure[2037],
Infrastructure[[variable_type]:[variable_type]],"H2_outflow",
Infrastructure[[cluster]:[cluster]],$B$502,
Infrastructure[[pipe_cluster_end]:[pipe_cluster_end]],$B511)*PJ2TWh,"")</f>
        <v>0</v>
      </c>
      <c r="T511" s="51">
        <f>IFERROR(SUMIFS(Infrastructure[2038],
Infrastructure[[variable_type]:[variable_type]],"H2_outflow",
Infrastructure[[cluster]:[cluster]],$B$502,
Infrastructure[[pipe_cluster_end]:[pipe_cluster_end]],$B511)*PJ2TWh,"")</f>
        <v>0</v>
      </c>
      <c r="U511" s="51">
        <f>IFERROR(SUMIFS(Infrastructure[2039],
Infrastructure[[variable_type]:[variable_type]],"H2_outflow",
Infrastructure[[cluster]:[cluster]],$B$502,
Infrastructure[[pipe_cluster_end]:[pipe_cluster_end]],$B511)*PJ2TWh,"")</f>
        <v>0</v>
      </c>
      <c r="V511" s="51">
        <f>IFERROR(SUMIFS(Infrastructure[2040],
Infrastructure[[variable_type]:[variable_type]],"H2_outflow",
Infrastructure[[cluster]:[cluster]],$B$502,
Infrastructure[[pipe_cluster_end]:[pipe_cluster_end]],$B511)*PJ2TWh,"")</f>
        <v>0</v>
      </c>
      <c r="W511" s="51">
        <f>IFERROR(SUMIFS(Infrastructure[2041],
Infrastructure[[variable_type]:[variable_type]],"H2_outflow",
Infrastructure[[cluster]:[cluster]],$B$502,
Infrastructure[[pipe_cluster_end]:[pipe_cluster_end]],$B511)*PJ2TWh,"")</f>
        <v>0</v>
      </c>
      <c r="X511" s="51">
        <f>IFERROR(SUMIFS(Infrastructure[2042],
Infrastructure[[variable_type]:[variable_type]],"H2_outflow",
Infrastructure[[cluster]:[cluster]],$B$502,
Infrastructure[[pipe_cluster_end]:[pipe_cluster_end]],$B511)*PJ2TWh,"")</f>
        <v>0</v>
      </c>
      <c r="Y511" s="51">
        <f>IFERROR(SUMIFS(Infrastructure[2043],
Infrastructure[[variable_type]:[variable_type]],"H2_outflow",
Infrastructure[[cluster]:[cluster]],$B$502,
Infrastructure[[pipe_cluster_end]:[pipe_cluster_end]],$B511)*PJ2TWh,"")</f>
        <v>0</v>
      </c>
      <c r="Z511" s="51">
        <f>IFERROR(SUMIFS(Infrastructure[2044],
Infrastructure[[variable_type]:[variable_type]],"H2_outflow",
Infrastructure[[cluster]:[cluster]],$B$502,
Infrastructure[[pipe_cluster_end]:[pipe_cluster_end]],$B511)*PJ2TWh,"")</f>
        <v>0</v>
      </c>
      <c r="AA511" s="51">
        <f>IFERROR(SUMIFS(Infrastructure[2045],
Infrastructure[[variable_type]:[variable_type]],"H2_outflow",
Infrastructure[[cluster]:[cluster]],$B$502,
Infrastructure[[pipe_cluster_end]:[pipe_cluster_end]],$B511)*PJ2TWh,"")</f>
        <v>0</v>
      </c>
      <c r="AB511" s="51">
        <f>IFERROR(SUMIFS(Infrastructure[2046],
Infrastructure[[variable_type]:[variable_type]],"H2_outflow",
Infrastructure[[cluster]:[cluster]],$B$502,
Infrastructure[[pipe_cluster_end]:[pipe_cluster_end]],$B511)*PJ2TWh,"")</f>
        <v>0</v>
      </c>
      <c r="AC511" s="51">
        <f>IFERROR(SUMIFS(Infrastructure[2047],
Infrastructure[[variable_type]:[variable_type]],"H2_outflow",
Infrastructure[[cluster]:[cluster]],$B$502,
Infrastructure[[pipe_cluster_end]:[pipe_cluster_end]],$B511)*PJ2TWh,"")</f>
        <v>0</v>
      </c>
      <c r="AD511" s="51">
        <f>IFERROR(SUMIFS(Infrastructure[2048],
Infrastructure[[variable_type]:[variable_type]],"H2_outflow",
Infrastructure[[cluster]:[cluster]],$B$502,
Infrastructure[[pipe_cluster_end]:[pipe_cluster_end]],$B511)*PJ2TWh,"")</f>
        <v>0</v>
      </c>
      <c r="AE511" s="51">
        <f>IFERROR(SUMIFS(Infrastructure[2049],
Infrastructure[[variable_type]:[variable_type]],"H2_outflow",
Infrastructure[[cluster]:[cluster]],$B$502,
Infrastructure[[pipe_cluster_end]:[pipe_cluster_end]],$B511)*PJ2TWh,"")</f>
        <v>0</v>
      </c>
      <c r="AF511" s="51">
        <f>IFERROR(SUMIFS(Infrastructure[2050],
Infrastructure[[variable_type]:[variable_type]],"H2_outflow",
Infrastructure[[cluster]:[cluster]],$B$502,
Infrastructure[[pipe_cluster_end]:[pipe_cluster_end]],$B511)*PJ2TWh,"")</f>
        <v>0</v>
      </c>
      <c r="AG511" s="51">
        <f>IFERROR(SUMIFS(Infrastructure[2051],
Infrastructure[[variable_type]:[variable_type]],"H2_outflow",
Infrastructure[[cluster]:[cluster]],$B$502,
Infrastructure[[pipe_cluster_end]:[pipe_cluster_end]],$B511)*PJ2TWh,"")</f>
        <v>0</v>
      </c>
    </row>
    <row r="512" spans="1:33" x14ac:dyDescent="0.45">
      <c r="A512" s="2"/>
      <c r="B512" s="24" t="s">
        <v>78</v>
      </c>
      <c r="C512" s="51">
        <f>IFERROR(SUMIFS(Infrastructure[2021],
Infrastructure[[variable_type]:[variable_type]],"H2_outflow",
Infrastructure[[cluster]:[cluster]],$B$502,
Infrastructure[[pipe_cluster_end]:[pipe_cluster_end]],$B512)*PJ2TWh,"")</f>
        <v>0</v>
      </c>
      <c r="D512" s="51">
        <f>IFERROR(SUMIFS(Infrastructure[2022],
Infrastructure[[variable_type]:[variable_type]],"H2_outflow",
Infrastructure[[cluster]:[cluster]],$B$502,
Infrastructure[[pipe_cluster_end]:[pipe_cluster_end]],$B512)*PJ2TWh,"")</f>
        <v>0</v>
      </c>
      <c r="E512" s="51">
        <f>IFERROR(SUMIFS(Infrastructure[2023],
Infrastructure[[variable_type]:[variable_type]],"H2_outflow",
Infrastructure[[cluster]:[cluster]],$B$502,
Infrastructure[[pipe_cluster_end]:[pipe_cluster_end]],$B512)*PJ2TWh,"")</f>
        <v>0</v>
      </c>
      <c r="F512" s="51">
        <f>IFERROR(SUMIFS(Infrastructure[2024],
Infrastructure[[variable_type]:[variable_type]],"H2_outflow",
Infrastructure[[cluster]:[cluster]],$B$502,
Infrastructure[[pipe_cluster_end]:[pipe_cluster_end]],$B512)*PJ2TWh,"")</f>
        <v>0</v>
      </c>
      <c r="G512" s="51">
        <f>IFERROR(SUMIFS(Infrastructure[2025],
Infrastructure[[variable_type]:[variable_type]],"H2_outflow",
Infrastructure[[cluster]:[cluster]],$B$502,
Infrastructure[[pipe_cluster_end]:[pipe_cluster_end]],$B512)*PJ2TWh,"")</f>
        <v>0</v>
      </c>
      <c r="H512" s="51">
        <f>IFERROR(SUMIFS(Infrastructure[2026],
Infrastructure[[variable_type]:[variable_type]],"H2_outflow",
Infrastructure[[cluster]:[cluster]],$B$502,
Infrastructure[[pipe_cluster_end]:[pipe_cluster_end]],$B512)*PJ2TWh,"")</f>
        <v>0</v>
      </c>
      <c r="I512" s="51">
        <f>IFERROR(SUMIFS(Infrastructure[2027],
Infrastructure[[variable_type]:[variable_type]],"H2_outflow",
Infrastructure[[cluster]:[cluster]],$B$502,
Infrastructure[[pipe_cluster_end]:[pipe_cluster_end]],$B512)*PJ2TWh,"")</f>
        <v>0</v>
      </c>
      <c r="J512" s="51">
        <f>IFERROR(SUMIFS(Infrastructure[2028],
Infrastructure[[variable_type]:[variable_type]],"H2_outflow",
Infrastructure[[cluster]:[cluster]],$B$502,
Infrastructure[[pipe_cluster_end]:[pipe_cluster_end]],$B512)*PJ2TWh,"")</f>
        <v>0</v>
      </c>
      <c r="K512" s="51">
        <f>IFERROR(SUMIFS(Infrastructure[2029],
Infrastructure[[variable_type]:[variable_type]],"H2_outflow",
Infrastructure[[cluster]:[cluster]],$B$502,
Infrastructure[[pipe_cluster_end]:[pipe_cluster_end]],$B512)*PJ2TWh,"")</f>
        <v>0</v>
      </c>
      <c r="L512" s="51">
        <f>IFERROR(SUMIFS(Infrastructure[2030],
Infrastructure[[variable_type]:[variable_type]],"H2_outflow",
Infrastructure[[cluster]:[cluster]],$B$502,
Infrastructure[[pipe_cluster_end]:[pipe_cluster_end]],$B512)*PJ2TWh,"")</f>
        <v>0</v>
      </c>
      <c r="M512" s="51">
        <f>IFERROR(SUMIFS(Infrastructure[2031],
Infrastructure[[variable_type]:[variable_type]],"H2_outflow",
Infrastructure[[cluster]:[cluster]],$B$502,
Infrastructure[[pipe_cluster_end]:[pipe_cluster_end]],$B512)*PJ2TWh,"")</f>
        <v>0</v>
      </c>
      <c r="N512" s="51">
        <f>IFERROR(SUMIFS(Infrastructure[2032],
Infrastructure[[variable_type]:[variable_type]],"H2_outflow",
Infrastructure[[cluster]:[cluster]],$B$502,
Infrastructure[[pipe_cluster_end]:[pipe_cluster_end]],$B512)*PJ2TWh,"")</f>
        <v>0</v>
      </c>
      <c r="O512" s="51">
        <f>IFERROR(SUMIFS(Infrastructure[2033],
Infrastructure[[variable_type]:[variable_type]],"H2_outflow",
Infrastructure[[cluster]:[cluster]],$B$502,
Infrastructure[[pipe_cluster_end]:[pipe_cluster_end]],$B512)*PJ2TWh,"")</f>
        <v>0</v>
      </c>
      <c r="P512" s="51">
        <f>IFERROR(SUMIFS(Infrastructure[2034],
Infrastructure[[variable_type]:[variable_type]],"H2_outflow",
Infrastructure[[cluster]:[cluster]],$B$502,
Infrastructure[[pipe_cluster_end]:[pipe_cluster_end]],$B512)*PJ2TWh,"")</f>
        <v>0</v>
      </c>
      <c r="Q512" s="51">
        <f>IFERROR(SUMIFS(Infrastructure[2035],
Infrastructure[[variable_type]:[variable_type]],"H2_outflow",
Infrastructure[[cluster]:[cluster]],$B$502,
Infrastructure[[pipe_cluster_end]:[pipe_cluster_end]],$B512)*PJ2TWh,"")</f>
        <v>0</v>
      </c>
      <c r="R512" s="51">
        <f>IFERROR(SUMIFS(Infrastructure[2036],
Infrastructure[[variable_type]:[variable_type]],"H2_outflow",
Infrastructure[[cluster]:[cluster]],$B$502,
Infrastructure[[pipe_cluster_end]:[pipe_cluster_end]],$B512)*PJ2TWh,"")</f>
        <v>0</v>
      </c>
      <c r="S512" s="51">
        <f>IFERROR(SUMIFS(Infrastructure[2037],
Infrastructure[[variable_type]:[variable_type]],"H2_outflow",
Infrastructure[[cluster]:[cluster]],$B$502,
Infrastructure[[pipe_cluster_end]:[pipe_cluster_end]],$B512)*PJ2TWh,"")</f>
        <v>0</v>
      </c>
      <c r="T512" s="51">
        <f>IFERROR(SUMIFS(Infrastructure[2038],
Infrastructure[[variable_type]:[variable_type]],"H2_outflow",
Infrastructure[[cluster]:[cluster]],$B$502,
Infrastructure[[pipe_cluster_end]:[pipe_cluster_end]],$B512)*PJ2TWh,"")</f>
        <v>0</v>
      </c>
      <c r="U512" s="51">
        <f>IFERROR(SUMIFS(Infrastructure[2039],
Infrastructure[[variable_type]:[variable_type]],"H2_outflow",
Infrastructure[[cluster]:[cluster]],$B$502,
Infrastructure[[pipe_cluster_end]:[pipe_cluster_end]],$B512)*PJ2TWh,"")</f>
        <v>0</v>
      </c>
      <c r="V512" s="51">
        <f>IFERROR(SUMIFS(Infrastructure[2040],
Infrastructure[[variable_type]:[variable_type]],"H2_outflow",
Infrastructure[[cluster]:[cluster]],$B$502,
Infrastructure[[pipe_cluster_end]:[pipe_cluster_end]],$B512)*PJ2TWh,"")</f>
        <v>0</v>
      </c>
      <c r="W512" s="51">
        <f>IFERROR(SUMIFS(Infrastructure[2041],
Infrastructure[[variable_type]:[variable_type]],"H2_outflow",
Infrastructure[[cluster]:[cluster]],$B$502,
Infrastructure[[pipe_cluster_end]:[pipe_cluster_end]],$B512)*PJ2TWh,"")</f>
        <v>0</v>
      </c>
      <c r="X512" s="51">
        <f>IFERROR(SUMIFS(Infrastructure[2042],
Infrastructure[[variable_type]:[variable_type]],"H2_outflow",
Infrastructure[[cluster]:[cluster]],$B$502,
Infrastructure[[pipe_cluster_end]:[pipe_cluster_end]],$B512)*PJ2TWh,"")</f>
        <v>0</v>
      </c>
      <c r="Y512" s="51">
        <f>IFERROR(SUMIFS(Infrastructure[2043],
Infrastructure[[variable_type]:[variable_type]],"H2_outflow",
Infrastructure[[cluster]:[cluster]],$B$502,
Infrastructure[[pipe_cluster_end]:[pipe_cluster_end]],$B512)*PJ2TWh,"")</f>
        <v>0</v>
      </c>
      <c r="Z512" s="51">
        <f>IFERROR(SUMIFS(Infrastructure[2044],
Infrastructure[[variable_type]:[variable_type]],"H2_outflow",
Infrastructure[[cluster]:[cluster]],$B$502,
Infrastructure[[pipe_cluster_end]:[pipe_cluster_end]],$B512)*PJ2TWh,"")</f>
        <v>0</v>
      </c>
      <c r="AA512" s="51">
        <f>IFERROR(SUMIFS(Infrastructure[2045],
Infrastructure[[variable_type]:[variable_type]],"H2_outflow",
Infrastructure[[cluster]:[cluster]],$B$502,
Infrastructure[[pipe_cluster_end]:[pipe_cluster_end]],$B512)*PJ2TWh,"")</f>
        <v>0</v>
      </c>
      <c r="AB512" s="51">
        <f>IFERROR(SUMIFS(Infrastructure[2046],
Infrastructure[[variable_type]:[variable_type]],"H2_outflow",
Infrastructure[[cluster]:[cluster]],$B$502,
Infrastructure[[pipe_cluster_end]:[pipe_cluster_end]],$B512)*PJ2TWh,"")</f>
        <v>0</v>
      </c>
      <c r="AC512" s="51">
        <f>IFERROR(SUMIFS(Infrastructure[2047],
Infrastructure[[variable_type]:[variable_type]],"H2_outflow",
Infrastructure[[cluster]:[cluster]],$B$502,
Infrastructure[[pipe_cluster_end]:[pipe_cluster_end]],$B512)*PJ2TWh,"")</f>
        <v>0</v>
      </c>
      <c r="AD512" s="51">
        <f>IFERROR(SUMIFS(Infrastructure[2048],
Infrastructure[[variable_type]:[variable_type]],"H2_outflow",
Infrastructure[[cluster]:[cluster]],$B$502,
Infrastructure[[pipe_cluster_end]:[pipe_cluster_end]],$B512)*PJ2TWh,"")</f>
        <v>0</v>
      </c>
      <c r="AE512" s="51">
        <f>IFERROR(SUMIFS(Infrastructure[2049],
Infrastructure[[variable_type]:[variable_type]],"H2_outflow",
Infrastructure[[cluster]:[cluster]],$B$502,
Infrastructure[[pipe_cluster_end]:[pipe_cluster_end]],$B512)*PJ2TWh,"")</f>
        <v>0</v>
      </c>
      <c r="AF512" s="51">
        <f>IFERROR(SUMIFS(Infrastructure[2050],
Infrastructure[[variable_type]:[variable_type]],"H2_outflow",
Infrastructure[[cluster]:[cluster]],$B$502,
Infrastructure[[pipe_cluster_end]:[pipe_cluster_end]],$B512)*PJ2TWh,"")</f>
        <v>0</v>
      </c>
      <c r="AG512" s="51">
        <f>IFERROR(SUMIFS(Infrastructure[2051],
Infrastructure[[variable_type]:[variable_type]],"H2_outflow",
Infrastructure[[cluster]:[cluster]],$B$502,
Infrastructure[[pipe_cluster_end]:[pipe_cluster_end]],$B512)*PJ2TWh,"")</f>
        <v>0</v>
      </c>
    </row>
    <row r="513" spans="2:33" x14ac:dyDescent="0.45">
      <c r="B513" s="6" t="s">
        <v>74</v>
      </c>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row>
    <row r="514" spans="2:33" x14ac:dyDescent="0.45">
      <c r="B514" s="24" t="s">
        <v>70</v>
      </c>
      <c r="C514" s="51">
        <f>IFERROR(SUMIFS(Infrastructure[2021],
Infrastructure[[variable_type]:[variable_type]],"H2_outflow",
Infrastructure[[cluster]:[cluster]],$B$513,
Infrastructure[[pipe_cluster_end]:[pipe_cluster_end]],$B514)*PJ2TWh,"")</f>
        <v>0</v>
      </c>
      <c r="D514" s="51">
        <f>IFERROR(SUMIFS(Infrastructure[2022],
Infrastructure[[variable_type]:[variable_type]],"H2_outflow",
Infrastructure[[cluster]:[cluster]],$B$513,
Infrastructure[[pipe_cluster_end]:[pipe_cluster_end]],$B514)*PJ2TWh,"")</f>
        <v>0</v>
      </c>
      <c r="E514" s="51">
        <f>IFERROR(SUMIFS(Infrastructure[2023],
Infrastructure[[variable_type]:[variable_type]],"H2_outflow",
Infrastructure[[cluster]:[cluster]],$B$513,
Infrastructure[[pipe_cluster_end]:[pipe_cluster_end]],$B514)*PJ2TWh,"")</f>
        <v>0</v>
      </c>
      <c r="F514" s="51">
        <f>IFERROR(SUMIFS(Infrastructure[2024],
Infrastructure[[variable_type]:[variable_type]],"H2_outflow",
Infrastructure[[cluster]:[cluster]],$B$513,
Infrastructure[[pipe_cluster_end]:[pipe_cluster_end]],$B514)*PJ2TWh,"")</f>
        <v>0</v>
      </c>
      <c r="G514" s="51">
        <f>IFERROR(SUMIFS(Infrastructure[2025],
Infrastructure[[variable_type]:[variable_type]],"H2_outflow",
Infrastructure[[cluster]:[cluster]],$B$513,
Infrastructure[[pipe_cluster_end]:[pipe_cluster_end]],$B514)*PJ2TWh,"")</f>
        <v>0</v>
      </c>
      <c r="H514" s="51">
        <f>IFERROR(SUMIFS(Infrastructure[2026],
Infrastructure[[variable_type]:[variable_type]],"H2_outflow",
Infrastructure[[cluster]:[cluster]],$B$513,
Infrastructure[[pipe_cluster_end]:[pipe_cluster_end]],$B514)*PJ2TWh,"")</f>
        <v>0</v>
      </c>
      <c r="I514" s="51">
        <f>IFERROR(SUMIFS(Infrastructure[2027],
Infrastructure[[variable_type]:[variable_type]],"H2_outflow",
Infrastructure[[cluster]:[cluster]],$B$513,
Infrastructure[[pipe_cluster_end]:[pipe_cluster_end]],$B514)*PJ2TWh,"")</f>
        <v>0</v>
      </c>
      <c r="J514" s="51">
        <f>IFERROR(SUMIFS(Infrastructure[2028],
Infrastructure[[variable_type]:[variable_type]],"H2_outflow",
Infrastructure[[cluster]:[cluster]],$B$513,
Infrastructure[[pipe_cluster_end]:[pipe_cluster_end]],$B514)*PJ2TWh,"")</f>
        <v>0</v>
      </c>
      <c r="K514" s="51">
        <f>IFERROR(SUMIFS(Infrastructure[2029],
Infrastructure[[variable_type]:[variable_type]],"H2_outflow",
Infrastructure[[cluster]:[cluster]],$B$513,
Infrastructure[[pipe_cluster_end]:[pipe_cluster_end]],$B514)*PJ2TWh,"")</f>
        <v>0</v>
      </c>
      <c r="L514" s="51">
        <f>IFERROR(SUMIFS(Infrastructure[2030],
Infrastructure[[variable_type]:[variable_type]],"H2_outflow",
Infrastructure[[cluster]:[cluster]],$B$513,
Infrastructure[[pipe_cluster_end]:[pipe_cluster_end]],$B514)*PJ2TWh,"")</f>
        <v>0</v>
      </c>
      <c r="M514" s="51">
        <f>IFERROR(SUMIFS(Infrastructure[2031],
Infrastructure[[variable_type]:[variable_type]],"H2_outflow",
Infrastructure[[cluster]:[cluster]],$B$513,
Infrastructure[[pipe_cluster_end]:[pipe_cluster_end]],$B514)*PJ2TWh,"")</f>
        <v>0</v>
      </c>
      <c r="N514" s="51">
        <f>IFERROR(SUMIFS(Infrastructure[2032],
Infrastructure[[variable_type]:[variable_type]],"H2_outflow",
Infrastructure[[cluster]:[cluster]],$B$513,
Infrastructure[[pipe_cluster_end]:[pipe_cluster_end]],$B514)*PJ2TWh,"")</f>
        <v>0</v>
      </c>
      <c r="O514" s="51">
        <f>IFERROR(SUMIFS(Infrastructure[2033],
Infrastructure[[variable_type]:[variable_type]],"H2_outflow",
Infrastructure[[cluster]:[cluster]],$B$513,
Infrastructure[[pipe_cluster_end]:[pipe_cluster_end]],$B514)*PJ2TWh,"")</f>
        <v>0</v>
      </c>
      <c r="P514" s="51">
        <f>IFERROR(SUMIFS(Infrastructure[2034],
Infrastructure[[variable_type]:[variable_type]],"H2_outflow",
Infrastructure[[cluster]:[cluster]],$B$513,
Infrastructure[[pipe_cluster_end]:[pipe_cluster_end]],$B514)*PJ2TWh,"")</f>
        <v>0</v>
      </c>
      <c r="Q514" s="51">
        <f>IFERROR(SUMIFS(Infrastructure[2035],
Infrastructure[[variable_type]:[variable_type]],"H2_outflow",
Infrastructure[[cluster]:[cluster]],$B$513,
Infrastructure[[pipe_cluster_end]:[pipe_cluster_end]],$B514)*PJ2TWh,"")</f>
        <v>0</v>
      </c>
      <c r="R514" s="51">
        <f>IFERROR(SUMIFS(Infrastructure[2036],
Infrastructure[[variable_type]:[variable_type]],"H2_outflow",
Infrastructure[[cluster]:[cluster]],$B$513,
Infrastructure[[pipe_cluster_end]:[pipe_cluster_end]],$B514)*PJ2TWh,"")</f>
        <v>0</v>
      </c>
      <c r="S514" s="51">
        <f>IFERROR(SUMIFS(Infrastructure[2037],
Infrastructure[[variable_type]:[variable_type]],"H2_outflow",
Infrastructure[[cluster]:[cluster]],$B$513,
Infrastructure[[pipe_cluster_end]:[pipe_cluster_end]],$B514)*PJ2TWh,"")</f>
        <v>0</v>
      </c>
      <c r="T514" s="51">
        <f>IFERROR(SUMIFS(Infrastructure[2038],
Infrastructure[[variable_type]:[variable_type]],"H2_outflow",
Infrastructure[[cluster]:[cluster]],$B$513,
Infrastructure[[pipe_cluster_end]:[pipe_cluster_end]],$B514)*PJ2TWh,"")</f>
        <v>0</v>
      </c>
      <c r="U514" s="51">
        <f>IFERROR(SUMIFS(Infrastructure[2039],
Infrastructure[[variable_type]:[variable_type]],"H2_outflow",
Infrastructure[[cluster]:[cluster]],$B$513,
Infrastructure[[pipe_cluster_end]:[pipe_cluster_end]],$B514)*PJ2TWh,"")</f>
        <v>0</v>
      </c>
      <c r="V514" s="51">
        <f>IFERROR(SUMIFS(Infrastructure[2040],
Infrastructure[[variable_type]:[variable_type]],"H2_outflow",
Infrastructure[[cluster]:[cluster]],$B$513,
Infrastructure[[pipe_cluster_end]:[pipe_cluster_end]],$B514)*PJ2TWh,"")</f>
        <v>0</v>
      </c>
      <c r="W514" s="51">
        <f>IFERROR(SUMIFS(Infrastructure[2041],
Infrastructure[[variable_type]:[variable_type]],"H2_outflow",
Infrastructure[[cluster]:[cluster]],$B$513,
Infrastructure[[pipe_cluster_end]:[pipe_cluster_end]],$B514)*PJ2TWh,"")</f>
        <v>0</v>
      </c>
      <c r="X514" s="51">
        <f>IFERROR(SUMIFS(Infrastructure[2042],
Infrastructure[[variable_type]:[variable_type]],"H2_outflow",
Infrastructure[[cluster]:[cluster]],$B$513,
Infrastructure[[pipe_cluster_end]:[pipe_cluster_end]],$B514)*PJ2TWh,"")</f>
        <v>0</v>
      </c>
      <c r="Y514" s="51">
        <f>IFERROR(SUMIFS(Infrastructure[2043],
Infrastructure[[variable_type]:[variable_type]],"H2_outflow",
Infrastructure[[cluster]:[cluster]],$B$513,
Infrastructure[[pipe_cluster_end]:[pipe_cluster_end]],$B514)*PJ2TWh,"")</f>
        <v>0</v>
      </c>
      <c r="Z514" s="51">
        <f>IFERROR(SUMIFS(Infrastructure[2044],
Infrastructure[[variable_type]:[variable_type]],"H2_outflow",
Infrastructure[[cluster]:[cluster]],$B$513,
Infrastructure[[pipe_cluster_end]:[pipe_cluster_end]],$B514)*PJ2TWh,"")</f>
        <v>0</v>
      </c>
      <c r="AA514" s="51">
        <f>IFERROR(SUMIFS(Infrastructure[2045],
Infrastructure[[variable_type]:[variable_type]],"H2_outflow",
Infrastructure[[cluster]:[cluster]],$B$513,
Infrastructure[[pipe_cluster_end]:[pipe_cluster_end]],$B514)*PJ2TWh,"")</f>
        <v>0</v>
      </c>
      <c r="AB514" s="51">
        <f>IFERROR(SUMIFS(Infrastructure[2046],
Infrastructure[[variable_type]:[variable_type]],"H2_outflow",
Infrastructure[[cluster]:[cluster]],$B$513,
Infrastructure[[pipe_cluster_end]:[pipe_cluster_end]],$B514)*PJ2TWh,"")</f>
        <v>0</v>
      </c>
      <c r="AC514" s="51">
        <f>IFERROR(SUMIFS(Infrastructure[2047],
Infrastructure[[variable_type]:[variable_type]],"H2_outflow",
Infrastructure[[cluster]:[cluster]],$B$513,
Infrastructure[[pipe_cluster_end]:[pipe_cluster_end]],$B514)*PJ2TWh,"")</f>
        <v>0</v>
      </c>
      <c r="AD514" s="51">
        <f>IFERROR(SUMIFS(Infrastructure[2048],
Infrastructure[[variable_type]:[variable_type]],"H2_outflow",
Infrastructure[[cluster]:[cluster]],$B$513,
Infrastructure[[pipe_cluster_end]:[pipe_cluster_end]],$B514)*PJ2TWh,"")</f>
        <v>0</v>
      </c>
      <c r="AE514" s="51">
        <f>IFERROR(SUMIFS(Infrastructure[2049],
Infrastructure[[variable_type]:[variable_type]],"H2_outflow",
Infrastructure[[cluster]:[cluster]],$B$513,
Infrastructure[[pipe_cluster_end]:[pipe_cluster_end]],$B514)*PJ2TWh,"")</f>
        <v>0</v>
      </c>
      <c r="AF514" s="51">
        <f>IFERROR(SUMIFS(Infrastructure[2050],
Infrastructure[[variable_type]:[variable_type]],"H2_outflow",
Infrastructure[[cluster]:[cluster]],$B$513,
Infrastructure[[pipe_cluster_end]:[pipe_cluster_end]],$B514)*PJ2TWh,"")</f>
        <v>0</v>
      </c>
      <c r="AG514" s="51">
        <f>IFERROR(SUMIFS(Infrastructure[2051],
Infrastructure[[variable_type]:[variable_type]],"H2_outflow",
Infrastructure[[cluster]:[cluster]],$B$513,
Infrastructure[[pipe_cluster_end]:[pipe_cluster_end]],$B514)*PJ2TWh,"")</f>
        <v>0</v>
      </c>
    </row>
    <row r="515" spans="2:33" x14ac:dyDescent="0.45">
      <c r="B515" s="24" t="s">
        <v>52</v>
      </c>
      <c r="C515" s="51">
        <f>IFERROR(SUMIFS(Infrastructure[2021],
Infrastructure[[variable_type]:[variable_type]],"H2_outflow",
Infrastructure[[cluster]:[cluster]],$B$513,
Infrastructure[[pipe_cluster_end]:[pipe_cluster_end]],$B515)*PJ2TWh,"")</f>
        <v>0</v>
      </c>
      <c r="D515" s="51">
        <f>IFERROR(SUMIFS(Infrastructure[2022],
Infrastructure[[variable_type]:[variable_type]],"H2_outflow",
Infrastructure[[cluster]:[cluster]],$B$513,
Infrastructure[[pipe_cluster_end]:[pipe_cluster_end]],$B515)*PJ2TWh,"")</f>
        <v>0</v>
      </c>
      <c r="E515" s="51">
        <f>IFERROR(SUMIFS(Infrastructure[2023],
Infrastructure[[variable_type]:[variable_type]],"H2_outflow",
Infrastructure[[cluster]:[cluster]],$B$513,
Infrastructure[[pipe_cluster_end]:[pipe_cluster_end]],$B515)*PJ2TWh,"")</f>
        <v>0</v>
      </c>
      <c r="F515" s="51">
        <f>IFERROR(SUMIFS(Infrastructure[2024],
Infrastructure[[variable_type]:[variable_type]],"H2_outflow",
Infrastructure[[cluster]:[cluster]],$B$513,
Infrastructure[[pipe_cluster_end]:[pipe_cluster_end]],$B515)*PJ2TWh,"")</f>
        <v>0</v>
      </c>
      <c r="G515" s="51">
        <f>IFERROR(SUMIFS(Infrastructure[2025],
Infrastructure[[variable_type]:[variable_type]],"H2_outflow",
Infrastructure[[cluster]:[cluster]],$B$513,
Infrastructure[[pipe_cluster_end]:[pipe_cluster_end]],$B515)*PJ2TWh,"")</f>
        <v>0</v>
      </c>
      <c r="H515" s="51">
        <f>IFERROR(SUMIFS(Infrastructure[2026],
Infrastructure[[variable_type]:[variable_type]],"H2_outflow",
Infrastructure[[cluster]:[cluster]],$B$513,
Infrastructure[[pipe_cluster_end]:[pipe_cluster_end]],$B515)*PJ2TWh,"")</f>
        <v>0</v>
      </c>
      <c r="I515" s="51">
        <f>IFERROR(SUMIFS(Infrastructure[2027],
Infrastructure[[variable_type]:[variable_type]],"H2_outflow",
Infrastructure[[cluster]:[cluster]],$B$513,
Infrastructure[[pipe_cluster_end]:[pipe_cluster_end]],$B515)*PJ2TWh,"")</f>
        <v>0</v>
      </c>
      <c r="J515" s="51">
        <f>IFERROR(SUMIFS(Infrastructure[2028],
Infrastructure[[variable_type]:[variable_type]],"H2_outflow",
Infrastructure[[cluster]:[cluster]],$B$513,
Infrastructure[[pipe_cluster_end]:[pipe_cluster_end]],$B515)*PJ2TWh,"")</f>
        <v>0</v>
      </c>
      <c r="K515" s="51">
        <f>IFERROR(SUMIFS(Infrastructure[2029],
Infrastructure[[variable_type]:[variable_type]],"H2_outflow",
Infrastructure[[cluster]:[cluster]],$B$513,
Infrastructure[[pipe_cluster_end]:[pipe_cluster_end]],$B515)*PJ2TWh,"")</f>
        <v>0</v>
      </c>
      <c r="L515" s="51">
        <f>IFERROR(SUMIFS(Infrastructure[2030],
Infrastructure[[variable_type]:[variable_type]],"H2_outflow",
Infrastructure[[cluster]:[cluster]],$B$513,
Infrastructure[[pipe_cluster_end]:[pipe_cluster_end]],$B515)*PJ2TWh,"")</f>
        <v>0</v>
      </c>
      <c r="M515" s="51">
        <f>IFERROR(SUMIFS(Infrastructure[2031],
Infrastructure[[variable_type]:[variable_type]],"H2_outflow",
Infrastructure[[cluster]:[cluster]],$B$513,
Infrastructure[[pipe_cluster_end]:[pipe_cluster_end]],$B515)*PJ2TWh,"")</f>
        <v>0</v>
      </c>
      <c r="N515" s="51">
        <f>IFERROR(SUMIFS(Infrastructure[2032],
Infrastructure[[variable_type]:[variable_type]],"H2_outflow",
Infrastructure[[cluster]:[cluster]],$B$513,
Infrastructure[[pipe_cluster_end]:[pipe_cluster_end]],$B515)*PJ2TWh,"")</f>
        <v>0</v>
      </c>
      <c r="O515" s="51">
        <f>IFERROR(SUMIFS(Infrastructure[2033],
Infrastructure[[variable_type]:[variable_type]],"H2_outflow",
Infrastructure[[cluster]:[cluster]],$B$513,
Infrastructure[[pipe_cluster_end]:[pipe_cluster_end]],$B515)*PJ2TWh,"")</f>
        <v>0</v>
      </c>
      <c r="P515" s="51">
        <f>IFERROR(SUMIFS(Infrastructure[2034],
Infrastructure[[variable_type]:[variable_type]],"H2_outflow",
Infrastructure[[cluster]:[cluster]],$B$513,
Infrastructure[[pipe_cluster_end]:[pipe_cluster_end]],$B515)*PJ2TWh,"")</f>
        <v>0</v>
      </c>
      <c r="Q515" s="51">
        <f>IFERROR(SUMIFS(Infrastructure[2035],
Infrastructure[[variable_type]:[variable_type]],"H2_outflow",
Infrastructure[[cluster]:[cluster]],$B$513,
Infrastructure[[pipe_cluster_end]:[pipe_cluster_end]],$B515)*PJ2TWh,"")</f>
        <v>0</v>
      </c>
      <c r="R515" s="51">
        <f>IFERROR(SUMIFS(Infrastructure[2036],
Infrastructure[[variable_type]:[variable_type]],"H2_outflow",
Infrastructure[[cluster]:[cluster]],$B$513,
Infrastructure[[pipe_cluster_end]:[pipe_cluster_end]],$B515)*PJ2TWh,"")</f>
        <v>0</v>
      </c>
      <c r="S515" s="51">
        <f>IFERROR(SUMIFS(Infrastructure[2037],
Infrastructure[[variable_type]:[variable_type]],"H2_outflow",
Infrastructure[[cluster]:[cluster]],$B$513,
Infrastructure[[pipe_cluster_end]:[pipe_cluster_end]],$B515)*PJ2TWh,"")</f>
        <v>0</v>
      </c>
      <c r="T515" s="51">
        <f>IFERROR(SUMIFS(Infrastructure[2038],
Infrastructure[[variable_type]:[variable_type]],"H2_outflow",
Infrastructure[[cluster]:[cluster]],$B$513,
Infrastructure[[pipe_cluster_end]:[pipe_cluster_end]],$B515)*PJ2TWh,"")</f>
        <v>0</v>
      </c>
      <c r="U515" s="51">
        <f>IFERROR(SUMIFS(Infrastructure[2039],
Infrastructure[[variable_type]:[variable_type]],"H2_outflow",
Infrastructure[[cluster]:[cluster]],$B$513,
Infrastructure[[pipe_cluster_end]:[pipe_cluster_end]],$B515)*PJ2TWh,"")</f>
        <v>0</v>
      </c>
      <c r="V515" s="51">
        <f>IFERROR(SUMIFS(Infrastructure[2040],
Infrastructure[[variable_type]:[variable_type]],"H2_outflow",
Infrastructure[[cluster]:[cluster]],$B$513,
Infrastructure[[pipe_cluster_end]:[pipe_cluster_end]],$B515)*PJ2TWh,"")</f>
        <v>0</v>
      </c>
      <c r="W515" s="51">
        <f>IFERROR(SUMIFS(Infrastructure[2041],
Infrastructure[[variable_type]:[variable_type]],"H2_outflow",
Infrastructure[[cluster]:[cluster]],$B$513,
Infrastructure[[pipe_cluster_end]:[pipe_cluster_end]],$B515)*PJ2TWh,"")</f>
        <v>0</v>
      </c>
      <c r="X515" s="51">
        <f>IFERROR(SUMIFS(Infrastructure[2042],
Infrastructure[[variable_type]:[variable_type]],"H2_outflow",
Infrastructure[[cluster]:[cluster]],$B$513,
Infrastructure[[pipe_cluster_end]:[pipe_cluster_end]],$B515)*PJ2TWh,"")</f>
        <v>0</v>
      </c>
      <c r="Y515" s="51">
        <f>IFERROR(SUMIFS(Infrastructure[2043],
Infrastructure[[variable_type]:[variable_type]],"H2_outflow",
Infrastructure[[cluster]:[cluster]],$B$513,
Infrastructure[[pipe_cluster_end]:[pipe_cluster_end]],$B515)*PJ2TWh,"")</f>
        <v>0</v>
      </c>
      <c r="Z515" s="51">
        <f>IFERROR(SUMIFS(Infrastructure[2044],
Infrastructure[[variable_type]:[variable_type]],"H2_outflow",
Infrastructure[[cluster]:[cluster]],$B$513,
Infrastructure[[pipe_cluster_end]:[pipe_cluster_end]],$B515)*PJ2TWh,"")</f>
        <v>0</v>
      </c>
      <c r="AA515" s="51">
        <f>IFERROR(SUMIFS(Infrastructure[2045],
Infrastructure[[variable_type]:[variable_type]],"H2_outflow",
Infrastructure[[cluster]:[cluster]],$B$513,
Infrastructure[[pipe_cluster_end]:[pipe_cluster_end]],$B515)*PJ2TWh,"")</f>
        <v>0</v>
      </c>
      <c r="AB515" s="51">
        <f>IFERROR(SUMIFS(Infrastructure[2046],
Infrastructure[[variable_type]:[variable_type]],"H2_outflow",
Infrastructure[[cluster]:[cluster]],$B$513,
Infrastructure[[pipe_cluster_end]:[pipe_cluster_end]],$B515)*PJ2TWh,"")</f>
        <v>0</v>
      </c>
      <c r="AC515" s="51">
        <f>IFERROR(SUMIFS(Infrastructure[2047],
Infrastructure[[variable_type]:[variable_type]],"H2_outflow",
Infrastructure[[cluster]:[cluster]],$B$513,
Infrastructure[[pipe_cluster_end]:[pipe_cluster_end]],$B515)*PJ2TWh,"")</f>
        <v>0</v>
      </c>
      <c r="AD515" s="51">
        <f>IFERROR(SUMIFS(Infrastructure[2048],
Infrastructure[[variable_type]:[variable_type]],"H2_outflow",
Infrastructure[[cluster]:[cluster]],$B$513,
Infrastructure[[pipe_cluster_end]:[pipe_cluster_end]],$B515)*PJ2TWh,"")</f>
        <v>0</v>
      </c>
      <c r="AE515" s="51">
        <f>IFERROR(SUMIFS(Infrastructure[2049],
Infrastructure[[variable_type]:[variable_type]],"H2_outflow",
Infrastructure[[cluster]:[cluster]],$B$513,
Infrastructure[[pipe_cluster_end]:[pipe_cluster_end]],$B515)*PJ2TWh,"")</f>
        <v>0</v>
      </c>
      <c r="AF515" s="51">
        <f>IFERROR(SUMIFS(Infrastructure[2050],
Infrastructure[[variable_type]:[variable_type]],"H2_outflow",
Infrastructure[[cluster]:[cluster]],$B$513,
Infrastructure[[pipe_cluster_end]:[pipe_cluster_end]],$B515)*PJ2TWh,"")</f>
        <v>0</v>
      </c>
      <c r="AG515" s="51">
        <f>IFERROR(SUMIFS(Infrastructure[2051],
Infrastructure[[variable_type]:[variable_type]],"H2_outflow",
Infrastructure[[cluster]:[cluster]],$B$513,
Infrastructure[[pipe_cluster_end]:[pipe_cluster_end]],$B515)*PJ2TWh,"")</f>
        <v>0</v>
      </c>
    </row>
    <row r="516" spans="2:33" x14ac:dyDescent="0.45">
      <c r="B516" s="24" t="s">
        <v>71</v>
      </c>
      <c r="C516" s="51">
        <f>IFERROR(SUMIFS(Infrastructure[2021],
Infrastructure[[variable_type]:[variable_type]],"H2_outflow",
Infrastructure[[cluster]:[cluster]],$B$513,
Infrastructure[[pipe_cluster_end]:[pipe_cluster_end]],$B516)*PJ2TWh,"")</f>
        <v>0</v>
      </c>
      <c r="D516" s="51">
        <f>IFERROR(SUMIFS(Infrastructure[2022],
Infrastructure[[variable_type]:[variable_type]],"H2_outflow",
Infrastructure[[cluster]:[cluster]],$B$513,
Infrastructure[[pipe_cluster_end]:[pipe_cluster_end]],$B516)*PJ2TWh,"")</f>
        <v>0</v>
      </c>
      <c r="E516" s="51">
        <f>IFERROR(SUMIFS(Infrastructure[2023],
Infrastructure[[variable_type]:[variable_type]],"H2_outflow",
Infrastructure[[cluster]:[cluster]],$B$513,
Infrastructure[[pipe_cluster_end]:[pipe_cluster_end]],$B516)*PJ2TWh,"")</f>
        <v>0</v>
      </c>
      <c r="F516" s="51">
        <f>IFERROR(SUMIFS(Infrastructure[2024],
Infrastructure[[variable_type]:[variable_type]],"H2_outflow",
Infrastructure[[cluster]:[cluster]],$B$513,
Infrastructure[[pipe_cluster_end]:[pipe_cluster_end]],$B516)*PJ2TWh,"")</f>
        <v>0</v>
      </c>
      <c r="G516" s="51">
        <f>IFERROR(SUMIFS(Infrastructure[2025],
Infrastructure[[variable_type]:[variable_type]],"H2_outflow",
Infrastructure[[cluster]:[cluster]],$B$513,
Infrastructure[[pipe_cluster_end]:[pipe_cluster_end]],$B516)*PJ2TWh,"")</f>
        <v>0</v>
      </c>
      <c r="H516" s="51">
        <f>IFERROR(SUMIFS(Infrastructure[2026],
Infrastructure[[variable_type]:[variable_type]],"H2_outflow",
Infrastructure[[cluster]:[cluster]],$B$513,
Infrastructure[[pipe_cluster_end]:[pipe_cluster_end]],$B516)*PJ2TWh,"")</f>
        <v>0</v>
      </c>
      <c r="I516" s="51">
        <f>IFERROR(SUMIFS(Infrastructure[2027],
Infrastructure[[variable_type]:[variable_type]],"H2_outflow",
Infrastructure[[cluster]:[cluster]],$B$513,
Infrastructure[[pipe_cluster_end]:[pipe_cluster_end]],$B516)*PJ2TWh,"")</f>
        <v>0</v>
      </c>
      <c r="J516" s="51">
        <f>IFERROR(SUMIFS(Infrastructure[2028],
Infrastructure[[variable_type]:[variable_type]],"H2_outflow",
Infrastructure[[cluster]:[cluster]],$B$513,
Infrastructure[[pipe_cluster_end]:[pipe_cluster_end]],$B516)*PJ2TWh,"")</f>
        <v>0</v>
      </c>
      <c r="K516" s="51">
        <f>IFERROR(SUMIFS(Infrastructure[2029],
Infrastructure[[variable_type]:[variable_type]],"H2_outflow",
Infrastructure[[cluster]:[cluster]],$B$513,
Infrastructure[[pipe_cluster_end]:[pipe_cluster_end]],$B516)*PJ2TWh,"")</f>
        <v>0</v>
      </c>
      <c r="L516" s="51">
        <f>IFERROR(SUMIFS(Infrastructure[2030],
Infrastructure[[variable_type]:[variable_type]],"H2_outflow",
Infrastructure[[cluster]:[cluster]],$B$513,
Infrastructure[[pipe_cluster_end]:[pipe_cluster_end]],$B516)*PJ2TWh,"")</f>
        <v>0</v>
      </c>
      <c r="M516" s="51">
        <f>IFERROR(SUMIFS(Infrastructure[2031],
Infrastructure[[variable_type]:[variable_type]],"H2_outflow",
Infrastructure[[cluster]:[cluster]],$B$513,
Infrastructure[[pipe_cluster_end]:[pipe_cluster_end]],$B516)*PJ2TWh,"")</f>
        <v>0</v>
      </c>
      <c r="N516" s="51">
        <f>IFERROR(SUMIFS(Infrastructure[2032],
Infrastructure[[variable_type]:[variable_type]],"H2_outflow",
Infrastructure[[cluster]:[cluster]],$B$513,
Infrastructure[[pipe_cluster_end]:[pipe_cluster_end]],$B516)*PJ2TWh,"")</f>
        <v>0</v>
      </c>
      <c r="O516" s="51">
        <f>IFERROR(SUMIFS(Infrastructure[2033],
Infrastructure[[variable_type]:[variable_type]],"H2_outflow",
Infrastructure[[cluster]:[cluster]],$B$513,
Infrastructure[[pipe_cluster_end]:[pipe_cluster_end]],$B516)*PJ2TWh,"")</f>
        <v>0</v>
      </c>
      <c r="P516" s="51">
        <f>IFERROR(SUMIFS(Infrastructure[2034],
Infrastructure[[variable_type]:[variable_type]],"H2_outflow",
Infrastructure[[cluster]:[cluster]],$B$513,
Infrastructure[[pipe_cluster_end]:[pipe_cluster_end]],$B516)*PJ2TWh,"")</f>
        <v>0</v>
      </c>
      <c r="Q516" s="51">
        <f>IFERROR(SUMIFS(Infrastructure[2035],
Infrastructure[[variable_type]:[variable_type]],"H2_outflow",
Infrastructure[[cluster]:[cluster]],$B$513,
Infrastructure[[pipe_cluster_end]:[pipe_cluster_end]],$B516)*PJ2TWh,"")</f>
        <v>0</v>
      </c>
      <c r="R516" s="51">
        <f>IFERROR(SUMIFS(Infrastructure[2036],
Infrastructure[[variable_type]:[variable_type]],"H2_outflow",
Infrastructure[[cluster]:[cluster]],$B$513,
Infrastructure[[pipe_cluster_end]:[pipe_cluster_end]],$B516)*PJ2TWh,"")</f>
        <v>0</v>
      </c>
      <c r="S516" s="51">
        <f>IFERROR(SUMIFS(Infrastructure[2037],
Infrastructure[[variable_type]:[variable_type]],"H2_outflow",
Infrastructure[[cluster]:[cluster]],$B$513,
Infrastructure[[pipe_cluster_end]:[pipe_cluster_end]],$B516)*PJ2TWh,"")</f>
        <v>0</v>
      </c>
      <c r="T516" s="51">
        <f>IFERROR(SUMIFS(Infrastructure[2038],
Infrastructure[[variable_type]:[variable_type]],"H2_outflow",
Infrastructure[[cluster]:[cluster]],$B$513,
Infrastructure[[pipe_cluster_end]:[pipe_cluster_end]],$B516)*PJ2TWh,"")</f>
        <v>0</v>
      </c>
      <c r="U516" s="51">
        <f>IFERROR(SUMIFS(Infrastructure[2039],
Infrastructure[[variable_type]:[variable_type]],"H2_outflow",
Infrastructure[[cluster]:[cluster]],$B$513,
Infrastructure[[pipe_cluster_end]:[pipe_cluster_end]],$B516)*PJ2TWh,"")</f>
        <v>0</v>
      </c>
      <c r="V516" s="51">
        <f>IFERROR(SUMIFS(Infrastructure[2040],
Infrastructure[[variable_type]:[variable_type]],"H2_outflow",
Infrastructure[[cluster]:[cluster]],$B$513,
Infrastructure[[pipe_cluster_end]:[pipe_cluster_end]],$B516)*PJ2TWh,"")</f>
        <v>0</v>
      </c>
      <c r="W516" s="51">
        <f>IFERROR(SUMIFS(Infrastructure[2041],
Infrastructure[[variable_type]:[variable_type]],"H2_outflow",
Infrastructure[[cluster]:[cluster]],$B$513,
Infrastructure[[pipe_cluster_end]:[pipe_cluster_end]],$B516)*PJ2TWh,"")</f>
        <v>0</v>
      </c>
      <c r="X516" s="51">
        <f>IFERROR(SUMIFS(Infrastructure[2042],
Infrastructure[[variable_type]:[variable_type]],"H2_outflow",
Infrastructure[[cluster]:[cluster]],$B$513,
Infrastructure[[pipe_cluster_end]:[pipe_cluster_end]],$B516)*PJ2TWh,"")</f>
        <v>0</v>
      </c>
      <c r="Y516" s="51">
        <f>IFERROR(SUMIFS(Infrastructure[2043],
Infrastructure[[variable_type]:[variable_type]],"H2_outflow",
Infrastructure[[cluster]:[cluster]],$B$513,
Infrastructure[[pipe_cluster_end]:[pipe_cluster_end]],$B516)*PJ2TWh,"")</f>
        <v>0</v>
      </c>
      <c r="Z516" s="51">
        <f>IFERROR(SUMIFS(Infrastructure[2044],
Infrastructure[[variable_type]:[variable_type]],"H2_outflow",
Infrastructure[[cluster]:[cluster]],$B$513,
Infrastructure[[pipe_cluster_end]:[pipe_cluster_end]],$B516)*PJ2TWh,"")</f>
        <v>0</v>
      </c>
      <c r="AA516" s="51">
        <f>IFERROR(SUMIFS(Infrastructure[2045],
Infrastructure[[variable_type]:[variable_type]],"H2_outflow",
Infrastructure[[cluster]:[cluster]],$B$513,
Infrastructure[[pipe_cluster_end]:[pipe_cluster_end]],$B516)*PJ2TWh,"")</f>
        <v>0</v>
      </c>
      <c r="AB516" s="51">
        <f>IFERROR(SUMIFS(Infrastructure[2046],
Infrastructure[[variable_type]:[variable_type]],"H2_outflow",
Infrastructure[[cluster]:[cluster]],$B$513,
Infrastructure[[pipe_cluster_end]:[pipe_cluster_end]],$B516)*PJ2TWh,"")</f>
        <v>0</v>
      </c>
      <c r="AC516" s="51">
        <f>IFERROR(SUMIFS(Infrastructure[2047],
Infrastructure[[variable_type]:[variable_type]],"H2_outflow",
Infrastructure[[cluster]:[cluster]],$B$513,
Infrastructure[[pipe_cluster_end]:[pipe_cluster_end]],$B516)*PJ2TWh,"")</f>
        <v>0</v>
      </c>
      <c r="AD516" s="51">
        <f>IFERROR(SUMIFS(Infrastructure[2048],
Infrastructure[[variable_type]:[variable_type]],"H2_outflow",
Infrastructure[[cluster]:[cluster]],$B$513,
Infrastructure[[pipe_cluster_end]:[pipe_cluster_end]],$B516)*PJ2TWh,"")</f>
        <v>0</v>
      </c>
      <c r="AE516" s="51">
        <f>IFERROR(SUMIFS(Infrastructure[2049],
Infrastructure[[variable_type]:[variable_type]],"H2_outflow",
Infrastructure[[cluster]:[cluster]],$B$513,
Infrastructure[[pipe_cluster_end]:[pipe_cluster_end]],$B516)*PJ2TWh,"")</f>
        <v>0</v>
      </c>
      <c r="AF516" s="51">
        <f>IFERROR(SUMIFS(Infrastructure[2050],
Infrastructure[[variable_type]:[variable_type]],"H2_outflow",
Infrastructure[[cluster]:[cluster]],$B$513,
Infrastructure[[pipe_cluster_end]:[pipe_cluster_end]],$B516)*PJ2TWh,"")</f>
        <v>0</v>
      </c>
      <c r="AG516" s="51">
        <f>IFERROR(SUMIFS(Infrastructure[2051],
Infrastructure[[variable_type]:[variable_type]],"H2_outflow",
Infrastructure[[cluster]:[cluster]],$B$513,
Infrastructure[[pipe_cluster_end]:[pipe_cluster_end]],$B516)*PJ2TWh,"")</f>
        <v>0</v>
      </c>
    </row>
    <row r="517" spans="2:33" x14ac:dyDescent="0.45">
      <c r="B517" s="24" t="s">
        <v>72</v>
      </c>
      <c r="C517" s="51">
        <f>IFERROR(SUMIFS(Infrastructure[2021],
Infrastructure[[variable_type]:[variable_type]],"H2_outflow",
Infrastructure[[cluster]:[cluster]],$B$513,
Infrastructure[[pipe_cluster_end]:[pipe_cluster_end]],$B517)*PJ2TWh,"")</f>
        <v>0</v>
      </c>
      <c r="D517" s="51">
        <f>IFERROR(SUMIFS(Infrastructure[2022],
Infrastructure[[variable_type]:[variable_type]],"H2_outflow",
Infrastructure[[cluster]:[cluster]],$B$513,
Infrastructure[[pipe_cluster_end]:[pipe_cluster_end]],$B517)*PJ2TWh,"")</f>
        <v>0</v>
      </c>
      <c r="E517" s="51">
        <f>IFERROR(SUMIFS(Infrastructure[2023],
Infrastructure[[variable_type]:[variable_type]],"H2_outflow",
Infrastructure[[cluster]:[cluster]],$B$513,
Infrastructure[[pipe_cluster_end]:[pipe_cluster_end]],$B517)*PJ2TWh,"")</f>
        <v>0</v>
      </c>
      <c r="F517" s="51">
        <f>IFERROR(SUMIFS(Infrastructure[2024],
Infrastructure[[variable_type]:[variable_type]],"H2_outflow",
Infrastructure[[cluster]:[cluster]],$B$513,
Infrastructure[[pipe_cluster_end]:[pipe_cluster_end]],$B517)*PJ2TWh,"")</f>
        <v>0</v>
      </c>
      <c r="G517" s="51">
        <f>IFERROR(SUMIFS(Infrastructure[2025],
Infrastructure[[variable_type]:[variable_type]],"H2_outflow",
Infrastructure[[cluster]:[cluster]],$B$513,
Infrastructure[[pipe_cluster_end]:[pipe_cluster_end]],$B517)*PJ2TWh,"")</f>
        <v>0</v>
      </c>
      <c r="H517" s="51">
        <f>IFERROR(SUMIFS(Infrastructure[2026],
Infrastructure[[variable_type]:[variable_type]],"H2_outflow",
Infrastructure[[cluster]:[cluster]],$B$513,
Infrastructure[[pipe_cluster_end]:[pipe_cluster_end]],$B517)*PJ2TWh,"")</f>
        <v>0</v>
      </c>
      <c r="I517" s="51">
        <f>IFERROR(SUMIFS(Infrastructure[2027],
Infrastructure[[variable_type]:[variable_type]],"H2_outflow",
Infrastructure[[cluster]:[cluster]],$B$513,
Infrastructure[[pipe_cluster_end]:[pipe_cluster_end]],$B517)*PJ2TWh,"")</f>
        <v>0</v>
      </c>
      <c r="J517" s="51">
        <f>IFERROR(SUMIFS(Infrastructure[2028],
Infrastructure[[variable_type]:[variable_type]],"H2_outflow",
Infrastructure[[cluster]:[cluster]],$B$513,
Infrastructure[[pipe_cluster_end]:[pipe_cluster_end]],$B517)*PJ2TWh,"")</f>
        <v>0</v>
      </c>
      <c r="K517" s="51">
        <f>IFERROR(SUMIFS(Infrastructure[2029],
Infrastructure[[variable_type]:[variable_type]],"H2_outflow",
Infrastructure[[cluster]:[cluster]],$B$513,
Infrastructure[[pipe_cluster_end]:[pipe_cluster_end]],$B517)*PJ2TWh,"")</f>
        <v>0</v>
      </c>
      <c r="L517" s="51">
        <f>IFERROR(SUMIFS(Infrastructure[2030],
Infrastructure[[variable_type]:[variable_type]],"H2_outflow",
Infrastructure[[cluster]:[cluster]],$B$513,
Infrastructure[[pipe_cluster_end]:[pipe_cluster_end]],$B517)*PJ2TWh,"")</f>
        <v>0</v>
      </c>
      <c r="M517" s="51">
        <f>IFERROR(SUMIFS(Infrastructure[2031],
Infrastructure[[variable_type]:[variable_type]],"H2_outflow",
Infrastructure[[cluster]:[cluster]],$B$513,
Infrastructure[[pipe_cluster_end]:[pipe_cluster_end]],$B517)*PJ2TWh,"")</f>
        <v>0</v>
      </c>
      <c r="N517" s="51">
        <f>IFERROR(SUMIFS(Infrastructure[2032],
Infrastructure[[variable_type]:[variable_type]],"H2_outflow",
Infrastructure[[cluster]:[cluster]],$B$513,
Infrastructure[[pipe_cluster_end]:[pipe_cluster_end]],$B517)*PJ2TWh,"")</f>
        <v>0</v>
      </c>
      <c r="O517" s="51">
        <f>IFERROR(SUMIFS(Infrastructure[2033],
Infrastructure[[variable_type]:[variable_type]],"H2_outflow",
Infrastructure[[cluster]:[cluster]],$B$513,
Infrastructure[[pipe_cluster_end]:[pipe_cluster_end]],$B517)*PJ2TWh,"")</f>
        <v>0</v>
      </c>
      <c r="P517" s="51">
        <f>IFERROR(SUMIFS(Infrastructure[2034],
Infrastructure[[variable_type]:[variable_type]],"H2_outflow",
Infrastructure[[cluster]:[cluster]],$B$513,
Infrastructure[[pipe_cluster_end]:[pipe_cluster_end]],$B517)*PJ2TWh,"")</f>
        <v>0</v>
      </c>
      <c r="Q517" s="51">
        <f>IFERROR(SUMIFS(Infrastructure[2035],
Infrastructure[[variable_type]:[variable_type]],"H2_outflow",
Infrastructure[[cluster]:[cluster]],$B$513,
Infrastructure[[pipe_cluster_end]:[pipe_cluster_end]],$B517)*PJ2TWh,"")</f>
        <v>0</v>
      </c>
      <c r="R517" s="51">
        <f>IFERROR(SUMIFS(Infrastructure[2036],
Infrastructure[[variable_type]:[variable_type]],"H2_outflow",
Infrastructure[[cluster]:[cluster]],$B$513,
Infrastructure[[pipe_cluster_end]:[pipe_cluster_end]],$B517)*PJ2TWh,"")</f>
        <v>0</v>
      </c>
      <c r="S517" s="51">
        <f>IFERROR(SUMIFS(Infrastructure[2037],
Infrastructure[[variable_type]:[variable_type]],"H2_outflow",
Infrastructure[[cluster]:[cluster]],$B$513,
Infrastructure[[pipe_cluster_end]:[pipe_cluster_end]],$B517)*PJ2TWh,"")</f>
        <v>0</v>
      </c>
      <c r="T517" s="51">
        <f>IFERROR(SUMIFS(Infrastructure[2038],
Infrastructure[[variable_type]:[variable_type]],"H2_outflow",
Infrastructure[[cluster]:[cluster]],$B$513,
Infrastructure[[pipe_cluster_end]:[pipe_cluster_end]],$B517)*PJ2TWh,"")</f>
        <v>0</v>
      </c>
      <c r="U517" s="51">
        <f>IFERROR(SUMIFS(Infrastructure[2039],
Infrastructure[[variable_type]:[variable_type]],"H2_outflow",
Infrastructure[[cluster]:[cluster]],$B$513,
Infrastructure[[pipe_cluster_end]:[pipe_cluster_end]],$B517)*PJ2TWh,"")</f>
        <v>0</v>
      </c>
      <c r="V517" s="51">
        <f>IFERROR(SUMIFS(Infrastructure[2040],
Infrastructure[[variable_type]:[variable_type]],"H2_outflow",
Infrastructure[[cluster]:[cluster]],$B$513,
Infrastructure[[pipe_cluster_end]:[pipe_cluster_end]],$B517)*PJ2TWh,"")</f>
        <v>0</v>
      </c>
      <c r="W517" s="51">
        <f>IFERROR(SUMIFS(Infrastructure[2041],
Infrastructure[[variable_type]:[variable_type]],"H2_outflow",
Infrastructure[[cluster]:[cluster]],$B$513,
Infrastructure[[pipe_cluster_end]:[pipe_cluster_end]],$B517)*PJ2TWh,"")</f>
        <v>0</v>
      </c>
      <c r="X517" s="51">
        <f>IFERROR(SUMIFS(Infrastructure[2042],
Infrastructure[[variable_type]:[variable_type]],"H2_outflow",
Infrastructure[[cluster]:[cluster]],$B$513,
Infrastructure[[pipe_cluster_end]:[pipe_cluster_end]],$B517)*PJ2TWh,"")</f>
        <v>0</v>
      </c>
      <c r="Y517" s="51">
        <f>IFERROR(SUMIFS(Infrastructure[2043],
Infrastructure[[variable_type]:[variable_type]],"H2_outflow",
Infrastructure[[cluster]:[cluster]],$B$513,
Infrastructure[[pipe_cluster_end]:[pipe_cluster_end]],$B517)*PJ2TWh,"")</f>
        <v>0</v>
      </c>
      <c r="Z517" s="51">
        <f>IFERROR(SUMIFS(Infrastructure[2044],
Infrastructure[[variable_type]:[variable_type]],"H2_outflow",
Infrastructure[[cluster]:[cluster]],$B$513,
Infrastructure[[pipe_cluster_end]:[pipe_cluster_end]],$B517)*PJ2TWh,"")</f>
        <v>0</v>
      </c>
      <c r="AA517" s="51">
        <f>IFERROR(SUMIFS(Infrastructure[2045],
Infrastructure[[variable_type]:[variable_type]],"H2_outflow",
Infrastructure[[cluster]:[cluster]],$B$513,
Infrastructure[[pipe_cluster_end]:[pipe_cluster_end]],$B517)*PJ2TWh,"")</f>
        <v>0</v>
      </c>
      <c r="AB517" s="51">
        <f>IFERROR(SUMIFS(Infrastructure[2046],
Infrastructure[[variable_type]:[variable_type]],"H2_outflow",
Infrastructure[[cluster]:[cluster]],$B$513,
Infrastructure[[pipe_cluster_end]:[pipe_cluster_end]],$B517)*PJ2TWh,"")</f>
        <v>0</v>
      </c>
      <c r="AC517" s="51">
        <f>IFERROR(SUMIFS(Infrastructure[2047],
Infrastructure[[variable_type]:[variable_type]],"H2_outflow",
Infrastructure[[cluster]:[cluster]],$B$513,
Infrastructure[[pipe_cluster_end]:[pipe_cluster_end]],$B517)*PJ2TWh,"")</f>
        <v>0</v>
      </c>
      <c r="AD517" s="51">
        <f>IFERROR(SUMIFS(Infrastructure[2048],
Infrastructure[[variable_type]:[variable_type]],"H2_outflow",
Infrastructure[[cluster]:[cluster]],$B$513,
Infrastructure[[pipe_cluster_end]:[pipe_cluster_end]],$B517)*PJ2TWh,"")</f>
        <v>0</v>
      </c>
      <c r="AE517" s="51">
        <f>IFERROR(SUMIFS(Infrastructure[2049],
Infrastructure[[variable_type]:[variable_type]],"H2_outflow",
Infrastructure[[cluster]:[cluster]],$B$513,
Infrastructure[[pipe_cluster_end]:[pipe_cluster_end]],$B517)*PJ2TWh,"")</f>
        <v>0</v>
      </c>
      <c r="AF517" s="51">
        <f>IFERROR(SUMIFS(Infrastructure[2050],
Infrastructure[[variable_type]:[variable_type]],"H2_outflow",
Infrastructure[[cluster]:[cluster]],$B$513,
Infrastructure[[pipe_cluster_end]:[pipe_cluster_end]],$B517)*PJ2TWh,"")</f>
        <v>0</v>
      </c>
      <c r="AG517" s="51">
        <f>IFERROR(SUMIFS(Infrastructure[2051],
Infrastructure[[variable_type]:[variable_type]],"H2_outflow",
Infrastructure[[cluster]:[cluster]],$B$513,
Infrastructure[[pipe_cluster_end]:[pipe_cluster_end]],$B517)*PJ2TWh,"")</f>
        <v>0</v>
      </c>
    </row>
    <row r="518" spans="2:33" x14ac:dyDescent="0.45">
      <c r="B518" s="24" t="s">
        <v>73</v>
      </c>
      <c r="C518" s="51">
        <f>IFERROR(SUMIFS(Infrastructure[2021],
Infrastructure[[variable_type]:[variable_type]],"H2_outflow",
Infrastructure[[cluster]:[cluster]],$B$513,
Infrastructure[[pipe_cluster_end]:[pipe_cluster_end]],$B518)*PJ2TWh,"")</f>
        <v>0</v>
      </c>
      <c r="D518" s="51">
        <f>IFERROR(SUMIFS(Infrastructure[2022],
Infrastructure[[variable_type]:[variable_type]],"H2_outflow",
Infrastructure[[cluster]:[cluster]],$B$513,
Infrastructure[[pipe_cluster_end]:[pipe_cluster_end]],$B518)*PJ2TWh,"")</f>
        <v>0</v>
      </c>
      <c r="E518" s="51">
        <f>IFERROR(SUMIFS(Infrastructure[2023],
Infrastructure[[variable_type]:[variable_type]],"H2_outflow",
Infrastructure[[cluster]:[cluster]],$B$513,
Infrastructure[[pipe_cluster_end]:[pipe_cluster_end]],$B518)*PJ2TWh,"")</f>
        <v>0</v>
      </c>
      <c r="F518" s="51">
        <f>IFERROR(SUMIFS(Infrastructure[2024],
Infrastructure[[variable_type]:[variable_type]],"H2_outflow",
Infrastructure[[cluster]:[cluster]],$B$513,
Infrastructure[[pipe_cluster_end]:[pipe_cluster_end]],$B518)*PJ2TWh,"")</f>
        <v>0</v>
      </c>
      <c r="G518" s="51">
        <f>IFERROR(SUMIFS(Infrastructure[2025],
Infrastructure[[variable_type]:[variable_type]],"H2_outflow",
Infrastructure[[cluster]:[cluster]],$B$513,
Infrastructure[[pipe_cluster_end]:[pipe_cluster_end]],$B518)*PJ2TWh,"")</f>
        <v>0</v>
      </c>
      <c r="H518" s="51">
        <f>IFERROR(SUMIFS(Infrastructure[2026],
Infrastructure[[variable_type]:[variable_type]],"H2_outflow",
Infrastructure[[cluster]:[cluster]],$B$513,
Infrastructure[[pipe_cluster_end]:[pipe_cluster_end]],$B518)*PJ2TWh,"")</f>
        <v>0</v>
      </c>
      <c r="I518" s="51">
        <f>IFERROR(SUMIFS(Infrastructure[2027],
Infrastructure[[variable_type]:[variable_type]],"H2_outflow",
Infrastructure[[cluster]:[cluster]],$B$513,
Infrastructure[[pipe_cluster_end]:[pipe_cluster_end]],$B518)*PJ2TWh,"")</f>
        <v>0</v>
      </c>
      <c r="J518" s="51">
        <f>IFERROR(SUMIFS(Infrastructure[2028],
Infrastructure[[variable_type]:[variable_type]],"H2_outflow",
Infrastructure[[cluster]:[cluster]],$B$513,
Infrastructure[[pipe_cluster_end]:[pipe_cluster_end]],$B518)*PJ2TWh,"")</f>
        <v>0</v>
      </c>
      <c r="K518" s="51">
        <f>IFERROR(SUMIFS(Infrastructure[2029],
Infrastructure[[variable_type]:[variable_type]],"H2_outflow",
Infrastructure[[cluster]:[cluster]],$B$513,
Infrastructure[[pipe_cluster_end]:[pipe_cluster_end]],$B518)*PJ2TWh,"")</f>
        <v>0</v>
      </c>
      <c r="L518" s="51">
        <f>IFERROR(SUMIFS(Infrastructure[2030],
Infrastructure[[variable_type]:[variable_type]],"H2_outflow",
Infrastructure[[cluster]:[cluster]],$B$513,
Infrastructure[[pipe_cluster_end]:[pipe_cluster_end]],$B518)*PJ2TWh,"")</f>
        <v>0</v>
      </c>
      <c r="M518" s="51">
        <f>IFERROR(SUMIFS(Infrastructure[2031],
Infrastructure[[variable_type]:[variable_type]],"H2_outflow",
Infrastructure[[cluster]:[cluster]],$B$513,
Infrastructure[[pipe_cluster_end]:[pipe_cluster_end]],$B518)*PJ2TWh,"")</f>
        <v>0</v>
      </c>
      <c r="N518" s="51">
        <f>IFERROR(SUMIFS(Infrastructure[2032],
Infrastructure[[variable_type]:[variable_type]],"H2_outflow",
Infrastructure[[cluster]:[cluster]],$B$513,
Infrastructure[[pipe_cluster_end]:[pipe_cluster_end]],$B518)*PJ2TWh,"")</f>
        <v>0</v>
      </c>
      <c r="O518" s="51">
        <f>IFERROR(SUMIFS(Infrastructure[2033],
Infrastructure[[variable_type]:[variable_type]],"H2_outflow",
Infrastructure[[cluster]:[cluster]],$B$513,
Infrastructure[[pipe_cluster_end]:[pipe_cluster_end]],$B518)*PJ2TWh,"")</f>
        <v>0</v>
      </c>
      <c r="P518" s="51">
        <f>IFERROR(SUMIFS(Infrastructure[2034],
Infrastructure[[variable_type]:[variable_type]],"H2_outflow",
Infrastructure[[cluster]:[cluster]],$B$513,
Infrastructure[[pipe_cluster_end]:[pipe_cluster_end]],$B518)*PJ2TWh,"")</f>
        <v>0</v>
      </c>
      <c r="Q518" s="51">
        <f>IFERROR(SUMIFS(Infrastructure[2035],
Infrastructure[[variable_type]:[variable_type]],"H2_outflow",
Infrastructure[[cluster]:[cluster]],$B$513,
Infrastructure[[pipe_cluster_end]:[pipe_cluster_end]],$B518)*PJ2TWh,"")</f>
        <v>0</v>
      </c>
      <c r="R518" s="51">
        <f>IFERROR(SUMIFS(Infrastructure[2036],
Infrastructure[[variable_type]:[variable_type]],"H2_outflow",
Infrastructure[[cluster]:[cluster]],$B$513,
Infrastructure[[pipe_cluster_end]:[pipe_cluster_end]],$B518)*PJ2TWh,"")</f>
        <v>0</v>
      </c>
      <c r="S518" s="51">
        <f>IFERROR(SUMIFS(Infrastructure[2037],
Infrastructure[[variable_type]:[variable_type]],"H2_outflow",
Infrastructure[[cluster]:[cluster]],$B$513,
Infrastructure[[pipe_cluster_end]:[pipe_cluster_end]],$B518)*PJ2TWh,"")</f>
        <v>0</v>
      </c>
      <c r="T518" s="51">
        <f>IFERROR(SUMIFS(Infrastructure[2038],
Infrastructure[[variable_type]:[variable_type]],"H2_outflow",
Infrastructure[[cluster]:[cluster]],$B$513,
Infrastructure[[pipe_cluster_end]:[pipe_cluster_end]],$B518)*PJ2TWh,"")</f>
        <v>0</v>
      </c>
      <c r="U518" s="51">
        <f>IFERROR(SUMIFS(Infrastructure[2039],
Infrastructure[[variable_type]:[variable_type]],"H2_outflow",
Infrastructure[[cluster]:[cluster]],$B$513,
Infrastructure[[pipe_cluster_end]:[pipe_cluster_end]],$B518)*PJ2TWh,"")</f>
        <v>0</v>
      </c>
      <c r="V518" s="51">
        <f>IFERROR(SUMIFS(Infrastructure[2040],
Infrastructure[[variable_type]:[variable_type]],"H2_outflow",
Infrastructure[[cluster]:[cluster]],$B$513,
Infrastructure[[pipe_cluster_end]:[pipe_cluster_end]],$B518)*PJ2TWh,"")</f>
        <v>0</v>
      </c>
      <c r="W518" s="51">
        <f>IFERROR(SUMIFS(Infrastructure[2041],
Infrastructure[[variable_type]:[variable_type]],"H2_outflow",
Infrastructure[[cluster]:[cluster]],$B$513,
Infrastructure[[pipe_cluster_end]:[pipe_cluster_end]],$B518)*PJ2TWh,"")</f>
        <v>0</v>
      </c>
      <c r="X518" s="51">
        <f>IFERROR(SUMIFS(Infrastructure[2042],
Infrastructure[[variable_type]:[variable_type]],"H2_outflow",
Infrastructure[[cluster]:[cluster]],$B$513,
Infrastructure[[pipe_cluster_end]:[pipe_cluster_end]],$B518)*PJ2TWh,"")</f>
        <v>0</v>
      </c>
      <c r="Y518" s="51">
        <f>IFERROR(SUMIFS(Infrastructure[2043],
Infrastructure[[variable_type]:[variable_type]],"H2_outflow",
Infrastructure[[cluster]:[cluster]],$B$513,
Infrastructure[[pipe_cluster_end]:[pipe_cluster_end]],$B518)*PJ2TWh,"")</f>
        <v>0</v>
      </c>
      <c r="Z518" s="51">
        <f>IFERROR(SUMIFS(Infrastructure[2044],
Infrastructure[[variable_type]:[variable_type]],"H2_outflow",
Infrastructure[[cluster]:[cluster]],$B$513,
Infrastructure[[pipe_cluster_end]:[pipe_cluster_end]],$B518)*PJ2TWh,"")</f>
        <v>0</v>
      </c>
      <c r="AA518" s="51">
        <f>IFERROR(SUMIFS(Infrastructure[2045],
Infrastructure[[variable_type]:[variable_type]],"H2_outflow",
Infrastructure[[cluster]:[cluster]],$B$513,
Infrastructure[[pipe_cluster_end]:[pipe_cluster_end]],$B518)*PJ2TWh,"")</f>
        <v>0</v>
      </c>
      <c r="AB518" s="51">
        <f>IFERROR(SUMIFS(Infrastructure[2046],
Infrastructure[[variable_type]:[variable_type]],"H2_outflow",
Infrastructure[[cluster]:[cluster]],$B$513,
Infrastructure[[pipe_cluster_end]:[pipe_cluster_end]],$B518)*PJ2TWh,"")</f>
        <v>0</v>
      </c>
      <c r="AC518" s="51">
        <f>IFERROR(SUMIFS(Infrastructure[2047],
Infrastructure[[variable_type]:[variable_type]],"H2_outflow",
Infrastructure[[cluster]:[cluster]],$B$513,
Infrastructure[[pipe_cluster_end]:[pipe_cluster_end]],$B518)*PJ2TWh,"")</f>
        <v>0</v>
      </c>
      <c r="AD518" s="51">
        <f>IFERROR(SUMIFS(Infrastructure[2048],
Infrastructure[[variable_type]:[variable_type]],"H2_outflow",
Infrastructure[[cluster]:[cluster]],$B$513,
Infrastructure[[pipe_cluster_end]:[pipe_cluster_end]],$B518)*PJ2TWh,"")</f>
        <v>0</v>
      </c>
      <c r="AE518" s="51">
        <f>IFERROR(SUMIFS(Infrastructure[2049],
Infrastructure[[variable_type]:[variable_type]],"H2_outflow",
Infrastructure[[cluster]:[cluster]],$B$513,
Infrastructure[[pipe_cluster_end]:[pipe_cluster_end]],$B518)*PJ2TWh,"")</f>
        <v>0</v>
      </c>
      <c r="AF518" s="51">
        <f>IFERROR(SUMIFS(Infrastructure[2050],
Infrastructure[[variable_type]:[variable_type]],"H2_outflow",
Infrastructure[[cluster]:[cluster]],$B$513,
Infrastructure[[pipe_cluster_end]:[pipe_cluster_end]],$B518)*PJ2TWh,"")</f>
        <v>0</v>
      </c>
      <c r="AG518" s="51">
        <f>IFERROR(SUMIFS(Infrastructure[2051],
Infrastructure[[variable_type]:[variable_type]],"H2_outflow",
Infrastructure[[cluster]:[cluster]],$B$513,
Infrastructure[[pipe_cluster_end]:[pipe_cluster_end]],$B518)*PJ2TWh,"")</f>
        <v>0</v>
      </c>
    </row>
    <row r="519" spans="2:33" x14ac:dyDescent="0.45">
      <c r="B519" s="24" t="s">
        <v>74</v>
      </c>
      <c r="C519" s="51">
        <f>IFERROR(SUMIFS(Infrastructure[2021],
Infrastructure[[variable_type]:[variable_type]],"H2_outflow",
Infrastructure[[cluster]:[cluster]],$B$513,
Infrastructure[[pipe_cluster_end]:[pipe_cluster_end]],$B519)*PJ2TWh,"")</f>
        <v>0</v>
      </c>
      <c r="D519" s="51">
        <f>IFERROR(SUMIFS(Infrastructure[2022],
Infrastructure[[variable_type]:[variable_type]],"H2_outflow",
Infrastructure[[cluster]:[cluster]],$B$513,
Infrastructure[[pipe_cluster_end]:[pipe_cluster_end]],$B519)*PJ2TWh,"")</f>
        <v>0</v>
      </c>
      <c r="E519" s="51">
        <f>IFERROR(SUMIFS(Infrastructure[2023],
Infrastructure[[variable_type]:[variable_type]],"H2_outflow",
Infrastructure[[cluster]:[cluster]],$B$513,
Infrastructure[[pipe_cluster_end]:[pipe_cluster_end]],$B519)*PJ2TWh,"")</f>
        <v>0</v>
      </c>
      <c r="F519" s="51">
        <f>IFERROR(SUMIFS(Infrastructure[2024],
Infrastructure[[variable_type]:[variable_type]],"H2_outflow",
Infrastructure[[cluster]:[cluster]],$B$513,
Infrastructure[[pipe_cluster_end]:[pipe_cluster_end]],$B519)*PJ2TWh,"")</f>
        <v>0</v>
      </c>
      <c r="G519" s="51">
        <f>IFERROR(SUMIFS(Infrastructure[2025],
Infrastructure[[variable_type]:[variable_type]],"H2_outflow",
Infrastructure[[cluster]:[cluster]],$B$513,
Infrastructure[[pipe_cluster_end]:[pipe_cluster_end]],$B519)*PJ2TWh,"")</f>
        <v>0</v>
      </c>
      <c r="H519" s="51">
        <f>IFERROR(SUMIFS(Infrastructure[2026],
Infrastructure[[variable_type]:[variable_type]],"H2_outflow",
Infrastructure[[cluster]:[cluster]],$B$513,
Infrastructure[[pipe_cluster_end]:[pipe_cluster_end]],$B519)*PJ2TWh,"")</f>
        <v>0</v>
      </c>
      <c r="I519" s="51">
        <f>IFERROR(SUMIFS(Infrastructure[2027],
Infrastructure[[variable_type]:[variable_type]],"H2_outflow",
Infrastructure[[cluster]:[cluster]],$B$513,
Infrastructure[[pipe_cluster_end]:[pipe_cluster_end]],$B519)*PJ2TWh,"")</f>
        <v>0</v>
      </c>
      <c r="J519" s="51">
        <f>IFERROR(SUMIFS(Infrastructure[2028],
Infrastructure[[variable_type]:[variable_type]],"H2_outflow",
Infrastructure[[cluster]:[cluster]],$B$513,
Infrastructure[[pipe_cluster_end]:[pipe_cluster_end]],$B519)*PJ2TWh,"")</f>
        <v>0</v>
      </c>
      <c r="K519" s="51">
        <f>IFERROR(SUMIFS(Infrastructure[2029],
Infrastructure[[variable_type]:[variable_type]],"H2_outflow",
Infrastructure[[cluster]:[cluster]],$B$513,
Infrastructure[[pipe_cluster_end]:[pipe_cluster_end]],$B519)*PJ2TWh,"")</f>
        <v>0</v>
      </c>
      <c r="L519" s="51">
        <f>IFERROR(SUMIFS(Infrastructure[2030],
Infrastructure[[variable_type]:[variable_type]],"H2_outflow",
Infrastructure[[cluster]:[cluster]],$B$513,
Infrastructure[[pipe_cluster_end]:[pipe_cluster_end]],$B519)*PJ2TWh,"")</f>
        <v>0</v>
      </c>
      <c r="M519" s="51">
        <f>IFERROR(SUMIFS(Infrastructure[2031],
Infrastructure[[variable_type]:[variable_type]],"H2_outflow",
Infrastructure[[cluster]:[cluster]],$B$513,
Infrastructure[[pipe_cluster_end]:[pipe_cluster_end]],$B519)*PJ2TWh,"")</f>
        <v>0</v>
      </c>
      <c r="N519" s="51">
        <f>IFERROR(SUMIFS(Infrastructure[2032],
Infrastructure[[variable_type]:[variable_type]],"H2_outflow",
Infrastructure[[cluster]:[cluster]],$B$513,
Infrastructure[[pipe_cluster_end]:[pipe_cluster_end]],$B519)*PJ2TWh,"")</f>
        <v>0</v>
      </c>
      <c r="O519" s="51">
        <f>IFERROR(SUMIFS(Infrastructure[2033],
Infrastructure[[variable_type]:[variable_type]],"H2_outflow",
Infrastructure[[cluster]:[cluster]],$B$513,
Infrastructure[[pipe_cluster_end]:[pipe_cluster_end]],$B519)*PJ2TWh,"")</f>
        <v>0</v>
      </c>
      <c r="P519" s="51">
        <f>IFERROR(SUMIFS(Infrastructure[2034],
Infrastructure[[variable_type]:[variable_type]],"H2_outflow",
Infrastructure[[cluster]:[cluster]],$B$513,
Infrastructure[[pipe_cluster_end]:[pipe_cluster_end]],$B519)*PJ2TWh,"")</f>
        <v>0</v>
      </c>
      <c r="Q519" s="51">
        <f>IFERROR(SUMIFS(Infrastructure[2035],
Infrastructure[[variable_type]:[variable_type]],"H2_outflow",
Infrastructure[[cluster]:[cluster]],$B$513,
Infrastructure[[pipe_cluster_end]:[pipe_cluster_end]],$B519)*PJ2TWh,"")</f>
        <v>0</v>
      </c>
      <c r="R519" s="51">
        <f>IFERROR(SUMIFS(Infrastructure[2036],
Infrastructure[[variable_type]:[variable_type]],"H2_outflow",
Infrastructure[[cluster]:[cluster]],$B$513,
Infrastructure[[pipe_cluster_end]:[pipe_cluster_end]],$B519)*PJ2TWh,"")</f>
        <v>0</v>
      </c>
      <c r="S519" s="51">
        <f>IFERROR(SUMIFS(Infrastructure[2037],
Infrastructure[[variable_type]:[variable_type]],"H2_outflow",
Infrastructure[[cluster]:[cluster]],$B$513,
Infrastructure[[pipe_cluster_end]:[pipe_cluster_end]],$B519)*PJ2TWh,"")</f>
        <v>0</v>
      </c>
      <c r="T519" s="51">
        <f>IFERROR(SUMIFS(Infrastructure[2038],
Infrastructure[[variable_type]:[variable_type]],"H2_outflow",
Infrastructure[[cluster]:[cluster]],$B$513,
Infrastructure[[pipe_cluster_end]:[pipe_cluster_end]],$B519)*PJ2TWh,"")</f>
        <v>0</v>
      </c>
      <c r="U519" s="51">
        <f>IFERROR(SUMIFS(Infrastructure[2039],
Infrastructure[[variable_type]:[variable_type]],"H2_outflow",
Infrastructure[[cluster]:[cluster]],$B$513,
Infrastructure[[pipe_cluster_end]:[pipe_cluster_end]],$B519)*PJ2TWh,"")</f>
        <v>0</v>
      </c>
      <c r="V519" s="51">
        <f>IFERROR(SUMIFS(Infrastructure[2040],
Infrastructure[[variable_type]:[variable_type]],"H2_outflow",
Infrastructure[[cluster]:[cluster]],$B$513,
Infrastructure[[pipe_cluster_end]:[pipe_cluster_end]],$B519)*PJ2TWh,"")</f>
        <v>0</v>
      </c>
      <c r="W519" s="51">
        <f>IFERROR(SUMIFS(Infrastructure[2041],
Infrastructure[[variable_type]:[variable_type]],"H2_outflow",
Infrastructure[[cluster]:[cluster]],$B$513,
Infrastructure[[pipe_cluster_end]:[pipe_cluster_end]],$B519)*PJ2TWh,"")</f>
        <v>0</v>
      </c>
      <c r="X519" s="51">
        <f>IFERROR(SUMIFS(Infrastructure[2042],
Infrastructure[[variable_type]:[variable_type]],"H2_outflow",
Infrastructure[[cluster]:[cluster]],$B$513,
Infrastructure[[pipe_cluster_end]:[pipe_cluster_end]],$B519)*PJ2TWh,"")</f>
        <v>0</v>
      </c>
      <c r="Y519" s="51">
        <f>IFERROR(SUMIFS(Infrastructure[2043],
Infrastructure[[variable_type]:[variable_type]],"H2_outflow",
Infrastructure[[cluster]:[cluster]],$B$513,
Infrastructure[[pipe_cluster_end]:[pipe_cluster_end]],$B519)*PJ2TWh,"")</f>
        <v>0</v>
      </c>
      <c r="Z519" s="51">
        <f>IFERROR(SUMIFS(Infrastructure[2044],
Infrastructure[[variable_type]:[variable_type]],"H2_outflow",
Infrastructure[[cluster]:[cluster]],$B$513,
Infrastructure[[pipe_cluster_end]:[pipe_cluster_end]],$B519)*PJ2TWh,"")</f>
        <v>0</v>
      </c>
      <c r="AA519" s="51">
        <f>IFERROR(SUMIFS(Infrastructure[2045],
Infrastructure[[variable_type]:[variable_type]],"H2_outflow",
Infrastructure[[cluster]:[cluster]],$B$513,
Infrastructure[[pipe_cluster_end]:[pipe_cluster_end]],$B519)*PJ2TWh,"")</f>
        <v>0</v>
      </c>
      <c r="AB519" s="51">
        <f>IFERROR(SUMIFS(Infrastructure[2046],
Infrastructure[[variable_type]:[variable_type]],"H2_outflow",
Infrastructure[[cluster]:[cluster]],$B$513,
Infrastructure[[pipe_cluster_end]:[pipe_cluster_end]],$B519)*PJ2TWh,"")</f>
        <v>0</v>
      </c>
      <c r="AC519" s="51">
        <f>IFERROR(SUMIFS(Infrastructure[2047],
Infrastructure[[variable_type]:[variable_type]],"H2_outflow",
Infrastructure[[cluster]:[cluster]],$B$513,
Infrastructure[[pipe_cluster_end]:[pipe_cluster_end]],$B519)*PJ2TWh,"")</f>
        <v>0</v>
      </c>
      <c r="AD519" s="51">
        <f>IFERROR(SUMIFS(Infrastructure[2048],
Infrastructure[[variable_type]:[variable_type]],"H2_outflow",
Infrastructure[[cluster]:[cluster]],$B$513,
Infrastructure[[pipe_cluster_end]:[pipe_cluster_end]],$B519)*PJ2TWh,"")</f>
        <v>0</v>
      </c>
      <c r="AE519" s="51">
        <f>IFERROR(SUMIFS(Infrastructure[2049],
Infrastructure[[variable_type]:[variable_type]],"H2_outflow",
Infrastructure[[cluster]:[cluster]],$B$513,
Infrastructure[[pipe_cluster_end]:[pipe_cluster_end]],$B519)*PJ2TWh,"")</f>
        <v>0</v>
      </c>
      <c r="AF519" s="51">
        <f>IFERROR(SUMIFS(Infrastructure[2050],
Infrastructure[[variable_type]:[variable_type]],"H2_outflow",
Infrastructure[[cluster]:[cluster]],$B$513,
Infrastructure[[pipe_cluster_end]:[pipe_cluster_end]],$B519)*PJ2TWh,"")</f>
        <v>0</v>
      </c>
      <c r="AG519" s="51">
        <f>IFERROR(SUMIFS(Infrastructure[2051],
Infrastructure[[variable_type]:[variable_type]],"H2_outflow",
Infrastructure[[cluster]:[cluster]],$B$513,
Infrastructure[[pipe_cluster_end]:[pipe_cluster_end]],$B519)*PJ2TWh,"")</f>
        <v>0</v>
      </c>
    </row>
    <row r="520" spans="2:33" x14ac:dyDescent="0.45">
      <c r="B520" s="24" t="s">
        <v>75</v>
      </c>
      <c r="C520" s="51">
        <f>IFERROR(SUMIFS(Infrastructure[2021],
Infrastructure[[variable_type]:[variable_type]],"H2_outflow",
Infrastructure[[cluster]:[cluster]],$B$513,
Infrastructure[[pipe_cluster_end]:[pipe_cluster_end]],$B520)*PJ2TWh,"")</f>
        <v>0</v>
      </c>
      <c r="D520" s="51">
        <f>IFERROR(SUMIFS(Infrastructure[2022],
Infrastructure[[variable_type]:[variable_type]],"H2_outflow",
Infrastructure[[cluster]:[cluster]],$B$513,
Infrastructure[[pipe_cluster_end]:[pipe_cluster_end]],$B520)*PJ2TWh,"")</f>
        <v>0</v>
      </c>
      <c r="E520" s="51">
        <f>IFERROR(SUMIFS(Infrastructure[2023],
Infrastructure[[variable_type]:[variable_type]],"H2_outflow",
Infrastructure[[cluster]:[cluster]],$B$513,
Infrastructure[[pipe_cluster_end]:[pipe_cluster_end]],$B520)*PJ2TWh,"")</f>
        <v>0</v>
      </c>
      <c r="F520" s="51">
        <f>IFERROR(SUMIFS(Infrastructure[2024],
Infrastructure[[variable_type]:[variable_type]],"H2_outflow",
Infrastructure[[cluster]:[cluster]],$B$513,
Infrastructure[[pipe_cluster_end]:[pipe_cluster_end]],$B520)*PJ2TWh,"")</f>
        <v>0</v>
      </c>
      <c r="G520" s="51">
        <f>IFERROR(SUMIFS(Infrastructure[2025],
Infrastructure[[variable_type]:[variable_type]],"H2_outflow",
Infrastructure[[cluster]:[cluster]],$B$513,
Infrastructure[[pipe_cluster_end]:[pipe_cluster_end]],$B520)*PJ2TWh,"")</f>
        <v>0</v>
      </c>
      <c r="H520" s="51">
        <f>IFERROR(SUMIFS(Infrastructure[2026],
Infrastructure[[variable_type]:[variable_type]],"H2_outflow",
Infrastructure[[cluster]:[cluster]],$B$513,
Infrastructure[[pipe_cluster_end]:[pipe_cluster_end]],$B520)*PJ2TWh,"")</f>
        <v>0</v>
      </c>
      <c r="I520" s="51">
        <f>IFERROR(SUMIFS(Infrastructure[2027],
Infrastructure[[variable_type]:[variable_type]],"H2_outflow",
Infrastructure[[cluster]:[cluster]],$B$513,
Infrastructure[[pipe_cluster_end]:[pipe_cluster_end]],$B520)*PJ2TWh,"")</f>
        <v>0</v>
      </c>
      <c r="J520" s="51">
        <f>IFERROR(SUMIFS(Infrastructure[2028],
Infrastructure[[variable_type]:[variable_type]],"H2_outflow",
Infrastructure[[cluster]:[cluster]],$B$513,
Infrastructure[[pipe_cluster_end]:[pipe_cluster_end]],$B520)*PJ2TWh,"")</f>
        <v>0</v>
      </c>
      <c r="K520" s="51">
        <f>IFERROR(SUMIFS(Infrastructure[2029],
Infrastructure[[variable_type]:[variable_type]],"H2_outflow",
Infrastructure[[cluster]:[cluster]],$B$513,
Infrastructure[[pipe_cluster_end]:[pipe_cluster_end]],$B520)*PJ2TWh,"")</f>
        <v>0</v>
      </c>
      <c r="L520" s="51">
        <f>IFERROR(SUMIFS(Infrastructure[2030],
Infrastructure[[variable_type]:[variable_type]],"H2_outflow",
Infrastructure[[cluster]:[cluster]],$B$513,
Infrastructure[[pipe_cluster_end]:[pipe_cluster_end]],$B520)*PJ2TWh,"")</f>
        <v>0</v>
      </c>
      <c r="M520" s="51">
        <f>IFERROR(SUMIFS(Infrastructure[2031],
Infrastructure[[variable_type]:[variable_type]],"H2_outflow",
Infrastructure[[cluster]:[cluster]],$B$513,
Infrastructure[[pipe_cluster_end]:[pipe_cluster_end]],$B520)*PJ2TWh,"")</f>
        <v>0</v>
      </c>
      <c r="N520" s="51">
        <f>IFERROR(SUMIFS(Infrastructure[2032],
Infrastructure[[variable_type]:[variable_type]],"H2_outflow",
Infrastructure[[cluster]:[cluster]],$B$513,
Infrastructure[[pipe_cluster_end]:[pipe_cluster_end]],$B520)*PJ2TWh,"")</f>
        <v>0</v>
      </c>
      <c r="O520" s="51">
        <f>IFERROR(SUMIFS(Infrastructure[2033],
Infrastructure[[variable_type]:[variable_type]],"H2_outflow",
Infrastructure[[cluster]:[cluster]],$B$513,
Infrastructure[[pipe_cluster_end]:[pipe_cluster_end]],$B520)*PJ2TWh,"")</f>
        <v>0</v>
      </c>
      <c r="P520" s="51">
        <f>IFERROR(SUMIFS(Infrastructure[2034],
Infrastructure[[variable_type]:[variable_type]],"H2_outflow",
Infrastructure[[cluster]:[cluster]],$B$513,
Infrastructure[[pipe_cluster_end]:[pipe_cluster_end]],$B520)*PJ2TWh,"")</f>
        <v>0</v>
      </c>
      <c r="Q520" s="51">
        <f>IFERROR(SUMIFS(Infrastructure[2035],
Infrastructure[[variable_type]:[variable_type]],"H2_outflow",
Infrastructure[[cluster]:[cluster]],$B$513,
Infrastructure[[pipe_cluster_end]:[pipe_cluster_end]],$B520)*PJ2TWh,"")</f>
        <v>0</v>
      </c>
      <c r="R520" s="51">
        <f>IFERROR(SUMIFS(Infrastructure[2036],
Infrastructure[[variable_type]:[variable_type]],"H2_outflow",
Infrastructure[[cluster]:[cluster]],$B$513,
Infrastructure[[pipe_cluster_end]:[pipe_cluster_end]],$B520)*PJ2TWh,"")</f>
        <v>0</v>
      </c>
      <c r="S520" s="51">
        <f>IFERROR(SUMIFS(Infrastructure[2037],
Infrastructure[[variable_type]:[variable_type]],"H2_outflow",
Infrastructure[[cluster]:[cluster]],$B$513,
Infrastructure[[pipe_cluster_end]:[pipe_cluster_end]],$B520)*PJ2TWh,"")</f>
        <v>0</v>
      </c>
      <c r="T520" s="51">
        <f>IFERROR(SUMIFS(Infrastructure[2038],
Infrastructure[[variable_type]:[variable_type]],"H2_outflow",
Infrastructure[[cluster]:[cluster]],$B$513,
Infrastructure[[pipe_cluster_end]:[pipe_cluster_end]],$B520)*PJ2TWh,"")</f>
        <v>0</v>
      </c>
      <c r="U520" s="51">
        <f>IFERROR(SUMIFS(Infrastructure[2039],
Infrastructure[[variable_type]:[variable_type]],"H2_outflow",
Infrastructure[[cluster]:[cluster]],$B$513,
Infrastructure[[pipe_cluster_end]:[pipe_cluster_end]],$B520)*PJ2TWh,"")</f>
        <v>0</v>
      </c>
      <c r="V520" s="51">
        <f>IFERROR(SUMIFS(Infrastructure[2040],
Infrastructure[[variable_type]:[variable_type]],"H2_outflow",
Infrastructure[[cluster]:[cluster]],$B$513,
Infrastructure[[pipe_cluster_end]:[pipe_cluster_end]],$B520)*PJ2TWh,"")</f>
        <v>0</v>
      </c>
      <c r="W520" s="51">
        <f>IFERROR(SUMIFS(Infrastructure[2041],
Infrastructure[[variable_type]:[variable_type]],"H2_outflow",
Infrastructure[[cluster]:[cluster]],$B$513,
Infrastructure[[pipe_cluster_end]:[pipe_cluster_end]],$B520)*PJ2TWh,"")</f>
        <v>0</v>
      </c>
      <c r="X520" s="51">
        <f>IFERROR(SUMIFS(Infrastructure[2042],
Infrastructure[[variable_type]:[variable_type]],"H2_outflow",
Infrastructure[[cluster]:[cluster]],$B$513,
Infrastructure[[pipe_cluster_end]:[pipe_cluster_end]],$B520)*PJ2TWh,"")</f>
        <v>0</v>
      </c>
      <c r="Y520" s="51">
        <f>IFERROR(SUMIFS(Infrastructure[2043],
Infrastructure[[variable_type]:[variable_type]],"H2_outflow",
Infrastructure[[cluster]:[cluster]],$B$513,
Infrastructure[[pipe_cluster_end]:[pipe_cluster_end]],$B520)*PJ2TWh,"")</f>
        <v>0</v>
      </c>
      <c r="Z520" s="51">
        <f>IFERROR(SUMIFS(Infrastructure[2044],
Infrastructure[[variable_type]:[variable_type]],"H2_outflow",
Infrastructure[[cluster]:[cluster]],$B$513,
Infrastructure[[pipe_cluster_end]:[pipe_cluster_end]],$B520)*PJ2TWh,"")</f>
        <v>0</v>
      </c>
      <c r="AA520" s="51">
        <f>IFERROR(SUMIFS(Infrastructure[2045],
Infrastructure[[variable_type]:[variable_type]],"H2_outflow",
Infrastructure[[cluster]:[cluster]],$B$513,
Infrastructure[[pipe_cluster_end]:[pipe_cluster_end]],$B520)*PJ2TWh,"")</f>
        <v>0</v>
      </c>
      <c r="AB520" s="51">
        <f>IFERROR(SUMIFS(Infrastructure[2046],
Infrastructure[[variable_type]:[variable_type]],"H2_outflow",
Infrastructure[[cluster]:[cluster]],$B$513,
Infrastructure[[pipe_cluster_end]:[pipe_cluster_end]],$B520)*PJ2TWh,"")</f>
        <v>0</v>
      </c>
      <c r="AC520" s="51">
        <f>IFERROR(SUMIFS(Infrastructure[2047],
Infrastructure[[variable_type]:[variable_type]],"H2_outflow",
Infrastructure[[cluster]:[cluster]],$B$513,
Infrastructure[[pipe_cluster_end]:[pipe_cluster_end]],$B520)*PJ2TWh,"")</f>
        <v>0</v>
      </c>
      <c r="AD520" s="51">
        <f>IFERROR(SUMIFS(Infrastructure[2048],
Infrastructure[[variable_type]:[variable_type]],"H2_outflow",
Infrastructure[[cluster]:[cluster]],$B$513,
Infrastructure[[pipe_cluster_end]:[pipe_cluster_end]],$B520)*PJ2TWh,"")</f>
        <v>0</v>
      </c>
      <c r="AE520" s="51">
        <f>IFERROR(SUMIFS(Infrastructure[2049],
Infrastructure[[variable_type]:[variable_type]],"H2_outflow",
Infrastructure[[cluster]:[cluster]],$B$513,
Infrastructure[[pipe_cluster_end]:[pipe_cluster_end]],$B520)*PJ2TWh,"")</f>
        <v>0</v>
      </c>
      <c r="AF520" s="51">
        <f>IFERROR(SUMIFS(Infrastructure[2050],
Infrastructure[[variable_type]:[variable_type]],"H2_outflow",
Infrastructure[[cluster]:[cluster]],$B$513,
Infrastructure[[pipe_cluster_end]:[pipe_cluster_end]],$B520)*PJ2TWh,"")</f>
        <v>0</v>
      </c>
      <c r="AG520" s="51">
        <f>IFERROR(SUMIFS(Infrastructure[2051],
Infrastructure[[variable_type]:[variable_type]],"H2_outflow",
Infrastructure[[cluster]:[cluster]],$B$513,
Infrastructure[[pipe_cluster_end]:[pipe_cluster_end]],$B520)*PJ2TWh,"")</f>
        <v>0</v>
      </c>
    </row>
    <row r="521" spans="2:33" x14ac:dyDescent="0.45">
      <c r="B521" s="24" t="s">
        <v>76</v>
      </c>
      <c r="C521" s="51">
        <f>IFERROR(SUMIFS(Infrastructure[2021],
Infrastructure[[variable_type]:[variable_type]],"H2_outflow",
Infrastructure[[cluster]:[cluster]],$B$513,
Infrastructure[[pipe_cluster_end]:[pipe_cluster_end]],$B521)*PJ2TWh,"")</f>
        <v>0</v>
      </c>
      <c r="D521" s="51">
        <f>IFERROR(SUMIFS(Infrastructure[2022],
Infrastructure[[variable_type]:[variable_type]],"H2_outflow",
Infrastructure[[cluster]:[cluster]],$B$513,
Infrastructure[[pipe_cluster_end]:[pipe_cluster_end]],$B521)*PJ2TWh,"")</f>
        <v>0</v>
      </c>
      <c r="E521" s="51">
        <f>IFERROR(SUMIFS(Infrastructure[2023],
Infrastructure[[variable_type]:[variable_type]],"H2_outflow",
Infrastructure[[cluster]:[cluster]],$B$513,
Infrastructure[[pipe_cluster_end]:[pipe_cluster_end]],$B521)*PJ2TWh,"")</f>
        <v>0</v>
      </c>
      <c r="F521" s="51">
        <f>IFERROR(SUMIFS(Infrastructure[2024],
Infrastructure[[variable_type]:[variable_type]],"H2_outflow",
Infrastructure[[cluster]:[cluster]],$B$513,
Infrastructure[[pipe_cluster_end]:[pipe_cluster_end]],$B521)*PJ2TWh,"")</f>
        <v>0</v>
      </c>
      <c r="G521" s="51">
        <f>IFERROR(SUMIFS(Infrastructure[2025],
Infrastructure[[variable_type]:[variable_type]],"H2_outflow",
Infrastructure[[cluster]:[cluster]],$B$513,
Infrastructure[[pipe_cluster_end]:[pipe_cluster_end]],$B521)*PJ2TWh,"")</f>
        <v>0</v>
      </c>
      <c r="H521" s="51">
        <f>IFERROR(SUMIFS(Infrastructure[2026],
Infrastructure[[variable_type]:[variable_type]],"H2_outflow",
Infrastructure[[cluster]:[cluster]],$B$513,
Infrastructure[[pipe_cluster_end]:[pipe_cluster_end]],$B521)*PJ2TWh,"")</f>
        <v>0</v>
      </c>
      <c r="I521" s="51">
        <f>IFERROR(SUMIFS(Infrastructure[2027],
Infrastructure[[variable_type]:[variable_type]],"H2_outflow",
Infrastructure[[cluster]:[cluster]],$B$513,
Infrastructure[[pipe_cluster_end]:[pipe_cluster_end]],$B521)*PJ2TWh,"")</f>
        <v>0</v>
      </c>
      <c r="J521" s="51">
        <f>IFERROR(SUMIFS(Infrastructure[2028],
Infrastructure[[variable_type]:[variable_type]],"H2_outflow",
Infrastructure[[cluster]:[cluster]],$B$513,
Infrastructure[[pipe_cluster_end]:[pipe_cluster_end]],$B521)*PJ2TWh,"")</f>
        <v>0</v>
      </c>
      <c r="K521" s="51">
        <f>IFERROR(SUMIFS(Infrastructure[2029],
Infrastructure[[variable_type]:[variable_type]],"H2_outflow",
Infrastructure[[cluster]:[cluster]],$B$513,
Infrastructure[[pipe_cluster_end]:[pipe_cluster_end]],$B521)*PJ2TWh,"")</f>
        <v>0</v>
      </c>
      <c r="L521" s="51">
        <f>IFERROR(SUMIFS(Infrastructure[2030],
Infrastructure[[variable_type]:[variable_type]],"H2_outflow",
Infrastructure[[cluster]:[cluster]],$B$513,
Infrastructure[[pipe_cluster_end]:[pipe_cluster_end]],$B521)*PJ2TWh,"")</f>
        <v>0</v>
      </c>
      <c r="M521" s="51">
        <f>IFERROR(SUMIFS(Infrastructure[2031],
Infrastructure[[variable_type]:[variable_type]],"H2_outflow",
Infrastructure[[cluster]:[cluster]],$B$513,
Infrastructure[[pipe_cluster_end]:[pipe_cluster_end]],$B521)*PJ2TWh,"")</f>
        <v>0</v>
      </c>
      <c r="N521" s="51">
        <f>IFERROR(SUMIFS(Infrastructure[2032],
Infrastructure[[variable_type]:[variable_type]],"H2_outflow",
Infrastructure[[cluster]:[cluster]],$B$513,
Infrastructure[[pipe_cluster_end]:[pipe_cluster_end]],$B521)*PJ2TWh,"")</f>
        <v>0</v>
      </c>
      <c r="O521" s="51">
        <f>IFERROR(SUMIFS(Infrastructure[2033],
Infrastructure[[variable_type]:[variable_type]],"H2_outflow",
Infrastructure[[cluster]:[cluster]],$B$513,
Infrastructure[[pipe_cluster_end]:[pipe_cluster_end]],$B521)*PJ2TWh,"")</f>
        <v>0</v>
      </c>
      <c r="P521" s="51">
        <f>IFERROR(SUMIFS(Infrastructure[2034],
Infrastructure[[variable_type]:[variable_type]],"H2_outflow",
Infrastructure[[cluster]:[cluster]],$B$513,
Infrastructure[[pipe_cluster_end]:[pipe_cluster_end]],$B521)*PJ2TWh,"")</f>
        <v>0</v>
      </c>
      <c r="Q521" s="51">
        <f>IFERROR(SUMIFS(Infrastructure[2035],
Infrastructure[[variable_type]:[variable_type]],"H2_outflow",
Infrastructure[[cluster]:[cluster]],$B$513,
Infrastructure[[pipe_cluster_end]:[pipe_cluster_end]],$B521)*PJ2TWh,"")</f>
        <v>0</v>
      </c>
      <c r="R521" s="51">
        <f>IFERROR(SUMIFS(Infrastructure[2036],
Infrastructure[[variable_type]:[variable_type]],"H2_outflow",
Infrastructure[[cluster]:[cluster]],$B$513,
Infrastructure[[pipe_cluster_end]:[pipe_cluster_end]],$B521)*PJ2TWh,"")</f>
        <v>0</v>
      </c>
      <c r="S521" s="51">
        <f>IFERROR(SUMIFS(Infrastructure[2037],
Infrastructure[[variable_type]:[variable_type]],"H2_outflow",
Infrastructure[[cluster]:[cluster]],$B$513,
Infrastructure[[pipe_cluster_end]:[pipe_cluster_end]],$B521)*PJ2TWh,"")</f>
        <v>0</v>
      </c>
      <c r="T521" s="51">
        <f>IFERROR(SUMIFS(Infrastructure[2038],
Infrastructure[[variable_type]:[variable_type]],"H2_outflow",
Infrastructure[[cluster]:[cluster]],$B$513,
Infrastructure[[pipe_cluster_end]:[pipe_cluster_end]],$B521)*PJ2TWh,"")</f>
        <v>0</v>
      </c>
      <c r="U521" s="51">
        <f>IFERROR(SUMIFS(Infrastructure[2039],
Infrastructure[[variable_type]:[variable_type]],"H2_outflow",
Infrastructure[[cluster]:[cluster]],$B$513,
Infrastructure[[pipe_cluster_end]:[pipe_cluster_end]],$B521)*PJ2TWh,"")</f>
        <v>0</v>
      </c>
      <c r="V521" s="51">
        <f>IFERROR(SUMIFS(Infrastructure[2040],
Infrastructure[[variable_type]:[variable_type]],"H2_outflow",
Infrastructure[[cluster]:[cluster]],$B$513,
Infrastructure[[pipe_cluster_end]:[pipe_cluster_end]],$B521)*PJ2TWh,"")</f>
        <v>0</v>
      </c>
      <c r="W521" s="51">
        <f>IFERROR(SUMIFS(Infrastructure[2041],
Infrastructure[[variable_type]:[variable_type]],"H2_outflow",
Infrastructure[[cluster]:[cluster]],$B$513,
Infrastructure[[pipe_cluster_end]:[pipe_cluster_end]],$B521)*PJ2TWh,"")</f>
        <v>0</v>
      </c>
      <c r="X521" s="51">
        <f>IFERROR(SUMIFS(Infrastructure[2042],
Infrastructure[[variable_type]:[variable_type]],"H2_outflow",
Infrastructure[[cluster]:[cluster]],$B$513,
Infrastructure[[pipe_cluster_end]:[pipe_cluster_end]],$B521)*PJ2TWh,"")</f>
        <v>0</v>
      </c>
      <c r="Y521" s="51">
        <f>IFERROR(SUMIFS(Infrastructure[2043],
Infrastructure[[variable_type]:[variable_type]],"H2_outflow",
Infrastructure[[cluster]:[cluster]],$B$513,
Infrastructure[[pipe_cluster_end]:[pipe_cluster_end]],$B521)*PJ2TWh,"")</f>
        <v>0</v>
      </c>
      <c r="Z521" s="51">
        <f>IFERROR(SUMIFS(Infrastructure[2044],
Infrastructure[[variable_type]:[variable_type]],"H2_outflow",
Infrastructure[[cluster]:[cluster]],$B$513,
Infrastructure[[pipe_cluster_end]:[pipe_cluster_end]],$B521)*PJ2TWh,"")</f>
        <v>0</v>
      </c>
      <c r="AA521" s="51">
        <f>IFERROR(SUMIFS(Infrastructure[2045],
Infrastructure[[variable_type]:[variable_type]],"H2_outflow",
Infrastructure[[cluster]:[cluster]],$B$513,
Infrastructure[[pipe_cluster_end]:[pipe_cluster_end]],$B521)*PJ2TWh,"")</f>
        <v>0</v>
      </c>
      <c r="AB521" s="51">
        <f>IFERROR(SUMIFS(Infrastructure[2046],
Infrastructure[[variable_type]:[variable_type]],"H2_outflow",
Infrastructure[[cluster]:[cluster]],$B$513,
Infrastructure[[pipe_cluster_end]:[pipe_cluster_end]],$B521)*PJ2TWh,"")</f>
        <v>0</v>
      </c>
      <c r="AC521" s="51">
        <f>IFERROR(SUMIFS(Infrastructure[2047],
Infrastructure[[variable_type]:[variable_type]],"H2_outflow",
Infrastructure[[cluster]:[cluster]],$B$513,
Infrastructure[[pipe_cluster_end]:[pipe_cluster_end]],$B521)*PJ2TWh,"")</f>
        <v>0</v>
      </c>
      <c r="AD521" s="51">
        <f>IFERROR(SUMIFS(Infrastructure[2048],
Infrastructure[[variable_type]:[variable_type]],"H2_outflow",
Infrastructure[[cluster]:[cluster]],$B$513,
Infrastructure[[pipe_cluster_end]:[pipe_cluster_end]],$B521)*PJ2TWh,"")</f>
        <v>0</v>
      </c>
      <c r="AE521" s="51">
        <f>IFERROR(SUMIFS(Infrastructure[2049],
Infrastructure[[variable_type]:[variable_type]],"H2_outflow",
Infrastructure[[cluster]:[cluster]],$B$513,
Infrastructure[[pipe_cluster_end]:[pipe_cluster_end]],$B521)*PJ2TWh,"")</f>
        <v>0</v>
      </c>
      <c r="AF521" s="51">
        <f>IFERROR(SUMIFS(Infrastructure[2050],
Infrastructure[[variable_type]:[variable_type]],"H2_outflow",
Infrastructure[[cluster]:[cluster]],$B$513,
Infrastructure[[pipe_cluster_end]:[pipe_cluster_end]],$B521)*PJ2TWh,"")</f>
        <v>0</v>
      </c>
      <c r="AG521" s="51">
        <f>IFERROR(SUMIFS(Infrastructure[2051],
Infrastructure[[variable_type]:[variable_type]],"H2_outflow",
Infrastructure[[cluster]:[cluster]],$B$513,
Infrastructure[[pipe_cluster_end]:[pipe_cluster_end]],$B521)*PJ2TWh,"")</f>
        <v>0</v>
      </c>
    </row>
    <row r="522" spans="2:33" x14ac:dyDescent="0.45">
      <c r="B522" s="24" t="s">
        <v>77</v>
      </c>
      <c r="C522" s="51">
        <f>IFERROR(SUMIFS(Infrastructure[2021],
Infrastructure[[variable_type]:[variable_type]],"H2_outflow",
Infrastructure[[cluster]:[cluster]],$B$513,
Infrastructure[[pipe_cluster_end]:[pipe_cluster_end]],$B522)*PJ2TWh,"")</f>
        <v>0</v>
      </c>
      <c r="D522" s="51">
        <f>IFERROR(SUMIFS(Infrastructure[2022],
Infrastructure[[variable_type]:[variable_type]],"H2_outflow",
Infrastructure[[cluster]:[cluster]],$B$513,
Infrastructure[[pipe_cluster_end]:[pipe_cluster_end]],$B522)*PJ2TWh,"")</f>
        <v>0</v>
      </c>
      <c r="E522" s="51">
        <f>IFERROR(SUMIFS(Infrastructure[2023],
Infrastructure[[variable_type]:[variable_type]],"H2_outflow",
Infrastructure[[cluster]:[cluster]],$B$513,
Infrastructure[[pipe_cluster_end]:[pipe_cluster_end]],$B522)*PJ2TWh,"")</f>
        <v>0</v>
      </c>
      <c r="F522" s="51">
        <f>IFERROR(SUMIFS(Infrastructure[2024],
Infrastructure[[variable_type]:[variable_type]],"H2_outflow",
Infrastructure[[cluster]:[cluster]],$B$513,
Infrastructure[[pipe_cluster_end]:[pipe_cluster_end]],$B522)*PJ2TWh,"")</f>
        <v>0</v>
      </c>
      <c r="G522" s="51">
        <f>IFERROR(SUMIFS(Infrastructure[2025],
Infrastructure[[variable_type]:[variable_type]],"H2_outflow",
Infrastructure[[cluster]:[cluster]],$B$513,
Infrastructure[[pipe_cluster_end]:[pipe_cluster_end]],$B522)*PJ2TWh,"")</f>
        <v>0</v>
      </c>
      <c r="H522" s="51">
        <f>IFERROR(SUMIFS(Infrastructure[2026],
Infrastructure[[variable_type]:[variable_type]],"H2_outflow",
Infrastructure[[cluster]:[cluster]],$B$513,
Infrastructure[[pipe_cluster_end]:[pipe_cluster_end]],$B522)*PJ2TWh,"")</f>
        <v>0</v>
      </c>
      <c r="I522" s="51">
        <f>IFERROR(SUMIFS(Infrastructure[2027],
Infrastructure[[variable_type]:[variable_type]],"H2_outflow",
Infrastructure[[cluster]:[cluster]],$B$513,
Infrastructure[[pipe_cluster_end]:[pipe_cluster_end]],$B522)*PJ2TWh,"")</f>
        <v>0</v>
      </c>
      <c r="J522" s="51">
        <f>IFERROR(SUMIFS(Infrastructure[2028],
Infrastructure[[variable_type]:[variable_type]],"H2_outflow",
Infrastructure[[cluster]:[cluster]],$B$513,
Infrastructure[[pipe_cluster_end]:[pipe_cluster_end]],$B522)*PJ2TWh,"")</f>
        <v>0</v>
      </c>
      <c r="K522" s="51">
        <f>IFERROR(SUMIFS(Infrastructure[2029],
Infrastructure[[variable_type]:[variable_type]],"H2_outflow",
Infrastructure[[cluster]:[cluster]],$B$513,
Infrastructure[[pipe_cluster_end]:[pipe_cluster_end]],$B522)*PJ2TWh,"")</f>
        <v>0</v>
      </c>
      <c r="L522" s="51">
        <f>IFERROR(SUMIFS(Infrastructure[2030],
Infrastructure[[variable_type]:[variable_type]],"H2_outflow",
Infrastructure[[cluster]:[cluster]],$B$513,
Infrastructure[[pipe_cluster_end]:[pipe_cluster_end]],$B522)*PJ2TWh,"")</f>
        <v>0</v>
      </c>
      <c r="M522" s="51">
        <f>IFERROR(SUMIFS(Infrastructure[2031],
Infrastructure[[variable_type]:[variable_type]],"H2_outflow",
Infrastructure[[cluster]:[cluster]],$B$513,
Infrastructure[[pipe_cluster_end]:[pipe_cluster_end]],$B522)*PJ2TWh,"")</f>
        <v>0</v>
      </c>
      <c r="N522" s="51">
        <f>IFERROR(SUMIFS(Infrastructure[2032],
Infrastructure[[variable_type]:[variable_type]],"H2_outflow",
Infrastructure[[cluster]:[cluster]],$B$513,
Infrastructure[[pipe_cluster_end]:[pipe_cluster_end]],$B522)*PJ2TWh,"")</f>
        <v>0</v>
      </c>
      <c r="O522" s="51">
        <f>IFERROR(SUMIFS(Infrastructure[2033],
Infrastructure[[variable_type]:[variable_type]],"H2_outflow",
Infrastructure[[cluster]:[cluster]],$B$513,
Infrastructure[[pipe_cluster_end]:[pipe_cluster_end]],$B522)*PJ2TWh,"")</f>
        <v>0</v>
      </c>
      <c r="P522" s="51">
        <f>IFERROR(SUMIFS(Infrastructure[2034],
Infrastructure[[variable_type]:[variable_type]],"H2_outflow",
Infrastructure[[cluster]:[cluster]],$B$513,
Infrastructure[[pipe_cluster_end]:[pipe_cluster_end]],$B522)*PJ2TWh,"")</f>
        <v>0</v>
      </c>
      <c r="Q522" s="51">
        <f>IFERROR(SUMIFS(Infrastructure[2035],
Infrastructure[[variable_type]:[variable_type]],"H2_outflow",
Infrastructure[[cluster]:[cluster]],$B$513,
Infrastructure[[pipe_cluster_end]:[pipe_cluster_end]],$B522)*PJ2TWh,"")</f>
        <v>0</v>
      </c>
      <c r="R522" s="51">
        <f>IFERROR(SUMIFS(Infrastructure[2036],
Infrastructure[[variable_type]:[variable_type]],"H2_outflow",
Infrastructure[[cluster]:[cluster]],$B$513,
Infrastructure[[pipe_cluster_end]:[pipe_cluster_end]],$B522)*PJ2TWh,"")</f>
        <v>0</v>
      </c>
      <c r="S522" s="51">
        <f>IFERROR(SUMIFS(Infrastructure[2037],
Infrastructure[[variable_type]:[variable_type]],"H2_outflow",
Infrastructure[[cluster]:[cluster]],$B$513,
Infrastructure[[pipe_cluster_end]:[pipe_cluster_end]],$B522)*PJ2TWh,"")</f>
        <v>0</v>
      </c>
      <c r="T522" s="51">
        <f>IFERROR(SUMIFS(Infrastructure[2038],
Infrastructure[[variable_type]:[variable_type]],"H2_outflow",
Infrastructure[[cluster]:[cluster]],$B$513,
Infrastructure[[pipe_cluster_end]:[pipe_cluster_end]],$B522)*PJ2TWh,"")</f>
        <v>0</v>
      </c>
      <c r="U522" s="51">
        <f>IFERROR(SUMIFS(Infrastructure[2039],
Infrastructure[[variable_type]:[variable_type]],"H2_outflow",
Infrastructure[[cluster]:[cluster]],$B$513,
Infrastructure[[pipe_cluster_end]:[pipe_cluster_end]],$B522)*PJ2TWh,"")</f>
        <v>0</v>
      </c>
      <c r="V522" s="51">
        <f>IFERROR(SUMIFS(Infrastructure[2040],
Infrastructure[[variable_type]:[variable_type]],"H2_outflow",
Infrastructure[[cluster]:[cluster]],$B$513,
Infrastructure[[pipe_cluster_end]:[pipe_cluster_end]],$B522)*PJ2TWh,"")</f>
        <v>0</v>
      </c>
      <c r="W522" s="51">
        <f>IFERROR(SUMIFS(Infrastructure[2041],
Infrastructure[[variable_type]:[variable_type]],"H2_outflow",
Infrastructure[[cluster]:[cluster]],$B$513,
Infrastructure[[pipe_cluster_end]:[pipe_cluster_end]],$B522)*PJ2TWh,"")</f>
        <v>0</v>
      </c>
      <c r="X522" s="51">
        <f>IFERROR(SUMIFS(Infrastructure[2042],
Infrastructure[[variable_type]:[variable_type]],"H2_outflow",
Infrastructure[[cluster]:[cluster]],$B$513,
Infrastructure[[pipe_cluster_end]:[pipe_cluster_end]],$B522)*PJ2TWh,"")</f>
        <v>0</v>
      </c>
      <c r="Y522" s="51">
        <f>IFERROR(SUMIFS(Infrastructure[2043],
Infrastructure[[variable_type]:[variable_type]],"H2_outflow",
Infrastructure[[cluster]:[cluster]],$B$513,
Infrastructure[[pipe_cluster_end]:[pipe_cluster_end]],$B522)*PJ2TWh,"")</f>
        <v>0</v>
      </c>
      <c r="Z522" s="51">
        <f>IFERROR(SUMIFS(Infrastructure[2044],
Infrastructure[[variable_type]:[variable_type]],"H2_outflow",
Infrastructure[[cluster]:[cluster]],$B$513,
Infrastructure[[pipe_cluster_end]:[pipe_cluster_end]],$B522)*PJ2TWh,"")</f>
        <v>0</v>
      </c>
      <c r="AA522" s="51">
        <f>IFERROR(SUMIFS(Infrastructure[2045],
Infrastructure[[variable_type]:[variable_type]],"H2_outflow",
Infrastructure[[cluster]:[cluster]],$B$513,
Infrastructure[[pipe_cluster_end]:[pipe_cluster_end]],$B522)*PJ2TWh,"")</f>
        <v>0</v>
      </c>
      <c r="AB522" s="51">
        <f>IFERROR(SUMIFS(Infrastructure[2046],
Infrastructure[[variable_type]:[variable_type]],"H2_outflow",
Infrastructure[[cluster]:[cluster]],$B$513,
Infrastructure[[pipe_cluster_end]:[pipe_cluster_end]],$B522)*PJ2TWh,"")</f>
        <v>0</v>
      </c>
      <c r="AC522" s="51">
        <f>IFERROR(SUMIFS(Infrastructure[2047],
Infrastructure[[variable_type]:[variable_type]],"H2_outflow",
Infrastructure[[cluster]:[cluster]],$B$513,
Infrastructure[[pipe_cluster_end]:[pipe_cluster_end]],$B522)*PJ2TWh,"")</f>
        <v>0</v>
      </c>
      <c r="AD522" s="51">
        <f>IFERROR(SUMIFS(Infrastructure[2048],
Infrastructure[[variable_type]:[variable_type]],"H2_outflow",
Infrastructure[[cluster]:[cluster]],$B$513,
Infrastructure[[pipe_cluster_end]:[pipe_cluster_end]],$B522)*PJ2TWh,"")</f>
        <v>0</v>
      </c>
      <c r="AE522" s="51">
        <f>IFERROR(SUMIFS(Infrastructure[2049],
Infrastructure[[variable_type]:[variable_type]],"H2_outflow",
Infrastructure[[cluster]:[cluster]],$B$513,
Infrastructure[[pipe_cluster_end]:[pipe_cluster_end]],$B522)*PJ2TWh,"")</f>
        <v>0</v>
      </c>
      <c r="AF522" s="51">
        <f>IFERROR(SUMIFS(Infrastructure[2050],
Infrastructure[[variable_type]:[variable_type]],"H2_outflow",
Infrastructure[[cluster]:[cluster]],$B$513,
Infrastructure[[pipe_cluster_end]:[pipe_cluster_end]],$B522)*PJ2TWh,"")</f>
        <v>0</v>
      </c>
      <c r="AG522" s="51">
        <f>IFERROR(SUMIFS(Infrastructure[2051],
Infrastructure[[variable_type]:[variable_type]],"H2_outflow",
Infrastructure[[cluster]:[cluster]],$B$513,
Infrastructure[[pipe_cluster_end]:[pipe_cluster_end]],$B522)*PJ2TWh,"")</f>
        <v>0</v>
      </c>
    </row>
    <row r="523" spans="2:33" x14ac:dyDescent="0.45">
      <c r="B523" s="24" t="s">
        <v>78</v>
      </c>
      <c r="C523" s="51">
        <f>IFERROR(SUMIFS(Infrastructure[2021],
Infrastructure[[variable_type]:[variable_type]],"H2_outflow",
Infrastructure[[cluster]:[cluster]],$B$513,
Infrastructure[[pipe_cluster_end]:[pipe_cluster_end]],$B523)*PJ2TWh,"")</f>
        <v>0</v>
      </c>
      <c r="D523" s="51">
        <f>IFERROR(SUMIFS(Infrastructure[2022],
Infrastructure[[variable_type]:[variable_type]],"H2_outflow",
Infrastructure[[cluster]:[cluster]],$B$513,
Infrastructure[[pipe_cluster_end]:[pipe_cluster_end]],$B523)*PJ2TWh,"")</f>
        <v>0</v>
      </c>
      <c r="E523" s="51">
        <f>IFERROR(SUMIFS(Infrastructure[2023],
Infrastructure[[variable_type]:[variable_type]],"H2_outflow",
Infrastructure[[cluster]:[cluster]],$B$513,
Infrastructure[[pipe_cluster_end]:[pipe_cluster_end]],$B523)*PJ2TWh,"")</f>
        <v>0</v>
      </c>
      <c r="F523" s="51">
        <f>IFERROR(SUMIFS(Infrastructure[2024],
Infrastructure[[variable_type]:[variable_type]],"H2_outflow",
Infrastructure[[cluster]:[cluster]],$B$513,
Infrastructure[[pipe_cluster_end]:[pipe_cluster_end]],$B523)*PJ2TWh,"")</f>
        <v>0</v>
      </c>
      <c r="G523" s="51">
        <f>IFERROR(SUMIFS(Infrastructure[2025],
Infrastructure[[variable_type]:[variable_type]],"H2_outflow",
Infrastructure[[cluster]:[cluster]],$B$513,
Infrastructure[[pipe_cluster_end]:[pipe_cluster_end]],$B523)*PJ2TWh,"")</f>
        <v>0</v>
      </c>
      <c r="H523" s="51">
        <f>IFERROR(SUMIFS(Infrastructure[2026],
Infrastructure[[variable_type]:[variable_type]],"H2_outflow",
Infrastructure[[cluster]:[cluster]],$B$513,
Infrastructure[[pipe_cluster_end]:[pipe_cluster_end]],$B523)*PJ2TWh,"")</f>
        <v>0</v>
      </c>
      <c r="I523" s="51">
        <f>IFERROR(SUMIFS(Infrastructure[2027],
Infrastructure[[variable_type]:[variable_type]],"H2_outflow",
Infrastructure[[cluster]:[cluster]],$B$513,
Infrastructure[[pipe_cluster_end]:[pipe_cluster_end]],$B523)*PJ2TWh,"")</f>
        <v>0</v>
      </c>
      <c r="J523" s="51">
        <f>IFERROR(SUMIFS(Infrastructure[2028],
Infrastructure[[variable_type]:[variable_type]],"H2_outflow",
Infrastructure[[cluster]:[cluster]],$B$513,
Infrastructure[[pipe_cluster_end]:[pipe_cluster_end]],$B523)*PJ2TWh,"")</f>
        <v>0</v>
      </c>
      <c r="K523" s="51">
        <f>IFERROR(SUMIFS(Infrastructure[2029],
Infrastructure[[variable_type]:[variable_type]],"H2_outflow",
Infrastructure[[cluster]:[cluster]],$B$513,
Infrastructure[[pipe_cluster_end]:[pipe_cluster_end]],$B523)*PJ2TWh,"")</f>
        <v>0</v>
      </c>
      <c r="L523" s="51">
        <f>IFERROR(SUMIFS(Infrastructure[2030],
Infrastructure[[variable_type]:[variable_type]],"H2_outflow",
Infrastructure[[cluster]:[cluster]],$B$513,
Infrastructure[[pipe_cluster_end]:[pipe_cluster_end]],$B523)*PJ2TWh,"")</f>
        <v>0</v>
      </c>
      <c r="M523" s="51">
        <f>IFERROR(SUMIFS(Infrastructure[2031],
Infrastructure[[variable_type]:[variable_type]],"H2_outflow",
Infrastructure[[cluster]:[cluster]],$B$513,
Infrastructure[[pipe_cluster_end]:[pipe_cluster_end]],$B523)*PJ2TWh,"")</f>
        <v>0</v>
      </c>
      <c r="N523" s="51">
        <f>IFERROR(SUMIFS(Infrastructure[2032],
Infrastructure[[variable_type]:[variable_type]],"H2_outflow",
Infrastructure[[cluster]:[cluster]],$B$513,
Infrastructure[[pipe_cluster_end]:[pipe_cluster_end]],$B523)*PJ2TWh,"")</f>
        <v>0</v>
      </c>
      <c r="O523" s="51">
        <f>IFERROR(SUMIFS(Infrastructure[2033],
Infrastructure[[variable_type]:[variable_type]],"H2_outflow",
Infrastructure[[cluster]:[cluster]],$B$513,
Infrastructure[[pipe_cluster_end]:[pipe_cluster_end]],$B523)*PJ2TWh,"")</f>
        <v>0</v>
      </c>
      <c r="P523" s="51">
        <f>IFERROR(SUMIFS(Infrastructure[2034],
Infrastructure[[variable_type]:[variable_type]],"H2_outflow",
Infrastructure[[cluster]:[cluster]],$B$513,
Infrastructure[[pipe_cluster_end]:[pipe_cluster_end]],$B523)*PJ2TWh,"")</f>
        <v>0</v>
      </c>
      <c r="Q523" s="51">
        <f>IFERROR(SUMIFS(Infrastructure[2035],
Infrastructure[[variable_type]:[variable_type]],"H2_outflow",
Infrastructure[[cluster]:[cluster]],$B$513,
Infrastructure[[pipe_cluster_end]:[pipe_cluster_end]],$B523)*PJ2TWh,"")</f>
        <v>0</v>
      </c>
      <c r="R523" s="51">
        <f>IFERROR(SUMIFS(Infrastructure[2036],
Infrastructure[[variable_type]:[variable_type]],"H2_outflow",
Infrastructure[[cluster]:[cluster]],$B$513,
Infrastructure[[pipe_cluster_end]:[pipe_cluster_end]],$B523)*PJ2TWh,"")</f>
        <v>0</v>
      </c>
      <c r="S523" s="51">
        <f>IFERROR(SUMIFS(Infrastructure[2037],
Infrastructure[[variable_type]:[variable_type]],"H2_outflow",
Infrastructure[[cluster]:[cluster]],$B$513,
Infrastructure[[pipe_cluster_end]:[pipe_cluster_end]],$B523)*PJ2TWh,"")</f>
        <v>0</v>
      </c>
      <c r="T523" s="51">
        <f>IFERROR(SUMIFS(Infrastructure[2038],
Infrastructure[[variable_type]:[variable_type]],"H2_outflow",
Infrastructure[[cluster]:[cluster]],$B$513,
Infrastructure[[pipe_cluster_end]:[pipe_cluster_end]],$B523)*PJ2TWh,"")</f>
        <v>0</v>
      </c>
      <c r="U523" s="51">
        <f>IFERROR(SUMIFS(Infrastructure[2039],
Infrastructure[[variable_type]:[variable_type]],"H2_outflow",
Infrastructure[[cluster]:[cluster]],$B$513,
Infrastructure[[pipe_cluster_end]:[pipe_cluster_end]],$B523)*PJ2TWh,"")</f>
        <v>0</v>
      </c>
      <c r="V523" s="51">
        <f>IFERROR(SUMIFS(Infrastructure[2040],
Infrastructure[[variable_type]:[variable_type]],"H2_outflow",
Infrastructure[[cluster]:[cluster]],$B$513,
Infrastructure[[pipe_cluster_end]:[pipe_cluster_end]],$B523)*PJ2TWh,"")</f>
        <v>0</v>
      </c>
      <c r="W523" s="51">
        <f>IFERROR(SUMIFS(Infrastructure[2041],
Infrastructure[[variable_type]:[variable_type]],"H2_outflow",
Infrastructure[[cluster]:[cluster]],$B$513,
Infrastructure[[pipe_cluster_end]:[pipe_cluster_end]],$B523)*PJ2TWh,"")</f>
        <v>0</v>
      </c>
      <c r="X523" s="51">
        <f>IFERROR(SUMIFS(Infrastructure[2042],
Infrastructure[[variable_type]:[variable_type]],"H2_outflow",
Infrastructure[[cluster]:[cluster]],$B$513,
Infrastructure[[pipe_cluster_end]:[pipe_cluster_end]],$B523)*PJ2TWh,"")</f>
        <v>0</v>
      </c>
      <c r="Y523" s="51">
        <f>IFERROR(SUMIFS(Infrastructure[2043],
Infrastructure[[variable_type]:[variable_type]],"H2_outflow",
Infrastructure[[cluster]:[cluster]],$B$513,
Infrastructure[[pipe_cluster_end]:[pipe_cluster_end]],$B523)*PJ2TWh,"")</f>
        <v>0</v>
      </c>
      <c r="Z523" s="51">
        <f>IFERROR(SUMIFS(Infrastructure[2044],
Infrastructure[[variable_type]:[variable_type]],"H2_outflow",
Infrastructure[[cluster]:[cluster]],$B$513,
Infrastructure[[pipe_cluster_end]:[pipe_cluster_end]],$B523)*PJ2TWh,"")</f>
        <v>0</v>
      </c>
      <c r="AA523" s="51">
        <f>IFERROR(SUMIFS(Infrastructure[2045],
Infrastructure[[variable_type]:[variable_type]],"H2_outflow",
Infrastructure[[cluster]:[cluster]],$B$513,
Infrastructure[[pipe_cluster_end]:[pipe_cluster_end]],$B523)*PJ2TWh,"")</f>
        <v>0</v>
      </c>
      <c r="AB523" s="51">
        <f>IFERROR(SUMIFS(Infrastructure[2046],
Infrastructure[[variable_type]:[variable_type]],"H2_outflow",
Infrastructure[[cluster]:[cluster]],$B$513,
Infrastructure[[pipe_cluster_end]:[pipe_cluster_end]],$B523)*PJ2TWh,"")</f>
        <v>0</v>
      </c>
      <c r="AC523" s="51">
        <f>IFERROR(SUMIFS(Infrastructure[2047],
Infrastructure[[variable_type]:[variable_type]],"H2_outflow",
Infrastructure[[cluster]:[cluster]],$B$513,
Infrastructure[[pipe_cluster_end]:[pipe_cluster_end]],$B523)*PJ2TWh,"")</f>
        <v>0</v>
      </c>
      <c r="AD523" s="51">
        <f>IFERROR(SUMIFS(Infrastructure[2048],
Infrastructure[[variable_type]:[variable_type]],"H2_outflow",
Infrastructure[[cluster]:[cluster]],$B$513,
Infrastructure[[pipe_cluster_end]:[pipe_cluster_end]],$B523)*PJ2TWh,"")</f>
        <v>0</v>
      </c>
      <c r="AE523" s="51">
        <f>IFERROR(SUMIFS(Infrastructure[2049],
Infrastructure[[variable_type]:[variable_type]],"H2_outflow",
Infrastructure[[cluster]:[cluster]],$B$513,
Infrastructure[[pipe_cluster_end]:[pipe_cluster_end]],$B523)*PJ2TWh,"")</f>
        <v>0</v>
      </c>
      <c r="AF523" s="51">
        <f>IFERROR(SUMIFS(Infrastructure[2050],
Infrastructure[[variable_type]:[variable_type]],"H2_outflow",
Infrastructure[[cluster]:[cluster]],$B$513,
Infrastructure[[pipe_cluster_end]:[pipe_cluster_end]],$B523)*PJ2TWh,"")</f>
        <v>0</v>
      </c>
      <c r="AG523" s="51">
        <f>IFERROR(SUMIFS(Infrastructure[2051],
Infrastructure[[variable_type]:[variable_type]],"H2_outflow",
Infrastructure[[cluster]:[cluster]],$B$513,
Infrastructure[[pipe_cluster_end]:[pipe_cluster_end]],$B523)*PJ2TWh,"")</f>
        <v>0</v>
      </c>
    </row>
    <row r="524" spans="2:33" x14ac:dyDescent="0.45">
      <c r="B524" s="6" t="s">
        <v>75</v>
      </c>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row>
    <row r="525" spans="2:33" x14ac:dyDescent="0.45">
      <c r="B525" s="24" t="s">
        <v>70</v>
      </c>
      <c r="C525" s="51">
        <f>IFERROR(SUMIFS(Infrastructure[2021],
Infrastructure[[variable_type]:[variable_type]],"H2_outflow",
Infrastructure[[cluster]:[cluster]],$B$524,
Infrastructure[[pipe_cluster_end]:[pipe_cluster_end]],$B525)*PJ2TWh,"")</f>
        <v>0</v>
      </c>
      <c r="D525" s="51">
        <f>IFERROR(SUMIFS(Infrastructure[2022],
Infrastructure[[variable_type]:[variable_type]],"H2_outflow",
Infrastructure[[cluster]:[cluster]],$B$524,
Infrastructure[[pipe_cluster_end]:[pipe_cluster_end]],$B525)*PJ2TWh,"")</f>
        <v>0</v>
      </c>
      <c r="E525" s="51">
        <f>IFERROR(SUMIFS(Infrastructure[2023],
Infrastructure[[variable_type]:[variable_type]],"H2_outflow",
Infrastructure[[cluster]:[cluster]],$B$524,
Infrastructure[[pipe_cluster_end]:[pipe_cluster_end]],$B525)*PJ2TWh,"")</f>
        <v>0</v>
      </c>
      <c r="F525" s="51">
        <f>IFERROR(SUMIFS(Infrastructure[2024],
Infrastructure[[variable_type]:[variable_type]],"H2_outflow",
Infrastructure[[cluster]:[cluster]],$B$524,
Infrastructure[[pipe_cluster_end]:[pipe_cluster_end]],$B525)*PJ2TWh,"")</f>
        <v>0</v>
      </c>
      <c r="G525" s="51">
        <f>IFERROR(SUMIFS(Infrastructure[2025],
Infrastructure[[variable_type]:[variable_type]],"H2_outflow",
Infrastructure[[cluster]:[cluster]],$B$524,
Infrastructure[[pipe_cluster_end]:[pipe_cluster_end]],$B525)*PJ2TWh,"")</f>
        <v>0</v>
      </c>
      <c r="H525" s="51">
        <f>IFERROR(SUMIFS(Infrastructure[2026],
Infrastructure[[variable_type]:[variable_type]],"H2_outflow",
Infrastructure[[cluster]:[cluster]],$B$524,
Infrastructure[[pipe_cluster_end]:[pipe_cluster_end]],$B525)*PJ2TWh,"")</f>
        <v>0</v>
      </c>
      <c r="I525" s="51">
        <f>IFERROR(SUMIFS(Infrastructure[2027],
Infrastructure[[variable_type]:[variable_type]],"H2_outflow",
Infrastructure[[cluster]:[cluster]],$B$524,
Infrastructure[[pipe_cluster_end]:[pipe_cluster_end]],$B525)*PJ2TWh,"")</f>
        <v>0</v>
      </c>
      <c r="J525" s="51">
        <f>IFERROR(SUMIFS(Infrastructure[2028],
Infrastructure[[variable_type]:[variable_type]],"H2_outflow",
Infrastructure[[cluster]:[cluster]],$B$524,
Infrastructure[[pipe_cluster_end]:[pipe_cluster_end]],$B525)*PJ2TWh,"")</f>
        <v>0</v>
      </c>
      <c r="K525" s="51">
        <f>IFERROR(SUMIFS(Infrastructure[2029],
Infrastructure[[variable_type]:[variable_type]],"H2_outflow",
Infrastructure[[cluster]:[cluster]],$B$524,
Infrastructure[[pipe_cluster_end]:[pipe_cluster_end]],$B525)*PJ2TWh,"")</f>
        <v>0</v>
      </c>
      <c r="L525" s="51">
        <f>IFERROR(SUMIFS(Infrastructure[2030],
Infrastructure[[variable_type]:[variable_type]],"H2_outflow",
Infrastructure[[cluster]:[cluster]],$B$524,
Infrastructure[[pipe_cluster_end]:[pipe_cluster_end]],$B525)*PJ2TWh,"")</f>
        <v>0</v>
      </c>
      <c r="M525" s="51">
        <f>IFERROR(SUMIFS(Infrastructure[2031],
Infrastructure[[variable_type]:[variable_type]],"H2_outflow",
Infrastructure[[cluster]:[cluster]],$B$524,
Infrastructure[[pipe_cluster_end]:[pipe_cluster_end]],$B525)*PJ2TWh,"")</f>
        <v>0</v>
      </c>
      <c r="N525" s="51">
        <f>IFERROR(SUMIFS(Infrastructure[2032],
Infrastructure[[variable_type]:[variable_type]],"H2_outflow",
Infrastructure[[cluster]:[cluster]],$B$524,
Infrastructure[[pipe_cluster_end]:[pipe_cluster_end]],$B525)*PJ2TWh,"")</f>
        <v>0</v>
      </c>
      <c r="O525" s="51">
        <f>IFERROR(SUMIFS(Infrastructure[2033],
Infrastructure[[variable_type]:[variable_type]],"H2_outflow",
Infrastructure[[cluster]:[cluster]],$B$524,
Infrastructure[[pipe_cluster_end]:[pipe_cluster_end]],$B525)*PJ2TWh,"")</f>
        <v>0</v>
      </c>
      <c r="P525" s="51">
        <f>IFERROR(SUMIFS(Infrastructure[2034],
Infrastructure[[variable_type]:[variable_type]],"H2_outflow",
Infrastructure[[cluster]:[cluster]],$B$524,
Infrastructure[[pipe_cluster_end]:[pipe_cluster_end]],$B525)*PJ2TWh,"")</f>
        <v>0</v>
      </c>
      <c r="Q525" s="51">
        <f>IFERROR(SUMIFS(Infrastructure[2035],
Infrastructure[[variable_type]:[variable_type]],"H2_outflow",
Infrastructure[[cluster]:[cluster]],$B$524,
Infrastructure[[pipe_cluster_end]:[pipe_cluster_end]],$B525)*PJ2TWh,"")</f>
        <v>0</v>
      </c>
      <c r="R525" s="51">
        <f>IFERROR(SUMIFS(Infrastructure[2036],
Infrastructure[[variable_type]:[variable_type]],"H2_outflow",
Infrastructure[[cluster]:[cluster]],$B$524,
Infrastructure[[pipe_cluster_end]:[pipe_cluster_end]],$B525)*PJ2TWh,"")</f>
        <v>0</v>
      </c>
      <c r="S525" s="51">
        <f>IFERROR(SUMIFS(Infrastructure[2037],
Infrastructure[[variable_type]:[variable_type]],"H2_outflow",
Infrastructure[[cluster]:[cluster]],$B$524,
Infrastructure[[pipe_cluster_end]:[pipe_cluster_end]],$B525)*PJ2TWh,"")</f>
        <v>0</v>
      </c>
      <c r="T525" s="51">
        <f>IFERROR(SUMIFS(Infrastructure[2038],
Infrastructure[[variable_type]:[variable_type]],"H2_outflow",
Infrastructure[[cluster]:[cluster]],$B$524,
Infrastructure[[pipe_cluster_end]:[pipe_cluster_end]],$B525)*PJ2TWh,"")</f>
        <v>0</v>
      </c>
      <c r="U525" s="51">
        <f>IFERROR(SUMIFS(Infrastructure[2039],
Infrastructure[[variable_type]:[variable_type]],"H2_outflow",
Infrastructure[[cluster]:[cluster]],$B$524,
Infrastructure[[pipe_cluster_end]:[pipe_cluster_end]],$B525)*PJ2TWh,"")</f>
        <v>0</v>
      </c>
      <c r="V525" s="51">
        <f>IFERROR(SUMIFS(Infrastructure[2040],
Infrastructure[[variable_type]:[variable_type]],"H2_outflow",
Infrastructure[[cluster]:[cluster]],$B$524,
Infrastructure[[pipe_cluster_end]:[pipe_cluster_end]],$B525)*PJ2TWh,"")</f>
        <v>0</v>
      </c>
      <c r="W525" s="51">
        <f>IFERROR(SUMIFS(Infrastructure[2041],
Infrastructure[[variable_type]:[variable_type]],"H2_outflow",
Infrastructure[[cluster]:[cluster]],$B$524,
Infrastructure[[pipe_cluster_end]:[pipe_cluster_end]],$B525)*PJ2TWh,"")</f>
        <v>0</v>
      </c>
      <c r="X525" s="51">
        <f>IFERROR(SUMIFS(Infrastructure[2042],
Infrastructure[[variable_type]:[variable_type]],"H2_outflow",
Infrastructure[[cluster]:[cluster]],$B$524,
Infrastructure[[pipe_cluster_end]:[pipe_cluster_end]],$B525)*PJ2TWh,"")</f>
        <v>0</v>
      </c>
      <c r="Y525" s="51">
        <f>IFERROR(SUMIFS(Infrastructure[2043],
Infrastructure[[variable_type]:[variable_type]],"H2_outflow",
Infrastructure[[cluster]:[cluster]],$B$524,
Infrastructure[[pipe_cluster_end]:[pipe_cluster_end]],$B525)*PJ2TWh,"")</f>
        <v>0</v>
      </c>
      <c r="Z525" s="51">
        <f>IFERROR(SUMIFS(Infrastructure[2044],
Infrastructure[[variable_type]:[variable_type]],"H2_outflow",
Infrastructure[[cluster]:[cluster]],$B$524,
Infrastructure[[pipe_cluster_end]:[pipe_cluster_end]],$B525)*PJ2TWh,"")</f>
        <v>0</v>
      </c>
      <c r="AA525" s="51">
        <f>IFERROR(SUMIFS(Infrastructure[2045],
Infrastructure[[variable_type]:[variable_type]],"H2_outflow",
Infrastructure[[cluster]:[cluster]],$B$524,
Infrastructure[[pipe_cluster_end]:[pipe_cluster_end]],$B525)*PJ2TWh,"")</f>
        <v>0</v>
      </c>
      <c r="AB525" s="51">
        <f>IFERROR(SUMIFS(Infrastructure[2046],
Infrastructure[[variable_type]:[variable_type]],"H2_outflow",
Infrastructure[[cluster]:[cluster]],$B$524,
Infrastructure[[pipe_cluster_end]:[pipe_cluster_end]],$B525)*PJ2TWh,"")</f>
        <v>0</v>
      </c>
      <c r="AC525" s="51">
        <f>IFERROR(SUMIFS(Infrastructure[2047],
Infrastructure[[variable_type]:[variable_type]],"H2_outflow",
Infrastructure[[cluster]:[cluster]],$B$524,
Infrastructure[[pipe_cluster_end]:[pipe_cluster_end]],$B525)*PJ2TWh,"")</f>
        <v>0</v>
      </c>
      <c r="AD525" s="51">
        <f>IFERROR(SUMIFS(Infrastructure[2048],
Infrastructure[[variable_type]:[variable_type]],"H2_outflow",
Infrastructure[[cluster]:[cluster]],$B$524,
Infrastructure[[pipe_cluster_end]:[pipe_cluster_end]],$B525)*PJ2TWh,"")</f>
        <v>0</v>
      </c>
      <c r="AE525" s="51">
        <f>IFERROR(SUMIFS(Infrastructure[2049],
Infrastructure[[variable_type]:[variable_type]],"H2_outflow",
Infrastructure[[cluster]:[cluster]],$B$524,
Infrastructure[[pipe_cluster_end]:[pipe_cluster_end]],$B525)*PJ2TWh,"")</f>
        <v>0</v>
      </c>
      <c r="AF525" s="51">
        <f>IFERROR(SUMIFS(Infrastructure[2050],
Infrastructure[[variable_type]:[variable_type]],"H2_outflow",
Infrastructure[[cluster]:[cluster]],$B$524,
Infrastructure[[pipe_cluster_end]:[pipe_cluster_end]],$B525)*PJ2TWh,"")</f>
        <v>0</v>
      </c>
      <c r="AG525" s="51">
        <f>IFERROR(SUMIFS(Infrastructure[2051],
Infrastructure[[variable_type]:[variable_type]],"H2_outflow",
Infrastructure[[cluster]:[cluster]],$B$524,
Infrastructure[[pipe_cluster_end]:[pipe_cluster_end]],$B525)*PJ2TWh,"")</f>
        <v>0</v>
      </c>
    </row>
    <row r="526" spans="2:33" x14ac:dyDescent="0.45">
      <c r="B526" s="24" t="s">
        <v>52</v>
      </c>
      <c r="C526" s="51">
        <f>IFERROR(SUMIFS(Infrastructure[2021],
Infrastructure[[variable_type]:[variable_type]],"H2_outflow",
Infrastructure[[cluster]:[cluster]],$B$524,
Infrastructure[[pipe_cluster_end]:[pipe_cluster_end]],$B526)*PJ2TWh,"")</f>
        <v>0</v>
      </c>
      <c r="D526" s="51">
        <f>IFERROR(SUMIFS(Infrastructure[2022],
Infrastructure[[variable_type]:[variable_type]],"H2_outflow",
Infrastructure[[cluster]:[cluster]],$B$524,
Infrastructure[[pipe_cluster_end]:[pipe_cluster_end]],$B526)*PJ2TWh,"")</f>
        <v>0</v>
      </c>
      <c r="E526" s="51">
        <f>IFERROR(SUMIFS(Infrastructure[2023],
Infrastructure[[variable_type]:[variable_type]],"H2_outflow",
Infrastructure[[cluster]:[cluster]],$B$524,
Infrastructure[[pipe_cluster_end]:[pipe_cluster_end]],$B526)*PJ2TWh,"")</f>
        <v>0</v>
      </c>
      <c r="F526" s="51">
        <f>IFERROR(SUMIFS(Infrastructure[2024],
Infrastructure[[variable_type]:[variable_type]],"H2_outflow",
Infrastructure[[cluster]:[cluster]],$B$524,
Infrastructure[[pipe_cluster_end]:[pipe_cluster_end]],$B526)*PJ2TWh,"")</f>
        <v>0</v>
      </c>
      <c r="G526" s="51">
        <f>IFERROR(SUMIFS(Infrastructure[2025],
Infrastructure[[variable_type]:[variable_type]],"H2_outflow",
Infrastructure[[cluster]:[cluster]],$B$524,
Infrastructure[[pipe_cluster_end]:[pipe_cluster_end]],$B526)*PJ2TWh,"")</f>
        <v>0</v>
      </c>
      <c r="H526" s="51">
        <f>IFERROR(SUMIFS(Infrastructure[2026],
Infrastructure[[variable_type]:[variable_type]],"H2_outflow",
Infrastructure[[cluster]:[cluster]],$B$524,
Infrastructure[[pipe_cluster_end]:[pipe_cluster_end]],$B526)*PJ2TWh,"")</f>
        <v>0</v>
      </c>
      <c r="I526" s="51">
        <f>IFERROR(SUMIFS(Infrastructure[2027],
Infrastructure[[variable_type]:[variable_type]],"H2_outflow",
Infrastructure[[cluster]:[cluster]],$B$524,
Infrastructure[[pipe_cluster_end]:[pipe_cluster_end]],$B526)*PJ2TWh,"")</f>
        <v>0</v>
      </c>
      <c r="J526" s="51">
        <f>IFERROR(SUMIFS(Infrastructure[2028],
Infrastructure[[variable_type]:[variable_type]],"H2_outflow",
Infrastructure[[cluster]:[cluster]],$B$524,
Infrastructure[[pipe_cluster_end]:[pipe_cluster_end]],$B526)*PJ2TWh,"")</f>
        <v>0</v>
      </c>
      <c r="K526" s="51">
        <f>IFERROR(SUMIFS(Infrastructure[2029],
Infrastructure[[variable_type]:[variable_type]],"H2_outflow",
Infrastructure[[cluster]:[cluster]],$B$524,
Infrastructure[[pipe_cluster_end]:[pipe_cluster_end]],$B526)*PJ2TWh,"")</f>
        <v>0</v>
      </c>
      <c r="L526" s="51">
        <f>IFERROR(SUMIFS(Infrastructure[2030],
Infrastructure[[variable_type]:[variable_type]],"H2_outflow",
Infrastructure[[cluster]:[cluster]],$B$524,
Infrastructure[[pipe_cluster_end]:[pipe_cluster_end]],$B526)*PJ2TWh,"")</f>
        <v>0</v>
      </c>
      <c r="M526" s="51">
        <f>IFERROR(SUMIFS(Infrastructure[2031],
Infrastructure[[variable_type]:[variable_type]],"H2_outflow",
Infrastructure[[cluster]:[cluster]],$B$524,
Infrastructure[[pipe_cluster_end]:[pipe_cluster_end]],$B526)*PJ2TWh,"")</f>
        <v>0</v>
      </c>
      <c r="N526" s="51">
        <f>IFERROR(SUMIFS(Infrastructure[2032],
Infrastructure[[variable_type]:[variable_type]],"H2_outflow",
Infrastructure[[cluster]:[cluster]],$B$524,
Infrastructure[[pipe_cluster_end]:[pipe_cluster_end]],$B526)*PJ2TWh,"")</f>
        <v>0</v>
      </c>
      <c r="O526" s="51">
        <f>IFERROR(SUMIFS(Infrastructure[2033],
Infrastructure[[variable_type]:[variable_type]],"H2_outflow",
Infrastructure[[cluster]:[cluster]],$B$524,
Infrastructure[[pipe_cluster_end]:[pipe_cluster_end]],$B526)*PJ2TWh,"")</f>
        <v>0</v>
      </c>
      <c r="P526" s="51">
        <f>IFERROR(SUMIFS(Infrastructure[2034],
Infrastructure[[variable_type]:[variable_type]],"H2_outflow",
Infrastructure[[cluster]:[cluster]],$B$524,
Infrastructure[[pipe_cluster_end]:[pipe_cluster_end]],$B526)*PJ2TWh,"")</f>
        <v>0</v>
      </c>
      <c r="Q526" s="51">
        <f>IFERROR(SUMIFS(Infrastructure[2035],
Infrastructure[[variable_type]:[variable_type]],"H2_outflow",
Infrastructure[[cluster]:[cluster]],$B$524,
Infrastructure[[pipe_cluster_end]:[pipe_cluster_end]],$B526)*PJ2TWh,"")</f>
        <v>0</v>
      </c>
      <c r="R526" s="51">
        <f>IFERROR(SUMIFS(Infrastructure[2036],
Infrastructure[[variable_type]:[variable_type]],"H2_outflow",
Infrastructure[[cluster]:[cluster]],$B$524,
Infrastructure[[pipe_cluster_end]:[pipe_cluster_end]],$B526)*PJ2TWh,"")</f>
        <v>0</v>
      </c>
      <c r="S526" s="51">
        <f>IFERROR(SUMIFS(Infrastructure[2037],
Infrastructure[[variable_type]:[variable_type]],"H2_outflow",
Infrastructure[[cluster]:[cluster]],$B$524,
Infrastructure[[pipe_cluster_end]:[pipe_cluster_end]],$B526)*PJ2TWh,"")</f>
        <v>0</v>
      </c>
      <c r="T526" s="51">
        <f>IFERROR(SUMIFS(Infrastructure[2038],
Infrastructure[[variable_type]:[variable_type]],"H2_outflow",
Infrastructure[[cluster]:[cluster]],$B$524,
Infrastructure[[pipe_cluster_end]:[pipe_cluster_end]],$B526)*PJ2TWh,"")</f>
        <v>0</v>
      </c>
      <c r="U526" s="51">
        <f>IFERROR(SUMIFS(Infrastructure[2039],
Infrastructure[[variable_type]:[variable_type]],"H2_outflow",
Infrastructure[[cluster]:[cluster]],$B$524,
Infrastructure[[pipe_cluster_end]:[pipe_cluster_end]],$B526)*PJ2TWh,"")</f>
        <v>0</v>
      </c>
      <c r="V526" s="51">
        <f>IFERROR(SUMIFS(Infrastructure[2040],
Infrastructure[[variable_type]:[variable_type]],"H2_outflow",
Infrastructure[[cluster]:[cluster]],$B$524,
Infrastructure[[pipe_cluster_end]:[pipe_cluster_end]],$B526)*PJ2TWh,"")</f>
        <v>0</v>
      </c>
      <c r="W526" s="51">
        <f>IFERROR(SUMIFS(Infrastructure[2041],
Infrastructure[[variable_type]:[variable_type]],"H2_outflow",
Infrastructure[[cluster]:[cluster]],$B$524,
Infrastructure[[pipe_cluster_end]:[pipe_cluster_end]],$B526)*PJ2TWh,"")</f>
        <v>0</v>
      </c>
      <c r="X526" s="51">
        <f>IFERROR(SUMIFS(Infrastructure[2042],
Infrastructure[[variable_type]:[variable_type]],"H2_outflow",
Infrastructure[[cluster]:[cluster]],$B$524,
Infrastructure[[pipe_cluster_end]:[pipe_cluster_end]],$B526)*PJ2TWh,"")</f>
        <v>0</v>
      </c>
      <c r="Y526" s="51">
        <f>IFERROR(SUMIFS(Infrastructure[2043],
Infrastructure[[variable_type]:[variable_type]],"H2_outflow",
Infrastructure[[cluster]:[cluster]],$B$524,
Infrastructure[[pipe_cluster_end]:[pipe_cluster_end]],$B526)*PJ2TWh,"")</f>
        <v>0</v>
      </c>
      <c r="Z526" s="51">
        <f>IFERROR(SUMIFS(Infrastructure[2044],
Infrastructure[[variable_type]:[variable_type]],"H2_outflow",
Infrastructure[[cluster]:[cluster]],$B$524,
Infrastructure[[pipe_cluster_end]:[pipe_cluster_end]],$B526)*PJ2TWh,"")</f>
        <v>0</v>
      </c>
      <c r="AA526" s="51">
        <f>IFERROR(SUMIFS(Infrastructure[2045],
Infrastructure[[variable_type]:[variable_type]],"H2_outflow",
Infrastructure[[cluster]:[cluster]],$B$524,
Infrastructure[[pipe_cluster_end]:[pipe_cluster_end]],$B526)*PJ2TWh,"")</f>
        <v>0</v>
      </c>
      <c r="AB526" s="51">
        <f>IFERROR(SUMIFS(Infrastructure[2046],
Infrastructure[[variable_type]:[variable_type]],"H2_outflow",
Infrastructure[[cluster]:[cluster]],$B$524,
Infrastructure[[pipe_cluster_end]:[pipe_cluster_end]],$B526)*PJ2TWh,"")</f>
        <v>0</v>
      </c>
      <c r="AC526" s="51">
        <f>IFERROR(SUMIFS(Infrastructure[2047],
Infrastructure[[variable_type]:[variable_type]],"H2_outflow",
Infrastructure[[cluster]:[cluster]],$B$524,
Infrastructure[[pipe_cluster_end]:[pipe_cluster_end]],$B526)*PJ2TWh,"")</f>
        <v>0</v>
      </c>
      <c r="AD526" s="51">
        <f>IFERROR(SUMIFS(Infrastructure[2048],
Infrastructure[[variable_type]:[variable_type]],"H2_outflow",
Infrastructure[[cluster]:[cluster]],$B$524,
Infrastructure[[pipe_cluster_end]:[pipe_cluster_end]],$B526)*PJ2TWh,"")</f>
        <v>0</v>
      </c>
      <c r="AE526" s="51">
        <f>IFERROR(SUMIFS(Infrastructure[2049],
Infrastructure[[variable_type]:[variable_type]],"H2_outflow",
Infrastructure[[cluster]:[cluster]],$B$524,
Infrastructure[[pipe_cluster_end]:[pipe_cluster_end]],$B526)*PJ2TWh,"")</f>
        <v>0</v>
      </c>
      <c r="AF526" s="51">
        <f>IFERROR(SUMIFS(Infrastructure[2050],
Infrastructure[[variable_type]:[variable_type]],"H2_outflow",
Infrastructure[[cluster]:[cluster]],$B$524,
Infrastructure[[pipe_cluster_end]:[pipe_cluster_end]],$B526)*PJ2TWh,"")</f>
        <v>0</v>
      </c>
      <c r="AG526" s="51">
        <f>IFERROR(SUMIFS(Infrastructure[2051],
Infrastructure[[variable_type]:[variable_type]],"H2_outflow",
Infrastructure[[cluster]:[cluster]],$B$524,
Infrastructure[[pipe_cluster_end]:[pipe_cluster_end]],$B526)*PJ2TWh,"")</f>
        <v>0</v>
      </c>
    </row>
    <row r="527" spans="2:33" x14ac:dyDescent="0.45">
      <c r="B527" s="24" t="s">
        <v>71</v>
      </c>
      <c r="C527" s="51">
        <f>IFERROR(SUMIFS(Infrastructure[2021],
Infrastructure[[variable_type]:[variable_type]],"H2_outflow",
Infrastructure[[cluster]:[cluster]],$B$524,
Infrastructure[[pipe_cluster_end]:[pipe_cluster_end]],$B527)*PJ2TWh,"")</f>
        <v>0</v>
      </c>
      <c r="D527" s="51">
        <f>IFERROR(SUMIFS(Infrastructure[2022],
Infrastructure[[variable_type]:[variable_type]],"H2_outflow",
Infrastructure[[cluster]:[cluster]],$B$524,
Infrastructure[[pipe_cluster_end]:[pipe_cluster_end]],$B527)*PJ2TWh,"")</f>
        <v>0</v>
      </c>
      <c r="E527" s="51">
        <f>IFERROR(SUMIFS(Infrastructure[2023],
Infrastructure[[variable_type]:[variable_type]],"H2_outflow",
Infrastructure[[cluster]:[cluster]],$B$524,
Infrastructure[[pipe_cluster_end]:[pipe_cluster_end]],$B527)*PJ2TWh,"")</f>
        <v>0</v>
      </c>
      <c r="F527" s="51">
        <f>IFERROR(SUMIFS(Infrastructure[2024],
Infrastructure[[variable_type]:[variable_type]],"H2_outflow",
Infrastructure[[cluster]:[cluster]],$B$524,
Infrastructure[[pipe_cluster_end]:[pipe_cluster_end]],$B527)*PJ2TWh,"")</f>
        <v>0</v>
      </c>
      <c r="G527" s="51">
        <f>IFERROR(SUMIFS(Infrastructure[2025],
Infrastructure[[variable_type]:[variable_type]],"H2_outflow",
Infrastructure[[cluster]:[cluster]],$B$524,
Infrastructure[[pipe_cluster_end]:[pipe_cluster_end]],$B527)*PJ2TWh,"")</f>
        <v>0</v>
      </c>
      <c r="H527" s="51">
        <f>IFERROR(SUMIFS(Infrastructure[2026],
Infrastructure[[variable_type]:[variable_type]],"H2_outflow",
Infrastructure[[cluster]:[cluster]],$B$524,
Infrastructure[[pipe_cluster_end]:[pipe_cluster_end]],$B527)*PJ2TWh,"")</f>
        <v>0</v>
      </c>
      <c r="I527" s="51">
        <f>IFERROR(SUMIFS(Infrastructure[2027],
Infrastructure[[variable_type]:[variable_type]],"H2_outflow",
Infrastructure[[cluster]:[cluster]],$B$524,
Infrastructure[[pipe_cluster_end]:[pipe_cluster_end]],$B527)*PJ2TWh,"")</f>
        <v>0</v>
      </c>
      <c r="J527" s="51">
        <f>IFERROR(SUMIFS(Infrastructure[2028],
Infrastructure[[variable_type]:[variable_type]],"H2_outflow",
Infrastructure[[cluster]:[cluster]],$B$524,
Infrastructure[[pipe_cluster_end]:[pipe_cluster_end]],$B527)*PJ2TWh,"")</f>
        <v>0</v>
      </c>
      <c r="K527" s="51">
        <f>IFERROR(SUMIFS(Infrastructure[2029],
Infrastructure[[variable_type]:[variable_type]],"H2_outflow",
Infrastructure[[cluster]:[cluster]],$B$524,
Infrastructure[[pipe_cluster_end]:[pipe_cluster_end]],$B527)*PJ2TWh,"")</f>
        <v>0</v>
      </c>
      <c r="L527" s="51">
        <f>IFERROR(SUMIFS(Infrastructure[2030],
Infrastructure[[variable_type]:[variable_type]],"H2_outflow",
Infrastructure[[cluster]:[cluster]],$B$524,
Infrastructure[[pipe_cluster_end]:[pipe_cluster_end]],$B527)*PJ2TWh,"")</f>
        <v>0</v>
      </c>
      <c r="M527" s="51">
        <f>IFERROR(SUMIFS(Infrastructure[2031],
Infrastructure[[variable_type]:[variable_type]],"H2_outflow",
Infrastructure[[cluster]:[cluster]],$B$524,
Infrastructure[[pipe_cluster_end]:[pipe_cluster_end]],$B527)*PJ2TWh,"")</f>
        <v>0</v>
      </c>
      <c r="N527" s="51">
        <f>IFERROR(SUMIFS(Infrastructure[2032],
Infrastructure[[variable_type]:[variable_type]],"H2_outflow",
Infrastructure[[cluster]:[cluster]],$B$524,
Infrastructure[[pipe_cluster_end]:[pipe_cluster_end]],$B527)*PJ2TWh,"")</f>
        <v>0</v>
      </c>
      <c r="O527" s="51">
        <f>IFERROR(SUMIFS(Infrastructure[2033],
Infrastructure[[variable_type]:[variable_type]],"H2_outflow",
Infrastructure[[cluster]:[cluster]],$B$524,
Infrastructure[[pipe_cluster_end]:[pipe_cluster_end]],$B527)*PJ2TWh,"")</f>
        <v>0</v>
      </c>
      <c r="P527" s="51">
        <f>IFERROR(SUMIFS(Infrastructure[2034],
Infrastructure[[variable_type]:[variable_type]],"H2_outflow",
Infrastructure[[cluster]:[cluster]],$B$524,
Infrastructure[[pipe_cluster_end]:[pipe_cluster_end]],$B527)*PJ2TWh,"")</f>
        <v>0</v>
      </c>
      <c r="Q527" s="51">
        <f>IFERROR(SUMIFS(Infrastructure[2035],
Infrastructure[[variable_type]:[variable_type]],"H2_outflow",
Infrastructure[[cluster]:[cluster]],$B$524,
Infrastructure[[pipe_cluster_end]:[pipe_cluster_end]],$B527)*PJ2TWh,"")</f>
        <v>0</v>
      </c>
      <c r="R527" s="51">
        <f>IFERROR(SUMIFS(Infrastructure[2036],
Infrastructure[[variable_type]:[variable_type]],"H2_outflow",
Infrastructure[[cluster]:[cluster]],$B$524,
Infrastructure[[pipe_cluster_end]:[pipe_cluster_end]],$B527)*PJ2TWh,"")</f>
        <v>0</v>
      </c>
      <c r="S527" s="51">
        <f>IFERROR(SUMIFS(Infrastructure[2037],
Infrastructure[[variable_type]:[variable_type]],"H2_outflow",
Infrastructure[[cluster]:[cluster]],$B$524,
Infrastructure[[pipe_cluster_end]:[pipe_cluster_end]],$B527)*PJ2TWh,"")</f>
        <v>0</v>
      </c>
      <c r="T527" s="51">
        <f>IFERROR(SUMIFS(Infrastructure[2038],
Infrastructure[[variable_type]:[variable_type]],"H2_outflow",
Infrastructure[[cluster]:[cluster]],$B$524,
Infrastructure[[pipe_cluster_end]:[pipe_cluster_end]],$B527)*PJ2TWh,"")</f>
        <v>0</v>
      </c>
      <c r="U527" s="51">
        <f>IFERROR(SUMIFS(Infrastructure[2039],
Infrastructure[[variable_type]:[variable_type]],"H2_outflow",
Infrastructure[[cluster]:[cluster]],$B$524,
Infrastructure[[pipe_cluster_end]:[pipe_cluster_end]],$B527)*PJ2TWh,"")</f>
        <v>0</v>
      </c>
      <c r="V527" s="51">
        <f>IFERROR(SUMIFS(Infrastructure[2040],
Infrastructure[[variable_type]:[variable_type]],"H2_outflow",
Infrastructure[[cluster]:[cluster]],$B$524,
Infrastructure[[pipe_cluster_end]:[pipe_cluster_end]],$B527)*PJ2TWh,"")</f>
        <v>0</v>
      </c>
      <c r="W527" s="51">
        <f>IFERROR(SUMIFS(Infrastructure[2041],
Infrastructure[[variable_type]:[variable_type]],"H2_outflow",
Infrastructure[[cluster]:[cluster]],$B$524,
Infrastructure[[pipe_cluster_end]:[pipe_cluster_end]],$B527)*PJ2TWh,"")</f>
        <v>0</v>
      </c>
      <c r="X527" s="51">
        <f>IFERROR(SUMIFS(Infrastructure[2042],
Infrastructure[[variable_type]:[variable_type]],"H2_outflow",
Infrastructure[[cluster]:[cluster]],$B$524,
Infrastructure[[pipe_cluster_end]:[pipe_cluster_end]],$B527)*PJ2TWh,"")</f>
        <v>0</v>
      </c>
      <c r="Y527" s="51">
        <f>IFERROR(SUMIFS(Infrastructure[2043],
Infrastructure[[variable_type]:[variable_type]],"H2_outflow",
Infrastructure[[cluster]:[cluster]],$B$524,
Infrastructure[[pipe_cluster_end]:[pipe_cluster_end]],$B527)*PJ2TWh,"")</f>
        <v>0</v>
      </c>
      <c r="Z527" s="51">
        <f>IFERROR(SUMIFS(Infrastructure[2044],
Infrastructure[[variable_type]:[variable_type]],"H2_outflow",
Infrastructure[[cluster]:[cluster]],$B$524,
Infrastructure[[pipe_cluster_end]:[pipe_cluster_end]],$B527)*PJ2TWh,"")</f>
        <v>0</v>
      </c>
      <c r="AA527" s="51">
        <f>IFERROR(SUMIFS(Infrastructure[2045],
Infrastructure[[variable_type]:[variable_type]],"H2_outflow",
Infrastructure[[cluster]:[cluster]],$B$524,
Infrastructure[[pipe_cluster_end]:[pipe_cluster_end]],$B527)*PJ2TWh,"")</f>
        <v>0</v>
      </c>
      <c r="AB527" s="51">
        <f>IFERROR(SUMIFS(Infrastructure[2046],
Infrastructure[[variable_type]:[variable_type]],"H2_outflow",
Infrastructure[[cluster]:[cluster]],$B$524,
Infrastructure[[pipe_cluster_end]:[pipe_cluster_end]],$B527)*PJ2TWh,"")</f>
        <v>0</v>
      </c>
      <c r="AC527" s="51">
        <f>IFERROR(SUMIFS(Infrastructure[2047],
Infrastructure[[variable_type]:[variable_type]],"H2_outflow",
Infrastructure[[cluster]:[cluster]],$B$524,
Infrastructure[[pipe_cluster_end]:[pipe_cluster_end]],$B527)*PJ2TWh,"")</f>
        <v>0</v>
      </c>
      <c r="AD527" s="51">
        <f>IFERROR(SUMIFS(Infrastructure[2048],
Infrastructure[[variable_type]:[variable_type]],"H2_outflow",
Infrastructure[[cluster]:[cluster]],$B$524,
Infrastructure[[pipe_cluster_end]:[pipe_cluster_end]],$B527)*PJ2TWh,"")</f>
        <v>0</v>
      </c>
      <c r="AE527" s="51">
        <f>IFERROR(SUMIFS(Infrastructure[2049],
Infrastructure[[variable_type]:[variable_type]],"H2_outflow",
Infrastructure[[cluster]:[cluster]],$B$524,
Infrastructure[[pipe_cluster_end]:[pipe_cluster_end]],$B527)*PJ2TWh,"")</f>
        <v>0</v>
      </c>
      <c r="AF527" s="51">
        <f>IFERROR(SUMIFS(Infrastructure[2050],
Infrastructure[[variable_type]:[variable_type]],"H2_outflow",
Infrastructure[[cluster]:[cluster]],$B$524,
Infrastructure[[pipe_cluster_end]:[pipe_cluster_end]],$B527)*PJ2TWh,"")</f>
        <v>0</v>
      </c>
      <c r="AG527" s="51">
        <f>IFERROR(SUMIFS(Infrastructure[2051],
Infrastructure[[variable_type]:[variable_type]],"H2_outflow",
Infrastructure[[cluster]:[cluster]],$B$524,
Infrastructure[[pipe_cluster_end]:[pipe_cluster_end]],$B527)*PJ2TWh,"")</f>
        <v>0</v>
      </c>
    </row>
    <row r="528" spans="2:33" x14ac:dyDescent="0.45">
      <c r="B528" s="24" t="s">
        <v>72</v>
      </c>
      <c r="C528" s="51">
        <f>IFERROR(SUMIFS(Infrastructure[2021],
Infrastructure[[variable_type]:[variable_type]],"H2_outflow",
Infrastructure[[cluster]:[cluster]],$B$524,
Infrastructure[[pipe_cluster_end]:[pipe_cluster_end]],$B528)*PJ2TWh,"")</f>
        <v>0</v>
      </c>
      <c r="D528" s="51">
        <f>IFERROR(SUMIFS(Infrastructure[2022],
Infrastructure[[variable_type]:[variable_type]],"H2_outflow",
Infrastructure[[cluster]:[cluster]],$B$524,
Infrastructure[[pipe_cluster_end]:[pipe_cluster_end]],$B528)*PJ2TWh,"")</f>
        <v>0</v>
      </c>
      <c r="E528" s="51">
        <f>IFERROR(SUMIFS(Infrastructure[2023],
Infrastructure[[variable_type]:[variable_type]],"H2_outflow",
Infrastructure[[cluster]:[cluster]],$B$524,
Infrastructure[[pipe_cluster_end]:[pipe_cluster_end]],$B528)*PJ2TWh,"")</f>
        <v>0</v>
      </c>
      <c r="F528" s="51">
        <f>IFERROR(SUMIFS(Infrastructure[2024],
Infrastructure[[variable_type]:[variable_type]],"H2_outflow",
Infrastructure[[cluster]:[cluster]],$B$524,
Infrastructure[[pipe_cluster_end]:[pipe_cluster_end]],$B528)*PJ2TWh,"")</f>
        <v>0</v>
      </c>
      <c r="G528" s="51">
        <f>IFERROR(SUMIFS(Infrastructure[2025],
Infrastructure[[variable_type]:[variable_type]],"H2_outflow",
Infrastructure[[cluster]:[cluster]],$B$524,
Infrastructure[[pipe_cluster_end]:[pipe_cluster_end]],$B528)*PJ2TWh,"")</f>
        <v>0</v>
      </c>
      <c r="H528" s="51">
        <f>IFERROR(SUMIFS(Infrastructure[2026],
Infrastructure[[variable_type]:[variable_type]],"H2_outflow",
Infrastructure[[cluster]:[cluster]],$B$524,
Infrastructure[[pipe_cluster_end]:[pipe_cluster_end]],$B528)*PJ2TWh,"")</f>
        <v>0</v>
      </c>
      <c r="I528" s="51">
        <f>IFERROR(SUMIFS(Infrastructure[2027],
Infrastructure[[variable_type]:[variable_type]],"H2_outflow",
Infrastructure[[cluster]:[cluster]],$B$524,
Infrastructure[[pipe_cluster_end]:[pipe_cluster_end]],$B528)*PJ2TWh,"")</f>
        <v>0</v>
      </c>
      <c r="J528" s="51">
        <f>IFERROR(SUMIFS(Infrastructure[2028],
Infrastructure[[variable_type]:[variable_type]],"H2_outflow",
Infrastructure[[cluster]:[cluster]],$B$524,
Infrastructure[[pipe_cluster_end]:[pipe_cluster_end]],$B528)*PJ2TWh,"")</f>
        <v>0</v>
      </c>
      <c r="K528" s="51">
        <f>IFERROR(SUMIFS(Infrastructure[2029],
Infrastructure[[variable_type]:[variable_type]],"H2_outflow",
Infrastructure[[cluster]:[cluster]],$B$524,
Infrastructure[[pipe_cluster_end]:[pipe_cluster_end]],$B528)*PJ2TWh,"")</f>
        <v>0</v>
      </c>
      <c r="L528" s="51">
        <f>IFERROR(SUMIFS(Infrastructure[2030],
Infrastructure[[variable_type]:[variable_type]],"H2_outflow",
Infrastructure[[cluster]:[cluster]],$B$524,
Infrastructure[[pipe_cluster_end]:[pipe_cluster_end]],$B528)*PJ2TWh,"")</f>
        <v>0</v>
      </c>
      <c r="M528" s="51">
        <f>IFERROR(SUMIFS(Infrastructure[2031],
Infrastructure[[variable_type]:[variable_type]],"H2_outflow",
Infrastructure[[cluster]:[cluster]],$B$524,
Infrastructure[[pipe_cluster_end]:[pipe_cluster_end]],$B528)*PJ2TWh,"")</f>
        <v>0</v>
      </c>
      <c r="N528" s="51">
        <f>IFERROR(SUMIFS(Infrastructure[2032],
Infrastructure[[variable_type]:[variable_type]],"H2_outflow",
Infrastructure[[cluster]:[cluster]],$B$524,
Infrastructure[[pipe_cluster_end]:[pipe_cluster_end]],$B528)*PJ2TWh,"")</f>
        <v>0</v>
      </c>
      <c r="O528" s="51">
        <f>IFERROR(SUMIFS(Infrastructure[2033],
Infrastructure[[variable_type]:[variable_type]],"H2_outflow",
Infrastructure[[cluster]:[cluster]],$B$524,
Infrastructure[[pipe_cluster_end]:[pipe_cluster_end]],$B528)*PJ2TWh,"")</f>
        <v>0</v>
      </c>
      <c r="P528" s="51">
        <f>IFERROR(SUMIFS(Infrastructure[2034],
Infrastructure[[variable_type]:[variable_type]],"H2_outflow",
Infrastructure[[cluster]:[cluster]],$B$524,
Infrastructure[[pipe_cluster_end]:[pipe_cluster_end]],$B528)*PJ2TWh,"")</f>
        <v>0</v>
      </c>
      <c r="Q528" s="51">
        <f>IFERROR(SUMIFS(Infrastructure[2035],
Infrastructure[[variable_type]:[variable_type]],"H2_outflow",
Infrastructure[[cluster]:[cluster]],$B$524,
Infrastructure[[pipe_cluster_end]:[pipe_cluster_end]],$B528)*PJ2TWh,"")</f>
        <v>0</v>
      </c>
      <c r="R528" s="51">
        <f>IFERROR(SUMIFS(Infrastructure[2036],
Infrastructure[[variable_type]:[variable_type]],"H2_outflow",
Infrastructure[[cluster]:[cluster]],$B$524,
Infrastructure[[pipe_cluster_end]:[pipe_cluster_end]],$B528)*PJ2TWh,"")</f>
        <v>0</v>
      </c>
      <c r="S528" s="51">
        <f>IFERROR(SUMIFS(Infrastructure[2037],
Infrastructure[[variable_type]:[variable_type]],"H2_outflow",
Infrastructure[[cluster]:[cluster]],$B$524,
Infrastructure[[pipe_cluster_end]:[pipe_cluster_end]],$B528)*PJ2TWh,"")</f>
        <v>0</v>
      </c>
      <c r="T528" s="51">
        <f>IFERROR(SUMIFS(Infrastructure[2038],
Infrastructure[[variable_type]:[variable_type]],"H2_outflow",
Infrastructure[[cluster]:[cluster]],$B$524,
Infrastructure[[pipe_cluster_end]:[pipe_cluster_end]],$B528)*PJ2TWh,"")</f>
        <v>0</v>
      </c>
      <c r="U528" s="51">
        <f>IFERROR(SUMIFS(Infrastructure[2039],
Infrastructure[[variable_type]:[variable_type]],"H2_outflow",
Infrastructure[[cluster]:[cluster]],$B$524,
Infrastructure[[pipe_cluster_end]:[pipe_cluster_end]],$B528)*PJ2TWh,"")</f>
        <v>0</v>
      </c>
      <c r="V528" s="51">
        <f>IFERROR(SUMIFS(Infrastructure[2040],
Infrastructure[[variable_type]:[variable_type]],"H2_outflow",
Infrastructure[[cluster]:[cluster]],$B$524,
Infrastructure[[pipe_cluster_end]:[pipe_cluster_end]],$B528)*PJ2TWh,"")</f>
        <v>0</v>
      </c>
      <c r="W528" s="51">
        <f>IFERROR(SUMIFS(Infrastructure[2041],
Infrastructure[[variable_type]:[variable_type]],"H2_outflow",
Infrastructure[[cluster]:[cluster]],$B$524,
Infrastructure[[pipe_cluster_end]:[pipe_cluster_end]],$B528)*PJ2TWh,"")</f>
        <v>0</v>
      </c>
      <c r="X528" s="51">
        <f>IFERROR(SUMIFS(Infrastructure[2042],
Infrastructure[[variable_type]:[variable_type]],"H2_outflow",
Infrastructure[[cluster]:[cluster]],$B$524,
Infrastructure[[pipe_cluster_end]:[pipe_cluster_end]],$B528)*PJ2TWh,"")</f>
        <v>0</v>
      </c>
      <c r="Y528" s="51">
        <f>IFERROR(SUMIFS(Infrastructure[2043],
Infrastructure[[variable_type]:[variable_type]],"H2_outflow",
Infrastructure[[cluster]:[cluster]],$B$524,
Infrastructure[[pipe_cluster_end]:[pipe_cluster_end]],$B528)*PJ2TWh,"")</f>
        <v>0</v>
      </c>
      <c r="Z528" s="51">
        <f>IFERROR(SUMIFS(Infrastructure[2044],
Infrastructure[[variable_type]:[variable_type]],"H2_outflow",
Infrastructure[[cluster]:[cluster]],$B$524,
Infrastructure[[pipe_cluster_end]:[pipe_cluster_end]],$B528)*PJ2TWh,"")</f>
        <v>0</v>
      </c>
      <c r="AA528" s="51">
        <f>IFERROR(SUMIFS(Infrastructure[2045],
Infrastructure[[variable_type]:[variable_type]],"H2_outflow",
Infrastructure[[cluster]:[cluster]],$B$524,
Infrastructure[[pipe_cluster_end]:[pipe_cluster_end]],$B528)*PJ2TWh,"")</f>
        <v>0</v>
      </c>
      <c r="AB528" s="51">
        <f>IFERROR(SUMIFS(Infrastructure[2046],
Infrastructure[[variable_type]:[variable_type]],"H2_outflow",
Infrastructure[[cluster]:[cluster]],$B$524,
Infrastructure[[pipe_cluster_end]:[pipe_cluster_end]],$B528)*PJ2TWh,"")</f>
        <v>0</v>
      </c>
      <c r="AC528" s="51">
        <f>IFERROR(SUMIFS(Infrastructure[2047],
Infrastructure[[variable_type]:[variable_type]],"H2_outflow",
Infrastructure[[cluster]:[cluster]],$B$524,
Infrastructure[[pipe_cluster_end]:[pipe_cluster_end]],$B528)*PJ2TWh,"")</f>
        <v>0</v>
      </c>
      <c r="AD528" s="51">
        <f>IFERROR(SUMIFS(Infrastructure[2048],
Infrastructure[[variable_type]:[variable_type]],"H2_outflow",
Infrastructure[[cluster]:[cluster]],$B$524,
Infrastructure[[pipe_cluster_end]:[pipe_cluster_end]],$B528)*PJ2TWh,"")</f>
        <v>0</v>
      </c>
      <c r="AE528" s="51">
        <f>IFERROR(SUMIFS(Infrastructure[2049],
Infrastructure[[variable_type]:[variable_type]],"H2_outflow",
Infrastructure[[cluster]:[cluster]],$B$524,
Infrastructure[[pipe_cluster_end]:[pipe_cluster_end]],$B528)*PJ2TWh,"")</f>
        <v>0</v>
      </c>
      <c r="AF528" s="51">
        <f>IFERROR(SUMIFS(Infrastructure[2050],
Infrastructure[[variable_type]:[variable_type]],"H2_outflow",
Infrastructure[[cluster]:[cluster]],$B$524,
Infrastructure[[pipe_cluster_end]:[pipe_cluster_end]],$B528)*PJ2TWh,"")</f>
        <v>0</v>
      </c>
      <c r="AG528" s="51">
        <f>IFERROR(SUMIFS(Infrastructure[2051],
Infrastructure[[variable_type]:[variable_type]],"H2_outflow",
Infrastructure[[cluster]:[cluster]],$B$524,
Infrastructure[[pipe_cluster_end]:[pipe_cluster_end]],$B528)*PJ2TWh,"")</f>
        <v>0</v>
      </c>
    </row>
    <row r="529" spans="2:33" x14ac:dyDescent="0.45">
      <c r="B529" s="24" t="s">
        <v>73</v>
      </c>
      <c r="C529" s="51">
        <f>IFERROR(SUMIFS(Infrastructure[2021],
Infrastructure[[variable_type]:[variable_type]],"H2_outflow",
Infrastructure[[cluster]:[cluster]],$B$524,
Infrastructure[[pipe_cluster_end]:[pipe_cluster_end]],$B529)*PJ2TWh,"")</f>
        <v>0</v>
      </c>
      <c r="D529" s="51">
        <f>IFERROR(SUMIFS(Infrastructure[2022],
Infrastructure[[variable_type]:[variable_type]],"H2_outflow",
Infrastructure[[cluster]:[cluster]],$B$524,
Infrastructure[[pipe_cluster_end]:[pipe_cluster_end]],$B529)*PJ2TWh,"")</f>
        <v>0</v>
      </c>
      <c r="E529" s="51">
        <f>IFERROR(SUMIFS(Infrastructure[2023],
Infrastructure[[variable_type]:[variable_type]],"H2_outflow",
Infrastructure[[cluster]:[cluster]],$B$524,
Infrastructure[[pipe_cluster_end]:[pipe_cluster_end]],$B529)*PJ2TWh,"")</f>
        <v>0</v>
      </c>
      <c r="F529" s="51">
        <f>IFERROR(SUMIFS(Infrastructure[2024],
Infrastructure[[variable_type]:[variable_type]],"H2_outflow",
Infrastructure[[cluster]:[cluster]],$B$524,
Infrastructure[[pipe_cluster_end]:[pipe_cluster_end]],$B529)*PJ2TWh,"")</f>
        <v>0</v>
      </c>
      <c r="G529" s="51">
        <f>IFERROR(SUMIFS(Infrastructure[2025],
Infrastructure[[variable_type]:[variable_type]],"H2_outflow",
Infrastructure[[cluster]:[cluster]],$B$524,
Infrastructure[[pipe_cluster_end]:[pipe_cluster_end]],$B529)*PJ2TWh,"")</f>
        <v>0</v>
      </c>
      <c r="H529" s="51">
        <f>IFERROR(SUMIFS(Infrastructure[2026],
Infrastructure[[variable_type]:[variable_type]],"H2_outflow",
Infrastructure[[cluster]:[cluster]],$B$524,
Infrastructure[[pipe_cluster_end]:[pipe_cluster_end]],$B529)*PJ2TWh,"")</f>
        <v>0</v>
      </c>
      <c r="I529" s="51">
        <f>IFERROR(SUMIFS(Infrastructure[2027],
Infrastructure[[variable_type]:[variable_type]],"H2_outflow",
Infrastructure[[cluster]:[cluster]],$B$524,
Infrastructure[[pipe_cluster_end]:[pipe_cluster_end]],$B529)*PJ2TWh,"")</f>
        <v>0</v>
      </c>
      <c r="J529" s="51">
        <f>IFERROR(SUMIFS(Infrastructure[2028],
Infrastructure[[variable_type]:[variable_type]],"H2_outflow",
Infrastructure[[cluster]:[cluster]],$B$524,
Infrastructure[[pipe_cluster_end]:[pipe_cluster_end]],$B529)*PJ2TWh,"")</f>
        <v>0</v>
      </c>
      <c r="K529" s="51">
        <f>IFERROR(SUMIFS(Infrastructure[2029],
Infrastructure[[variable_type]:[variable_type]],"H2_outflow",
Infrastructure[[cluster]:[cluster]],$B$524,
Infrastructure[[pipe_cluster_end]:[pipe_cluster_end]],$B529)*PJ2TWh,"")</f>
        <v>0</v>
      </c>
      <c r="L529" s="51">
        <f>IFERROR(SUMIFS(Infrastructure[2030],
Infrastructure[[variable_type]:[variable_type]],"H2_outflow",
Infrastructure[[cluster]:[cluster]],$B$524,
Infrastructure[[pipe_cluster_end]:[pipe_cluster_end]],$B529)*PJ2TWh,"")</f>
        <v>0</v>
      </c>
      <c r="M529" s="51">
        <f>IFERROR(SUMIFS(Infrastructure[2031],
Infrastructure[[variable_type]:[variable_type]],"H2_outflow",
Infrastructure[[cluster]:[cluster]],$B$524,
Infrastructure[[pipe_cluster_end]:[pipe_cluster_end]],$B529)*PJ2TWh,"")</f>
        <v>0</v>
      </c>
      <c r="N529" s="51">
        <f>IFERROR(SUMIFS(Infrastructure[2032],
Infrastructure[[variable_type]:[variable_type]],"H2_outflow",
Infrastructure[[cluster]:[cluster]],$B$524,
Infrastructure[[pipe_cluster_end]:[pipe_cluster_end]],$B529)*PJ2TWh,"")</f>
        <v>0</v>
      </c>
      <c r="O529" s="51">
        <f>IFERROR(SUMIFS(Infrastructure[2033],
Infrastructure[[variable_type]:[variable_type]],"H2_outflow",
Infrastructure[[cluster]:[cluster]],$B$524,
Infrastructure[[pipe_cluster_end]:[pipe_cluster_end]],$B529)*PJ2TWh,"")</f>
        <v>0</v>
      </c>
      <c r="P529" s="51">
        <f>IFERROR(SUMIFS(Infrastructure[2034],
Infrastructure[[variable_type]:[variable_type]],"H2_outflow",
Infrastructure[[cluster]:[cluster]],$B$524,
Infrastructure[[pipe_cluster_end]:[pipe_cluster_end]],$B529)*PJ2TWh,"")</f>
        <v>0</v>
      </c>
      <c r="Q529" s="51">
        <f>IFERROR(SUMIFS(Infrastructure[2035],
Infrastructure[[variable_type]:[variable_type]],"H2_outflow",
Infrastructure[[cluster]:[cluster]],$B$524,
Infrastructure[[pipe_cluster_end]:[pipe_cluster_end]],$B529)*PJ2TWh,"")</f>
        <v>0</v>
      </c>
      <c r="R529" s="51">
        <f>IFERROR(SUMIFS(Infrastructure[2036],
Infrastructure[[variable_type]:[variable_type]],"H2_outflow",
Infrastructure[[cluster]:[cluster]],$B$524,
Infrastructure[[pipe_cluster_end]:[pipe_cluster_end]],$B529)*PJ2TWh,"")</f>
        <v>0</v>
      </c>
      <c r="S529" s="51">
        <f>IFERROR(SUMIFS(Infrastructure[2037],
Infrastructure[[variable_type]:[variable_type]],"H2_outflow",
Infrastructure[[cluster]:[cluster]],$B$524,
Infrastructure[[pipe_cluster_end]:[pipe_cluster_end]],$B529)*PJ2TWh,"")</f>
        <v>0</v>
      </c>
      <c r="T529" s="51">
        <f>IFERROR(SUMIFS(Infrastructure[2038],
Infrastructure[[variable_type]:[variable_type]],"H2_outflow",
Infrastructure[[cluster]:[cluster]],$B$524,
Infrastructure[[pipe_cluster_end]:[pipe_cluster_end]],$B529)*PJ2TWh,"")</f>
        <v>0</v>
      </c>
      <c r="U529" s="51">
        <f>IFERROR(SUMIFS(Infrastructure[2039],
Infrastructure[[variable_type]:[variable_type]],"H2_outflow",
Infrastructure[[cluster]:[cluster]],$B$524,
Infrastructure[[pipe_cluster_end]:[pipe_cluster_end]],$B529)*PJ2TWh,"")</f>
        <v>0</v>
      </c>
      <c r="V529" s="51">
        <f>IFERROR(SUMIFS(Infrastructure[2040],
Infrastructure[[variable_type]:[variable_type]],"H2_outflow",
Infrastructure[[cluster]:[cluster]],$B$524,
Infrastructure[[pipe_cluster_end]:[pipe_cluster_end]],$B529)*PJ2TWh,"")</f>
        <v>0</v>
      </c>
      <c r="W529" s="51">
        <f>IFERROR(SUMIFS(Infrastructure[2041],
Infrastructure[[variable_type]:[variable_type]],"H2_outflow",
Infrastructure[[cluster]:[cluster]],$B$524,
Infrastructure[[pipe_cluster_end]:[pipe_cluster_end]],$B529)*PJ2TWh,"")</f>
        <v>0</v>
      </c>
      <c r="X529" s="51">
        <f>IFERROR(SUMIFS(Infrastructure[2042],
Infrastructure[[variable_type]:[variable_type]],"H2_outflow",
Infrastructure[[cluster]:[cluster]],$B$524,
Infrastructure[[pipe_cluster_end]:[pipe_cluster_end]],$B529)*PJ2TWh,"")</f>
        <v>0</v>
      </c>
      <c r="Y529" s="51">
        <f>IFERROR(SUMIFS(Infrastructure[2043],
Infrastructure[[variable_type]:[variable_type]],"H2_outflow",
Infrastructure[[cluster]:[cluster]],$B$524,
Infrastructure[[pipe_cluster_end]:[pipe_cluster_end]],$B529)*PJ2TWh,"")</f>
        <v>0</v>
      </c>
      <c r="Z529" s="51">
        <f>IFERROR(SUMIFS(Infrastructure[2044],
Infrastructure[[variable_type]:[variable_type]],"H2_outflow",
Infrastructure[[cluster]:[cluster]],$B$524,
Infrastructure[[pipe_cluster_end]:[pipe_cluster_end]],$B529)*PJ2TWh,"")</f>
        <v>0</v>
      </c>
      <c r="AA529" s="51">
        <f>IFERROR(SUMIFS(Infrastructure[2045],
Infrastructure[[variable_type]:[variable_type]],"H2_outflow",
Infrastructure[[cluster]:[cluster]],$B$524,
Infrastructure[[pipe_cluster_end]:[pipe_cluster_end]],$B529)*PJ2TWh,"")</f>
        <v>0</v>
      </c>
      <c r="AB529" s="51">
        <f>IFERROR(SUMIFS(Infrastructure[2046],
Infrastructure[[variable_type]:[variable_type]],"H2_outflow",
Infrastructure[[cluster]:[cluster]],$B$524,
Infrastructure[[pipe_cluster_end]:[pipe_cluster_end]],$B529)*PJ2TWh,"")</f>
        <v>0</v>
      </c>
      <c r="AC529" s="51">
        <f>IFERROR(SUMIFS(Infrastructure[2047],
Infrastructure[[variable_type]:[variable_type]],"H2_outflow",
Infrastructure[[cluster]:[cluster]],$B$524,
Infrastructure[[pipe_cluster_end]:[pipe_cluster_end]],$B529)*PJ2TWh,"")</f>
        <v>0</v>
      </c>
      <c r="AD529" s="51">
        <f>IFERROR(SUMIFS(Infrastructure[2048],
Infrastructure[[variable_type]:[variable_type]],"H2_outflow",
Infrastructure[[cluster]:[cluster]],$B$524,
Infrastructure[[pipe_cluster_end]:[pipe_cluster_end]],$B529)*PJ2TWh,"")</f>
        <v>0</v>
      </c>
      <c r="AE529" s="51">
        <f>IFERROR(SUMIFS(Infrastructure[2049],
Infrastructure[[variable_type]:[variable_type]],"H2_outflow",
Infrastructure[[cluster]:[cluster]],$B$524,
Infrastructure[[pipe_cluster_end]:[pipe_cluster_end]],$B529)*PJ2TWh,"")</f>
        <v>0</v>
      </c>
      <c r="AF529" s="51">
        <f>IFERROR(SUMIFS(Infrastructure[2050],
Infrastructure[[variable_type]:[variable_type]],"H2_outflow",
Infrastructure[[cluster]:[cluster]],$B$524,
Infrastructure[[pipe_cluster_end]:[pipe_cluster_end]],$B529)*PJ2TWh,"")</f>
        <v>0</v>
      </c>
      <c r="AG529" s="51">
        <f>IFERROR(SUMIFS(Infrastructure[2051],
Infrastructure[[variable_type]:[variable_type]],"H2_outflow",
Infrastructure[[cluster]:[cluster]],$B$524,
Infrastructure[[pipe_cluster_end]:[pipe_cluster_end]],$B529)*PJ2TWh,"")</f>
        <v>0</v>
      </c>
    </row>
    <row r="530" spans="2:33" x14ac:dyDescent="0.45">
      <c r="B530" s="24" t="s">
        <v>74</v>
      </c>
      <c r="C530" s="51">
        <f>IFERROR(SUMIFS(Infrastructure[2021],
Infrastructure[[variable_type]:[variable_type]],"H2_outflow",
Infrastructure[[cluster]:[cluster]],$B$524,
Infrastructure[[pipe_cluster_end]:[pipe_cluster_end]],$B530)*PJ2TWh,"")</f>
        <v>0</v>
      </c>
      <c r="D530" s="51">
        <f>IFERROR(SUMIFS(Infrastructure[2022],
Infrastructure[[variable_type]:[variable_type]],"H2_outflow",
Infrastructure[[cluster]:[cluster]],$B$524,
Infrastructure[[pipe_cluster_end]:[pipe_cluster_end]],$B530)*PJ2TWh,"")</f>
        <v>0</v>
      </c>
      <c r="E530" s="51">
        <f>IFERROR(SUMIFS(Infrastructure[2023],
Infrastructure[[variable_type]:[variable_type]],"H2_outflow",
Infrastructure[[cluster]:[cluster]],$B$524,
Infrastructure[[pipe_cluster_end]:[pipe_cluster_end]],$B530)*PJ2TWh,"")</f>
        <v>0</v>
      </c>
      <c r="F530" s="51">
        <f>IFERROR(SUMIFS(Infrastructure[2024],
Infrastructure[[variable_type]:[variable_type]],"H2_outflow",
Infrastructure[[cluster]:[cluster]],$B$524,
Infrastructure[[pipe_cluster_end]:[pipe_cluster_end]],$B530)*PJ2TWh,"")</f>
        <v>0</v>
      </c>
      <c r="G530" s="51">
        <f>IFERROR(SUMIFS(Infrastructure[2025],
Infrastructure[[variable_type]:[variable_type]],"H2_outflow",
Infrastructure[[cluster]:[cluster]],$B$524,
Infrastructure[[pipe_cluster_end]:[pipe_cluster_end]],$B530)*PJ2TWh,"")</f>
        <v>0</v>
      </c>
      <c r="H530" s="51">
        <f>IFERROR(SUMIFS(Infrastructure[2026],
Infrastructure[[variable_type]:[variable_type]],"H2_outflow",
Infrastructure[[cluster]:[cluster]],$B$524,
Infrastructure[[pipe_cluster_end]:[pipe_cluster_end]],$B530)*PJ2TWh,"")</f>
        <v>0</v>
      </c>
      <c r="I530" s="51">
        <f>IFERROR(SUMIFS(Infrastructure[2027],
Infrastructure[[variable_type]:[variable_type]],"H2_outflow",
Infrastructure[[cluster]:[cluster]],$B$524,
Infrastructure[[pipe_cluster_end]:[pipe_cluster_end]],$B530)*PJ2TWh,"")</f>
        <v>0</v>
      </c>
      <c r="J530" s="51">
        <f>IFERROR(SUMIFS(Infrastructure[2028],
Infrastructure[[variable_type]:[variable_type]],"H2_outflow",
Infrastructure[[cluster]:[cluster]],$B$524,
Infrastructure[[pipe_cluster_end]:[pipe_cluster_end]],$B530)*PJ2TWh,"")</f>
        <v>0</v>
      </c>
      <c r="K530" s="51">
        <f>IFERROR(SUMIFS(Infrastructure[2029],
Infrastructure[[variable_type]:[variable_type]],"H2_outflow",
Infrastructure[[cluster]:[cluster]],$B$524,
Infrastructure[[pipe_cluster_end]:[pipe_cluster_end]],$B530)*PJ2TWh,"")</f>
        <v>0</v>
      </c>
      <c r="L530" s="51">
        <f>IFERROR(SUMIFS(Infrastructure[2030],
Infrastructure[[variable_type]:[variable_type]],"H2_outflow",
Infrastructure[[cluster]:[cluster]],$B$524,
Infrastructure[[pipe_cluster_end]:[pipe_cluster_end]],$B530)*PJ2TWh,"")</f>
        <v>0</v>
      </c>
      <c r="M530" s="51">
        <f>IFERROR(SUMIFS(Infrastructure[2031],
Infrastructure[[variable_type]:[variable_type]],"H2_outflow",
Infrastructure[[cluster]:[cluster]],$B$524,
Infrastructure[[pipe_cluster_end]:[pipe_cluster_end]],$B530)*PJ2TWh,"")</f>
        <v>0</v>
      </c>
      <c r="N530" s="51">
        <f>IFERROR(SUMIFS(Infrastructure[2032],
Infrastructure[[variable_type]:[variable_type]],"H2_outflow",
Infrastructure[[cluster]:[cluster]],$B$524,
Infrastructure[[pipe_cluster_end]:[pipe_cluster_end]],$B530)*PJ2TWh,"")</f>
        <v>0</v>
      </c>
      <c r="O530" s="51">
        <f>IFERROR(SUMIFS(Infrastructure[2033],
Infrastructure[[variable_type]:[variable_type]],"H2_outflow",
Infrastructure[[cluster]:[cluster]],$B$524,
Infrastructure[[pipe_cluster_end]:[pipe_cluster_end]],$B530)*PJ2TWh,"")</f>
        <v>0</v>
      </c>
      <c r="P530" s="51">
        <f>IFERROR(SUMIFS(Infrastructure[2034],
Infrastructure[[variable_type]:[variable_type]],"H2_outflow",
Infrastructure[[cluster]:[cluster]],$B$524,
Infrastructure[[pipe_cluster_end]:[pipe_cluster_end]],$B530)*PJ2TWh,"")</f>
        <v>0</v>
      </c>
      <c r="Q530" s="51">
        <f>IFERROR(SUMIFS(Infrastructure[2035],
Infrastructure[[variable_type]:[variable_type]],"H2_outflow",
Infrastructure[[cluster]:[cluster]],$B$524,
Infrastructure[[pipe_cluster_end]:[pipe_cluster_end]],$B530)*PJ2TWh,"")</f>
        <v>0</v>
      </c>
      <c r="R530" s="51">
        <f>IFERROR(SUMIFS(Infrastructure[2036],
Infrastructure[[variable_type]:[variable_type]],"H2_outflow",
Infrastructure[[cluster]:[cluster]],$B$524,
Infrastructure[[pipe_cluster_end]:[pipe_cluster_end]],$B530)*PJ2TWh,"")</f>
        <v>0</v>
      </c>
      <c r="S530" s="51">
        <f>IFERROR(SUMIFS(Infrastructure[2037],
Infrastructure[[variable_type]:[variable_type]],"H2_outflow",
Infrastructure[[cluster]:[cluster]],$B$524,
Infrastructure[[pipe_cluster_end]:[pipe_cluster_end]],$B530)*PJ2TWh,"")</f>
        <v>0</v>
      </c>
      <c r="T530" s="51">
        <f>IFERROR(SUMIFS(Infrastructure[2038],
Infrastructure[[variable_type]:[variable_type]],"H2_outflow",
Infrastructure[[cluster]:[cluster]],$B$524,
Infrastructure[[pipe_cluster_end]:[pipe_cluster_end]],$B530)*PJ2TWh,"")</f>
        <v>0</v>
      </c>
      <c r="U530" s="51">
        <f>IFERROR(SUMIFS(Infrastructure[2039],
Infrastructure[[variable_type]:[variable_type]],"H2_outflow",
Infrastructure[[cluster]:[cluster]],$B$524,
Infrastructure[[pipe_cluster_end]:[pipe_cluster_end]],$B530)*PJ2TWh,"")</f>
        <v>0</v>
      </c>
      <c r="V530" s="51">
        <f>IFERROR(SUMIFS(Infrastructure[2040],
Infrastructure[[variable_type]:[variable_type]],"H2_outflow",
Infrastructure[[cluster]:[cluster]],$B$524,
Infrastructure[[pipe_cluster_end]:[pipe_cluster_end]],$B530)*PJ2TWh,"")</f>
        <v>0</v>
      </c>
      <c r="W530" s="51">
        <f>IFERROR(SUMIFS(Infrastructure[2041],
Infrastructure[[variable_type]:[variable_type]],"H2_outflow",
Infrastructure[[cluster]:[cluster]],$B$524,
Infrastructure[[pipe_cluster_end]:[pipe_cluster_end]],$B530)*PJ2TWh,"")</f>
        <v>0</v>
      </c>
      <c r="X530" s="51">
        <f>IFERROR(SUMIFS(Infrastructure[2042],
Infrastructure[[variable_type]:[variable_type]],"H2_outflow",
Infrastructure[[cluster]:[cluster]],$B$524,
Infrastructure[[pipe_cluster_end]:[pipe_cluster_end]],$B530)*PJ2TWh,"")</f>
        <v>0</v>
      </c>
      <c r="Y530" s="51">
        <f>IFERROR(SUMIFS(Infrastructure[2043],
Infrastructure[[variable_type]:[variable_type]],"H2_outflow",
Infrastructure[[cluster]:[cluster]],$B$524,
Infrastructure[[pipe_cluster_end]:[pipe_cluster_end]],$B530)*PJ2TWh,"")</f>
        <v>0</v>
      </c>
      <c r="Z530" s="51">
        <f>IFERROR(SUMIFS(Infrastructure[2044],
Infrastructure[[variable_type]:[variable_type]],"H2_outflow",
Infrastructure[[cluster]:[cluster]],$B$524,
Infrastructure[[pipe_cluster_end]:[pipe_cluster_end]],$B530)*PJ2TWh,"")</f>
        <v>0</v>
      </c>
      <c r="AA530" s="51">
        <f>IFERROR(SUMIFS(Infrastructure[2045],
Infrastructure[[variable_type]:[variable_type]],"H2_outflow",
Infrastructure[[cluster]:[cluster]],$B$524,
Infrastructure[[pipe_cluster_end]:[pipe_cluster_end]],$B530)*PJ2TWh,"")</f>
        <v>0</v>
      </c>
      <c r="AB530" s="51">
        <f>IFERROR(SUMIFS(Infrastructure[2046],
Infrastructure[[variable_type]:[variable_type]],"H2_outflow",
Infrastructure[[cluster]:[cluster]],$B$524,
Infrastructure[[pipe_cluster_end]:[pipe_cluster_end]],$B530)*PJ2TWh,"")</f>
        <v>0</v>
      </c>
      <c r="AC530" s="51">
        <f>IFERROR(SUMIFS(Infrastructure[2047],
Infrastructure[[variable_type]:[variable_type]],"H2_outflow",
Infrastructure[[cluster]:[cluster]],$B$524,
Infrastructure[[pipe_cluster_end]:[pipe_cluster_end]],$B530)*PJ2TWh,"")</f>
        <v>0</v>
      </c>
      <c r="AD530" s="51">
        <f>IFERROR(SUMIFS(Infrastructure[2048],
Infrastructure[[variable_type]:[variable_type]],"H2_outflow",
Infrastructure[[cluster]:[cluster]],$B$524,
Infrastructure[[pipe_cluster_end]:[pipe_cluster_end]],$B530)*PJ2TWh,"")</f>
        <v>0</v>
      </c>
      <c r="AE530" s="51">
        <f>IFERROR(SUMIFS(Infrastructure[2049],
Infrastructure[[variable_type]:[variable_type]],"H2_outflow",
Infrastructure[[cluster]:[cluster]],$B$524,
Infrastructure[[pipe_cluster_end]:[pipe_cluster_end]],$B530)*PJ2TWh,"")</f>
        <v>0</v>
      </c>
      <c r="AF530" s="51">
        <f>IFERROR(SUMIFS(Infrastructure[2050],
Infrastructure[[variable_type]:[variable_type]],"H2_outflow",
Infrastructure[[cluster]:[cluster]],$B$524,
Infrastructure[[pipe_cluster_end]:[pipe_cluster_end]],$B530)*PJ2TWh,"")</f>
        <v>0</v>
      </c>
      <c r="AG530" s="51">
        <f>IFERROR(SUMIFS(Infrastructure[2051],
Infrastructure[[variable_type]:[variable_type]],"H2_outflow",
Infrastructure[[cluster]:[cluster]],$B$524,
Infrastructure[[pipe_cluster_end]:[pipe_cluster_end]],$B530)*PJ2TWh,"")</f>
        <v>0</v>
      </c>
    </row>
    <row r="531" spans="2:33" x14ac:dyDescent="0.45">
      <c r="B531" s="24" t="s">
        <v>75</v>
      </c>
      <c r="C531" s="51">
        <f>IFERROR(SUMIFS(Infrastructure[2021],
Infrastructure[[variable_type]:[variable_type]],"H2_outflow",
Infrastructure[[cluster]:[cluster]],$B$524,
Infrastructure[[pipe_cluster_end]:[pipe_cluster_end]],$B531)*PJ2TWh,"")</f>
        <v>0</v>
      </c>
      <c r="D531" s="51">
        <f>IFERROR(SUMIFS(Infrastructure[2022],
Infrastructure[[variable_type]:[variable_type]],"H2_outflow",
Infrastructure[[cluster]:[cluster]],$B$524,
Infrastructure[[pipe_cluster_end]:[pipe_cluster_end]],$B531)*PJ2TWh,"")</f>
        <v>0</v>
      </c>
      <c r="E531" s="51">
        <f>IFERROR(SUMIFS(Infrastructure[2023],
Infrastructure[[variable_type]:[variable_type]],"H2_outflow",
Infrastructure[[cluster]:[cluster]],$B$524,
Infrastructure[[pipe_cluster_end]:[pipe_cluster_end]],$B531)*PJ2TWh,"")</f>
        <v>0</v>
      </c>
      <c r="F531" s="51">
        <f>IFERROR(SUMIFS(Infrastructure[2024],
Infrastructure[[variable_type]:[variable_type]],"H2_outflow",
Infrastructure[[cluster]:[cluster]],$B$524,
Infrastructure[[pipe_cluster_end]:[pipe_cluster_end]],$B531)*PJ2TWh,"")</f>
        <v>0</v>
      </c>
      <c r="G531" s="51">
        <f>IFERROR(SUMIFS(Infrastructure[2025],
Infrastructure[[variable_type]:[variable_type]],"H2_outflow",
Infrastructure[[cluster]:[cluster]],$B$524,
Infrastructure[[pipe_cluster_end]:[pipe_cluster_end]],$B531)*PJ2TWh,"")</f>
        <v>0</v>
      </c>
      <c r="H531" s="51">
        <f>IFERROR(SUMIFS(Infrastructure[2026],
Infrastructure[[variable_type]:[variable_type]],"H2_outflow",
Infrastructure[[cluster]:[cluster]],$B$524,
Infrastructure[[pipe_cluster_end]:[pipe_cluster_end]],$B531)*PJ2TWh,"")</f>
        <v>0</v>
      </c>
      <c r="I531" s="51">
        <f>IFERROR(SUMIFS(Infrastructure[2027],
Infrastructure[[variable_type]:[variable_type]],"H2_outflow",
Infrastructure[[cluster]:[cluster]],$B$524,
Infrastructure[[pipe_cluster_end]:[pipe_cluster_end]],$B531)*PJ2TWh,"")</f>
        <v>0</v>
      </c>
      <c r="J531" s="51">
        <f>IFERROR(SUMIFS(Infrastructure[2028],
Infrastructure[[variable_type]:[variable_type]],"H2_outflow",
Infrastructure[[cluster]:[cluster]],$B$524,
Infrastructure[[pipe_cluster_end]:[pipe_cluster_end]],$B531)*PJ2TWh,"")</f>
        <v>0</v>
      </c>
      <c r="K531" s="51">
        <f>IFERROR(SUMIFS(Infrastructure[2029],
Infrastructure[[variable_type]:[variable_type]],"H2_outflow",
Infrastructure[[cluster]:[cluster]],$B$524,
Infrastructure[[pipe_cluster_end]:[pipe_cluster_end]],$B531)*PJ2TWh,"")</f>
        <v>0</v>
      </c>
      <c r="L531" s="51">
        <f>IFERROR(SUMIFS(Infrastructure[2030],
Infrastructure[[variable_type]:[variable_type]],"H2_outflow",
Infrastructure[[cluster]:[cluster]],$B$524,
Infrastructure[[pipe_cluster_end]:[pipe_cluster_end]],$B531)*PJ2TWh,"")</f>
        <v>0</v>
      </c>
      <c r="M531" s="51">
        <f>IFERROR(SUMIFS(Infrastructure[2031],
Infrastructure[[variable_type]:[variable_type]],"H2_outflow",
Infrastructure[[cluster]:[cluster]],$B$524,
Infrastructure[[pipe_cluster_end]:[pipe_cluster_end]],$B531)*PJ2TWh,"")</f>
        <v>0</v>
      </c>
      <c r="N531" s="51">
        <f>IFERROR(SUMIFS(Infrastructure[2032],
Infrastructure[[variable_type]:[variable_type]],"H2_outflow",
Infrastructure[[cluster]:[cluster]],$B$524,
Infrastructure[[pipe_cluster_end]:[pipe_cluster_end]],$B531)*PJ2TWh,"")</f>
        <v>0</v>
      </c>
      <c r="O531" s="51">
        <f>IFERROR(SUMIFS(Infrastructure[2033],
Infrastructure[[variable_type]:[variable_type]],"H2_outflow",
Infrastructure[[cluster]:[cluster]],$B$524,
Infrastructure[[pipe_cluster_end]:[pipe_cluster_end]],$B531)*PJ2TWh,"")</f>
        <v>0</v>
      </c>
      <c r="P531" s="51">
        <f>IFERROR(SUMIFS(Infrastructure[2034],
Infrastructure[[variable_type]:[variable_type]],"H2_outflow",
Infrastructure[[cluster]:[cluster]],$B$524,
Infrastructure[[pipe_cluster_end]:[pipe_cluster_end]],$B531)*PJ2TWh,"")</f>
        <v>0</v>
      </c>
      <c r="Q531" s="51">
        <f>IFERROR(SUMIFS(Infrastructure[2035],
Infrastructure[[variable_type]:[variable_type]],"H2_outflow",
Infrastructure[[cluster]:[cluster]],$B$524,
Infrastructure[[pipe_cluster_end]:[pipe_cluster_end]],$B531)*PJ2TWh,"")</f>
        <v>0</v>
      </c>
      <c r="R531" s="51">
        <f>IFERROR(SUMIFS(Infrastructure[2036],
Infrastructure[[variable_type]:[variable_type]],"H2_outflow",
Infrastructure[[cluster]:[cluster]],$B$524,
Infrastructure[[pipe_cluster_end]:[pipe_cluster_end]],$B531)*PJ2TWh,"")</f>
        <v>0</v>
      </c>
      <c r="S531" s="51">
        <f>IFERROR(SUMIFS(Infrastructure[2037],
Infrastructure[[variable_type]:[variable_type]],"H2_outflow",
Infrastructure[[cluster]:[cluster]],$B$524,
Infrastructure[[pipe_cluster_end]:[pipe_cluster_end]],$B531)*PJ2TWh,"")</f>
        <v>0</v>
      </c>
      <c r="T531" s="51">
        <f>IFERROR(SUMIFS(Infrastructure[2038],
Infrastructure[[variable_type]:[variable_type]],"H2_outflow",
Infrastructure[[cluster]:[cluster]],$B$524,
Infrastructure[[pipe_cluster_end]:[pipe_cluster_end]],$B531)*PJ2TWh,"")</f>
        <v>0</v>
      </c>
      <c r="U531" s="51">
        <f>IFERROR(SUMIFS(Infrastructure[2039],
Infrastructure[[variable_type]:[variable_type]],"H2_outflow",
Infrastructure[[cluster]:[cluster]],$B$524,
Infrastructure[[pipe_cluster_end]:[pipe_cluster_end]],$B531)*PJ2TWh,"")</f>
        <v>0</v>
      </c>
      <c r="V531" s="51">
        <f>IFERROR(SUMIFS(Infrastructure[2040],
Infrastructure[[variable_type]:[variable_type]],"H2_outflow",
Infrastructure[[cluster]:[cluster]],$B$524,
Infrastructure[[pipe_cluster_end]:[pipe_cluster_end]],$B531)*PJ2TWh,"")</f>
        <v>0</v>
      </c>
      <c r="W531" s="51">
        <f>IFERROR(SUMIFS(Infrastructure[2041],
Infrastructure[[variable_type]:[variable_type]],"H2_outflow",
Infrastructure[[cluster]:[cluster]],$B$524,
Infrastructure[[pipe_cluster_end]:[pipe_cluster_end]],$B531)*PJ2TWh,"")</f>
        <v>0</v>
      </c>
      <c r="X531" s="51">
        <f>IFERROR(SUMIFS(Infrastructure[2042],
Infrastructure[[variable_type]:[variable_type]],"H2_outflow",
Infrastructure[[cluster]:[cluster]],$B$524,
Infrastructure[[pipe_cluster_end]:[pipe_cluster_end]],$B531)*PJ2TWh,"")</f>
        <v>0</v>
      </c>
      <c r="Y531" s="51">
        <f>IFERROR(SUMIFS(Infrastructure[2043],
Infrastructure[[variable_type]:[variable_type]],"H2_outflow",
Infrastructure[[cluster]:[cluster]],$B$524,
Infrastructure[[pipe_cluster_end]:[pipe_cluster_end]],$B531)*PJ2TWh,"")</f>
        <v>0</v>
      </c>
      <c r="Z531" s="51">
        <f>IFERROR(SUMIFS(Infrastructure[2044],
Infrastructure[[variable_type]:[variable_type]],"H2_outflow",
Infrastructure[[cluster]:[cluster]],$B$524,
Infrastructure[[pipe_cluster_end]:[pipe_cluster_end]],$B531)*PJ2TWh,"")</f>
        <v>0</v>
      </c>
      <c r="AA531" s="51">
        <f>IFERROR(SUMIFS(Infrastructure[2045],
Infrastructure[[variable_type]:[variable_type]],"H2_outflow",
Infrastructure[[cluster]:[cluster]],$B$524,
Infrastructure[[pipe_cluster_end]:[pipe_cluster_end]],$B531)*PJ2TWh,"")</f>
        <v>0</v>
      </c>
      <c r="AB531" s="51">
        <f>IFERROR(SUMIFS(Infrastructure[2046],
Infrastructure[[variable_type]:[variable_type]],"H2_outflow",
Infrastructure[[cluster]:[cluster]],$B$524,
Infrastructure[[pipe_cluster_end]:[pipe_cluster_end]],$B531)*PJ2TWh,"")</f>
        <v>0</v>
      </c>
      <c r="AC531" s="51">
        <f>IFERROR(SUMIFS(Infrastructure[2047],
Infrastructure[[variable_type]:[variable_type]],"H2_outflow",
Infrastructure[[cluster]:[cluster]],$B$524,
Infrastructure[[pipe_cluster_end]:[pipe_cluster_end]],$B531)*PJ2TWh,"")</f>
        <v>0</v>
      </c>
      <c r="AD531" s="51">
        <f>IFERROR(SUMIFS(Infrastructure[2048],
Infrastructure[[variable_type]:[variable_type]],"H2_outflow",
Infrastructure[[cluster]:[cluster]],$B$524,
Infrastructure[[pipe_cluster_end]:[pipe_cluster_end]],$B531)*PJ2TWh,"")</f>
        <v>0</v>
      </c>
      <c r="AE531" s="51">
        <f>IFERROR(SUMIFS(Infrastructure[2049],
Infrastructure[[variable_type]:[variable_type]],"H2_outflow",
Infrastructure[[cluster]:[cluster]],$B$524,
Infrastructure[[pipe_cluster_end]:[pipe_cluster_end]],$B531)*PJ2TWh,"")</f>
        <v>0</v>
      </c>
      <c r="AF531" s="51">
        <f>IFERROR(SUMIFS(Infrastructure[2050],
Infrastructure[[variable_type]:[variable_type]],"H2_outflow",
Infrastructure[[cluster]:[cluster]],$B$524,
Infrastructure[[pipe_cluster_end]:[pipe_cluster_end]],$B531)*PJ2TWh,"")</f>
        <v>0</v>
      </c>
      <c r="AG531" s="51">
        <f>IFERROR(SUMIFS(Infrastructure[2051],
Infrastructure[[variable_type]:[variable_type]],"H2_outflow",
Infrastructure[[cluster]:[cluster]],$B$524,
Infrastructure[[pipe_cluster_end]:[pipe_cluster_end]],$B531)*PJ2TWh,"")</f>
        <v>0</v>
      </c>
    </row>
    <row r="532" spans="2:33" x14ac:dyDescent="0.45">
      <c r="B532" s="24" t="s">
        <v>76</v>
      </c>
      <c r="C532" s="51">
        <f>IFERROR(SUMIFS(Infrastructure[2021],
Infrastructure[[variable_type]:[variable_type]],"H2_outflow",
Infrastructure[[cluster]:[cluster]],$B$524,
Infrastructure[[pipe_cluster_end]:[pipe_cluster_end]],$B532)*PJ2TWh,"")</f>
        <v>0</v>
      </c>
      <c r="D532" s="51">
        <f>IFERROR(SUMIFS(Infrastructure[2022],
Infrastructure[[variable_type]:[variable_type]],"H2_outflow",
Infrastructure[[cluster]:[cluster]],$B$524,
Infrastructure[[pipe_cluster_end]:[pipe_cluster_end]],$B532)*PJ2TWh,"")</f>
        <v>0</v>
      </c>
      <c r="E532" s="51">
        <f>IFERROR(SUMIFS(Infrastructure[2023],
Infrastructure[[variable_type]:[variable_type]],"H2_outflow",
Infrastructure[[cluster]:[cluster]],$B$524,
Infrastructure[[pipe_cluster_end]:[pipe_cluster_end]],$B532)*PJ2TWh,"")</f>
        <v>0</v>
      </c>
      <c r="F532" s="51">
        <f>IFERROR(SUMIFS(Infrastructure[2024],
Infrastructure[[variable_type]:[variable_type]],"H2_outflow",
Infrastructure[[cluster]:[cluster]],$B$524,
Infrastructure[[pipe_cluster_end]:[pipe_cluster_end]],$B532)*PJ2TWh,"")</f>
        <v>0</v>
      </c>
      <c r="G532" s="51">
        <f>IFERROR(SUMIFS(Infrastructure[2025],
Infrastructure[[variable_type]:[variable_type]],"H2_outflow",
Infrastructure[[cluster]:[cluster]],$B$524,
Infrastructure[[pipe_cluster_end]:[pipe_cluster_end]],$B532)*PJ2TWh,"")</f>
        <v>0</v>
      </c>
      <c r="H532" s="51">
        <f>IFERROR(SUMIFS(Infrastructure[2026],
Infrastructure[[variable_type]:[variable_type]],"H2_outflow",
Infrastructure[[cluster]:[cluster]],$B$524,
Infrastructure[[pipe_cluster_end]:[pipe_cluster_end]],$B532)*PJ2TWh,"")</f>
        <v>0</v>
      </c>
      <c r="I532" s="51">
        <f>IFERROR(SUMIFS(Infrastructure[2027],
Infrastructure[[variable_type]:[variable_type]],"H2_outflow",
Infrastructure[[cluster]:[cluster]],$B$524,
Infrastructure[[pipe_cluster_end]:[pipe_cluster_end]],$B532)*PJ2TWh,"")</f>
        <v>0</v>
      </c>
      <c r="J532" s="51">
        <f>IFERROR(SUMIFS(Infrastructure[2028],
Infrastructure[[variable_type]:[variable_type]],"H2_outflow",
Infrastructure[[cluster]:[cluster]],$B$524,
Infrastructure[[pipe_cluster_end]:[pipe_cluster_end]],$B532)*PJ2TWh,"")</f>
        <v>0</v>
      </c>
      <c r="K532" s="51">
        <f>IFERROR(SUMIFS(Infrastructure[2029],
Infrastructure[[variable_type]:[variable_type]],"H2_outflow",
Infrastructure[[cluster]:[cluster]],$B$524,
Infrastructure[[pipe_cluster_end]:[pipe_cluster_end]],$B532)*PJ2TWh,"")</f>
        <v>0</v>
      </c>
      <c r="L532" s="51">
        <f>IFERROR(SUMIFS(Infrastructure[2030],
Infrastructure[[variable_type]:[variable_type]],"H2_outflow",
Infrastructure[[cluster]:[cluster]],$B$524,
Infrastructure[[pipe_cluster_end]:[pipe_cluster_end]],$B532)*PJ2TWh,"")</f>
        <v>0</v>
      </c>
      <c r="M532" s="51">
        <f>IFERROR(SUMIFS(Infrastructure[2031],
Infrastructure[[variable_type]:[variable_type]],"H2_outflow",
Infrastructure[[cluster]:[cluster]],$B$524,
Infrastructure[[pipe_cluster_end]:[pipe_cluster_end]],$B532)*PJ2TWh,"")</f>
        <v>0</v>
      </c>
      <c r="N532" s="51">
        <f>IFERROR(SUMIFS(Infrastructure[2032],
Infrastructure[[variable_type]:[variable_type]],"H2_outflow",
Infrastructure[[cluster]:[cluster]],$B$524,
Infrastructure[[pipe_cluster_end]:[pipe_cluster_end]],$B532)*PJ2TWh,"")</f>
        <v>0</v>
      </c>
      <c r="O532" s="51">
        <f>IFERROR(SUMIFS(Infrastructure[2033],
Infrastructure[[variable_type]:[variable_type]],"H2_outflow",
Infrastructure[[cluster]:[cluster]],$B$524,
Infrastructure[[pipe_cluster_end]:[pipe_cluster_end]],$B532)*PJ2TWh,"")</f>
        <v>0</v>
      </c>
      <c r="P532" s="51">
        <f>IFERROR(SUMIFS(Infrastructure[2034],
Infrastructure[[variable_type]:[variable_type]],"H2_outflow",
Infrastructure[[cluster]:[cluster]],$B$524,
Infrastructure[[pipe_cluster_end]:[pipe_cluster_end]],$B532)*PJ2TWh,"")</f>
        <v>0</v>
      </c>
      <c r="Q532" s="51">
        <f>IFERROR(SUMIFS(Infrastructure[2035],
Infrastructure[[variable_type]:[variable_type]],"H2_outflow",
Infrastructure[[cluster]:[cluster]],$B$524,
Infrastructure[[pipe_cluster_end]:[pipe_cluster_end]],$B532)*PJ2TWh,"")</f>
        <v>0</v>
      </c>
      <c r="R532" s="51">
        <f>IFERROR(SUMIFS(Infrastructure[2036],
Infrastructure[[variable_type]:[variable_type]],"H2_outflow",
Infrastructure[[cluster]:[cluster]],$B$524,
Infrastructure[[pipe_cluster_end]:[pipe_cluster_end]],$B532)*PJ2TWh,"")</f>
        <v>0</v>
      </c>
      <c r="S532" s="51">
        <f>IFERROR(SUMIFS(Infrastructure[2037],
Infrastructure[[variable_type]:[variable_type]],"H2_outflow",
Infrastructure[[cluster]:[cluster]],$B$524,
Infrastructure[[pipe_cluster_end]:[pipe_cluster_end]],$B532)*PJ2TWh,"")</f>
        <v>0</v>
      </c>
      <c r="T532" s="51">
        <f>IFERROR(SUMIFS(Infrastructure[2038],
Infrastructure[[variable_type]:[variable_type]],"H2_outflow",
Infrastructure[[cluster]:[cluster]],$B$524,
Infrastructure[[pipe_cluster_end]:[pipe_cluster_end]],$B532)*PJ2TWh,"")</f>
        <v>0</v>
      </c>
      <c r="U532" s="51">
        <f>IFERROR(SUMIFS(Infrastructure[2039],
Infrastructure[[variable_type]:[variable_type]],"H2_outflow",
Infrastructure[[cluster]:[cluster]],$B$524,
Infrastructure[[pipe_cluster_end]:[pipe_cluster_end]],$B532)*PJ2TWh,"")</f>
        <v>0</v>
      </c>
      <c r="V532" s="51">
        <f>IFERROR(SUMIFS(Infrastructure[2040],
Infrastructure[[variable_type]:[variable_type]],"H2_outflow",
Infrastructure[[cluster]:[cluster]],$B$524,
Infrastructure[[pipe_cluster_end]:[pipe_cluster_end]],$B532)*PJ2TWh,"")</f>
        <v>0</v>
      </c>
      <c r="W532" s="51">
        <f>IFERROR(SUMIFS(Infrastructure[2041],
Infrastructure[[variable_type]:[variable_type]],"H2_outflow",
Infrastructure[[cluster]:[cluster]],$B$524,
Infrastructure[[pipe_cluster_end]:[pipe_cluster_end]],$B532)*PJ2TWh,"")</f>
        <v>0</v>
      </c>
      <c r="X532" s="51">
        <f>IFERROR(SUMIFS(Infrastructure[2042],
Infrastructure[[variable_type]:[variable_type]],"H2_outflow",
Infrastructure[[cluster]:[cluster]],$B$524,
Infrastructure[[pipe_cluster_end]:[pipe_cluster_end]],$B532)*PJ2TWh,"")</f>
        <v>0</v>
      </c>
      <c r="Y532" s="51">
        <f>IFERROR(SUMIFS(Infrastructure[2043],
Infrastructure[[variable_type]:[variable_type]],"H2_outflow",
Infrastructure[[cluster]:[cluster]],$B$524,
Infrastructure[[pipe_cluster_end]:[pipe_cluster_end]],$B532)*PJ2TWh,"")</f>
        <v>0</v>
      </c>
      <c r="Z532" s="51">
        <f>IFERROR(SUMIFS(Infrastructure[2044],
Infrastructure[[variable_type]:[variable_type]],"H2_outflow",
Infrastructure[[cluster]:[cluster]],$B$524,
Infrastructure[[pipe_cluster_end]:[pipe_cluster_end]],$B532)*PJ2TWh,"")</f>
        <v>0</v>
      </c>
      <c r="AA532" s="51">
        <f>IFERROR(SUMIFS(Infrastructure[2045],
Infrastructure[[variable_type]:[variable_type]],"H2_outflow",
Infrastructure[[cluster]:[cluster]],$B$524,
Infrastructure[[pipe_cluster_end]:[pipe_cluster_end]],$B532)*PJ2TWh,"")</f>
        <v>0</v>
      </c>
      <c r="AB532" s="51">
        <f>IFERROR(SUMIFS(Infrastructure[2046],
Infrastructure[[variable_type]:[variable_type]],"H2_outflow",
Infrastructure[[cluster]:[cluster]],$B$524,
Infrastructure[[pipe_cluster_end]:[pipe_cluster_end]],$B532)*PJ2TWh,"")</f>
        <v>0</v>
      </c>
      <c r="AC532" s="51">
        <f>IFERROR(SUMIFS(Infrastructure[2047],
Infrastructure[[variable_type]:[variable_type]],"H2_outflow",
Infrastructure[[cluster]:[cluster]],$B$524,
Infrastructure[[pipe_cluster_end]:[pipe_cluster_end]],$B532)*PJ2TWh,"")</f>
        <v>0</v>
      </c>
      <c r="AD532" s="51">
        <f>IFERROR(SUMIFS(Infrastructure[2048],
Infrastructure[[variable_type]:[variable_type]],"H2_outflow",
Infrastructure[[cluster]:[cluster]],$B$524,
Infrastructure[[pipe_cluster_end]:[pipe_cluster_end]],$B532)*PJ2TWh,"")</f>
        <v>0</v>
      </c>
      <c r="AE532" s="51">
        <f>IFERROR(SUMIFS(Infrastructure[2049],
Infrastructure[[variable_type]:[variable_type]],"H2_outflow",
Infrastructure[[cluster]:[cluster]],$B$524,
Infrastructure[[pipe_cluster_end]:[pipe_cluster_end]],$B532)*PJ2TWh,"")</f>
        <v>0</v>
      </c>
      <c r="AF532" s="51">
        <f>IFERROR(SUMIFS(Infrastructure[2050],
Infrastructure[[variable_type]:[variable_type]],"H2_outflow",
Infrastructure[[cluster]:[cluster]],$B$524,
Infrastructure[[pipe_cluster_end]:[pipe_cluster_end]],$B532)*PJ2TWh,"")</f>
        <v>0</v>
      </c>
      <c r="AG532" s="51">
        <f>IFERROR(SUMIFS(Infrastructure[2051],
Infrastructure[[variable_type]:[variable_type]],"H2_outflow",
Infrastructure[[cluster]:[cluster]],$B$524,
Infrastructure[[pipe_cluster_end]:[pipe_cluster_end]],$B532)*PJ2TWh,"")</f>
        <v>0</v>
      </c>
    </row>
    <row r="533" spans="2:33" x14ac:dyDescent="0.45">
      <c r="B533" s="24" t="s">
        <v>77</v>
      </c>
      <c r="C533" s="51">
        <f>IFERROR(SUMIFS(Infrastructure[2021],
Infrastructure[[variable_type]:[variable_type]],"H2_outflow",
Infrastructure[[cluster]:[cluster]],$B$524,
Infrastructure[[pipe_cluster_end]:[pipe_cluster_end]],$B533)*PJ2TWh,"")</f>
        <v>0</v>
      </c>
      <c r="D533" s="51">
        <f>IFERROR(SUMIFS(Infrastructure[2022],
Infrastructure[[variable_type]:[variable_type]],"H2_outflow",
Infrastructure[[cluster]:[cluster]],$B$524,
Infrastructure[[pipe_cluster_end]:[pipe_cluster_end]],$B533)*PJ2TWh,"")</f>
        <v>0</v>
      </c>
      <c r="E533" s="51">
        <f>IFERROR(SUMIFS(Infrastructure[2023],
Infrastructure[[variable_type]:[variable_type]],"H2_outflow",
Infrastructure[[cluster]:[cluster]],$B$524,
Infrastructure[[pipe_cluster_end]:[pipe_cluster_end]],$B533)*PJ2TWh,"")</f>
        <v>0</v>
      </c>
      <c r="F533" s="51">
        <f>IFERROR(SUMIFS(Infrastructure[2024],
Infrastructure[[variable_type]:[variable_type]],"H2_outflow",
Infrastructure[[cluster]:[cluster]],$B$524,
Infrastructure[[pipe_cluster_end]:[pipe_cluster_end]],$B533)*PJ2TWh,"")</f>
        <v>0</v>
      </c>
      <c r="G533" s="51">
        <f>IFERROR(SUMIFS(Infrastructure[2025],
Infrastructure[[variable_type]:[variable_type]],"H2_outflow",
Infrastructure[[cluster]:[cluster]],$B$524,
Infrastructure[[pipe_cluster_end]:[pipe_cluster_end]],$B533)*PJ2TWh,"")</f>
        <v>0</v>
      </c>
      <c r="H533" s="51">
        <f>IFERROR(SUMIFS(Infrastructure[2026],
Infrastructure[[variable_type]:[variable_type]],"H2_outflow",
Infrastructure[[cluster]:[cluster]],$B$524,
Infrastructure[[pipe_cluster_end]:[pipe_cluster_end]],$B533)*PJ2TWh,"")</f>
        <v>0</v>
      </c>
      <c r="I533" s="51">
        <f>IFERROR(SUMIFS(Infrastructure[2027],
Infrastructure[[variable_type]:[variable_type]],"H2_outflow",
Infrastructure[[cluster]:[cluster]],$B$524,
Infrastructure[[pipe_cluster_end]:[pipe_cluster_end]],$B533)*PJ2TWh,"")</f>
        <v>0</v>
      </c>
      <c r="J533" s="51">
        <f>IFERROR(SUMIFS(Infrastructure[2028],
Infrastructure[[variable_type]:[variable_type]],"H2_outflow",
Infrastructure[[cluster]:[cluster]],$B$524,
Infrastructure[[pipe_cluster_end]:[pipe_cluster_end]],$B533)*PJ2TWh,"")</f>
        <v>0</v>
      </c>
      <c r="K533" s="51">
        <f>IFERROR(SUMIFS(Infrastructure[2029],
Infrastructure[[variable_type]:[variable_type]],"H2_outflow",
Infrastructure[[cluster]:[cluster]],$B$524,
Infrastructure[[pipe_cluster_end]:[pipe_cluster_end]],$B533)*PJ2TWh,"")</f>
        <v>0</v>
      </c>
      <c r="L533" s="51">
        <f>IFERROR(SUMIFS(Infrastructure[2030],
Infrastructure[[variable_type]:[variable_type]],"H2_outflow",
Infrastructure[[cluster]:[cluster]],$B$524,
Infrastructure[[pipe_cluster_end]:[pipe_cluster_end]],$B533)*PJ2TWh,"")</f>
        <v>0</v>
      </c>
      <c r="M533" s="51">
        <f>IFERROR(SUMIFS(Infrastructure[2031],
Infrastructure[[variable_type]:[variable_type]],"H2_outflow",
Infrastructure[[cluster]:[cluster]],$B$524,
Infrastructure[[pipe_cluster_end]:[pipe_cluster_end]],$B533)*PJ2TWh,"")</f>
        <v>0</v>
      </c>
      <c r="N533" s="51">
        <f>IFERROR(SUMIFS(Infrastructure[2032],
Infrastructure[[variable_type]:[variable_type]],"H2_outflow",
Infrastructure[[cluster]:[cluster]],$B$524,
Infrastructure[[pipe_cluster_end]:[pipe_cluster_end]],$B533)*PJ2TWh,"")</f>
        <v>0</v>
      </c>
      <c r="O533" s="51">
        <f>IFERROR(SUMIFS(Infrastructure[2033],
Infrastructure[[variable_type]:[variable_type]],"H2_outflow",
Infrastructure[[cluster]:[cluster]],$B$524,
Infrastructure[[pipe_cluster_end]:[pipe_cluster_end]],$B533)*PJ2TWh,"")</f>
        <v>0</v>
      </c>
      <c r="P533" s="51">
        <f>IFERROR(SUMIFS(Infrastructure[2034],
Infrastructure[[variable_type]:[variable_type]],"H2_outflow",
Infrastructure[[cluster]:[cluster]],$B$524,
Infrastructure[[pipe_cluster_end]:[pipe_cluster_end]],$B533)*PJ2TWh,"")</f>
        <v>0</v>
      </c>
      <c r="Q533" s="51">
        <f>IFERROR(SUMIFS(Infrastructure[2035],
Infrastructure[[variable_type]:[variable_type]],"H2_outflow",
Infrastructure[[cluster]:[cluster]],$B$524,
Infrastructure[[pipe_cluster_end]:[pipe_cluster_end]],$B533)*PJ2TWh,"")</f>
        <v>0</v>
      </c>
      <c r="R533" s="51">
        <f>IFERROR(SUMIFS(Infrastructure[2036],
Infrastructure[[variable_type]:[variable_type]],"H2_outflow",
Infrastructure[[cluster]:[cluster]],$B$524,
Infrastructure[[pipe_cluster_end]:[pipe_cluster_end]],$B533)*PJ2TWh,"")</f>
        <v>0</v>
      </c>
      <c r="S533" s="51">
        <f>IFERROR(SUMIFS(Infrastructure[2037],
Infrastructure[[variable_type]:[variable_type]],"H2_outflow",
Infrastructure[[cluster]:[cluster]],$B$524,
Infrastructure[[pipe_cluster_end]:[pipe_cluster_end]],$B533)*PJ2TWh,"")</f>
        <v>0</v>
      </c>
      <c r="T533" s="51">
        <f>IFERROR(SUMIFS(Infrastructure[2038],
Infrastructure[[variable_type]:[variable_type]],"H2_outflow",
Infrastructure[[cluster]:[cluster]],$B$524,
Infrastructure[[pipe_cluster_end]:[pipe_cluster_end]],$B533)*PJ2TWh,"")</f>
        <v>0</v>
      </c>
      <c r="U533" s="51">
        <f>IFERROR(SUMIFS(Infrastructure[2039],
Infrastructure[[variable_type]:[variable_type]],"H2_outflow",
Infrastructure[[cluster]:[cluster]],$B$524,
Infrastructure[[pipe_cluster_end]:[pipe_cluster_end]],$B533)*PJ2TWh,"")</f>
        <v>0</v>
      </c>
      <c r="V533" s="51">
        <f>IFERROR(SUMIFS(Infrastructure[2040],
Infrastructure[[variable_type]:[variable_type]],"H2_outflow",
Infrastructure[[cluster]:[cluster]],$B$524,
Infrastructure[[pipe_cluster_end]:[pipe_cluster_end]],$B533)*PJ2TWh,"")</f>
        <v>0</v>
      </c>
      <c r="W533" s="51">
        <f>IFERROR(SUMIFS(Infrastructure[2041],
Infrastructure[[variable_type]:[variable_type]],"H2_outflow",
Infrastructure[[cluster]:[cluster]],$B$524,
Infrastructure[[pipe_cluster_end]:[pipe_cluster_end]],$B533)*PJ2TWh,"")</f>
        <v>0</v>
      </c>
      <c r="X533" s="51">
        <f>IFERROR(SUMIFS(Infrastructure[2042],
Infrastructure[[variable_type]:[variable_type]],"H2_outflow",
Infrastructure[[cluster]:[cluster]],$B$524,
Infrastructure[[pipe_cluster_end]:[pipe_cluster_end]],$B533)*PJ2TWh,"")</f>
        <v>0</v>
      </c>
      <c r="Y533" s="51">
        <f>IFERROR(SUMIFS(Infrastructure[2043],
Infrastructure[[variable_type]:[variable_type]],"H2_outflow",
Infrastructure[[cluster]:[cluster]],$B$524,
Infrastructure[[pipe_cluster_end]:[pipe_cluster_end]],$B533)*PJ2TWh,"")</f>
        <v>0</v>
      </c>
      <c r="Z533" s="51">
        <f>IFERROR(SUMIFS(Infrastructure[2044],
Infrastructure[[variable_type]:[variable_type]],"H2_outflow",
Infrastructure[[cluster]:[cluster]],$B$524,
Infrastructure[[pipe_cluster_end]:[pipe_cluster_end]],$B533)*PJ2TWh,"")</f>
        <v>0</v>
      </c>
      <c r="AA533" s="51">
        <f>IFERROR(SUMIFS(Infrastructure[2045],
Infrastructure[[variable_type]:[variable_type]],"H2_outflow",
Infrastructure[[cluster]:[cluster]],$B$524,
Infrastructure[[pipe_cluster_end]:[pipe_cluster_end]],$B533)*PJ2TWh,"")</f>
        <v>0</v>
      </c>
      <c r="AB533" s="51">
        <f>IFERROR(SUMIFS(Infrastructure[2046],
Infrastructure[[variable_type]:[variable_type]],"H2_outflow",
Infrastructure[[cluster]:[cluster]],$B$524,
Infrastructure[[pipe_cluster_end]:[pipe_cluster_end]],$B533)*PJ2TWh,"")</f>
        <v>0</v>
      </c>
      <c r="AC533" s="51">
        <f>IFERROR(SUMIFS(Infrastructure[2047],
Infrastructure[[variable_type]:[variable_type]],"H2_outflow",
Infrastructure[[cluster]:[cluster]],$B$524,
Infrastructure[[pipe_cluster_end]:[pipe_cluster_end]],$B533)*PJ2TWh,"")</f>
        <v>0</v>
      </c>
      <c r="AD533" s="51">
        <f>IFERROR(SUMIFS(Infrastructure[2048],
Infrastructure[[variable_type]:[variable_type]],"H2_outflow",
Infrastructure[[cluster]:[cluster]],$B$524,
Infrastructure[[pipe_cluster_end]:[pipe_cluster_end]],$B533)*PJ2TWh,"")</f>
        <v>0</v>
      </c>
      <c r="AE533" s="51">
        <f>IFERROR(SUMIFS(Infrastructure[2049],
Infrastructure[[variable_type]:[variable_type]],"H2_outflow",
Infrastructure[[cluster]:[cluster]],$B$524,
Infrastructure[[pipe_cluster_end]:[pipe_cluster_end]],$B533)*PJ2TWh,"")</f>
        <v>0</v>
      </c>
      <c r="AF533" s="51">
        <f>IFERROR(SUMIFS(Infrastructure[2050],
Infrastructure[[variable_type]:[variable_type]],"H2_outflow",
Infrastructure[[cluster]:[cluster]],$B$524,
Infrastructure[[pipe_cluster_end]:[pipe_cluster_end]],$B533)*PJ2TWh,"")</f>
        <v>0</v>
      </c>
      <c r="AG533" s="51">
        <f>IFERROR(SUMIFS(Infrastructure[2051],
Infrastructure[[variable_type]:[variable_type]],"H2_outflow",
Infrastructure[[cluster]:[cluster]],$B$524,
Infrastructure[[pipe_cluster_end]:[pipe_cluster_end]],$B533)*PJ2TWh,"")</f>
        <v>0</v>
      </c>
    </row>
    <row r="534" spans="2:33" x14ac:dyDescent="0.45">
      <c r="B534" s="24" t="s">
        <v>78</v>
      </c>
      <c r="C534" s="51">
        <f>IFERROR(SUMIFS(Infrastructure[2021],
Infrastructure[[variable_type]:[variable_type]],"H2_outflow",
Infrastructure[[cluster]:[cluster]],$B$524,
Infrastructure[[pipe_cluster_end]:[pipe_cluster_end]],$B534)*PJ2TWh,"")</f>
        <v>0</v>
      </c>
      <c r="D534" s="51">
        <f>IFERROR(SUMIFS(Infrastructure[2022],
Infrastructure[[variable_type]:[variable_type]],"H2_outflow",
Infrastructure[[cluster]:[cluster]],$B$524,
Infrastructure[[pipe_cluster_end]:[pipe_cluster_end]],$B534)*PJ2TWh,"")</f>
        <v>0</v>
      </c>
      <c r="E534" s="51">
        <f>IFERROR(SUMIFS(Infrastructure[2023],
Infrastructure[[variable_type]:[variable_type]],"H2_outflow",
Infrastructure[[cluster]:[cluster]],$B$524,
Infrastructure[[pipe_cluster_end]:[pipe_cluster_end]],$B534)*PJ2TWh,"")</f>
        <v>0</v>
      </c>
      <c r="F534" s="51">
        <f>IFERROR(SUMIFS(Infrastructure[2024],
Infrastructure[[variable_type]:[variable_type]],"H2_outflow",
Infrastructure[[cluster]:[cluster]],$B$524,
Infrastructure[[pipe_cluster_end]:[pipe_cluster_end]],$B534)*PJ2TWh,"")</f>
        <v>0</v>
      </c>
      <c r="G534" s="51">
        <f>IFERROR(SUMIFS(Infrastructure[2025],
Infrastructure[[variable_type]:[variable_type]],"H2_outflow",
Infrastructure[[cluster]:[cluster]],$B$524,
Infrastructure[[pipe_cluster_end]:[pipe_cluster_end]],$B534)*PJ2TWh,"")</f>
        <v>0</v>
      </c>
      <c r="H534" s="51">
        <f>IFERROR(SUMIFS(Infrastructure[2026],
Infrastructure[[variable_type]:[variable_type]],"H2_outflow",
Infrastructure[[cluster]:[cluster]],$B$524,
Infrastructure[[pipe_cluster_end]:[pipe_cluster_end]],$B534)*PJ2TWh,"")</f>
        <v>0</v>
      </c>
      <c r="I534" s="51">
        <f>IFERROR(SUMIFS(Infrastructure[2027],
Infrastructure[[variable_type]:[variable_type]],"H2_outflow",
Infrastructure[[cluster]:[cluster]],$B$524,
Infrastructure[[pipe_cluster_end]:[pipe_cluster_end]],$B534)*PJ2TWh,"")</f>
        <v>0</v>
      </c>
      <c r="J534" s="51">
        <f>IFERROR(SUMIFS(Infrastructure[2028],
Infrastructure[[variable_type]:[variable_type]],"H2_outflow",
Infrastructure[[cluster]:[cluster]],$B$524,
Infrastructure[[pipe_cluster_end]:[pipe_cluster_end]],$B534)*PJ2TWh,"")</f>
        <v>0</v>
      </c>
      <c r="K534" s="51">
        <f>IFERROR(SUMIFS(Infrastructure[2029],
Infrastructure[[variable_type]:[variable_type]],"H2_outflow",
Infrastructure[[cluster]:[cluster]],$B$524,
Infrastructure[[pipe_cluster_end]:[pipe_cluster_end]],$B534)*PJ2TWh,"")</f>
        <v>0</v>
      </c>
      <c r="L534" s="51">
        <f>IFERROR(SUMIFS(Infrastructure[2030],
Infrastructure[[variable_type]:[variable_type]],"H2_outflow",
Infrastructure[[cluster]:[cluster]],$B$524,
Infrastructure[[pipe_cluster_end]:[pipe_cluster_end]],$B534)*PJ2TWh,"")</f>
        <v>0</v>
      </c>
      <c r="M534" s="51">
        <f>IFERROR(SUMIFS(Infrastructure[2031],
Infrastructure[[variable_type]:[variable_type]],"H2_outflow",
Infrastructure[[cluster]:[cluster]],$B$524,
Infrastructure[[pipe_cluster_end]:[pipe_cluster_end]],$B534)*PJ2TWh,"")</f>
        <v>0</v>
      </c>
      <c r="N534" s="51">
        <f>IFERROR(SUMIFS(Infrastructure[2032],
Infrastructure[[variable_type]:[variable_type]],"H2_outflow",
Infrastructure[[cluster]:[cluster]],$B$524,
Infrastructure[[pipe_cluster_end]:[pipe_cluster_end]],$B534)*PJ2TWh,"")</f>
        <v>0</v>
      </c>
      <c r="O534" s="51">
        <f>IFERROR(SUMIFS(Infrastructure[2033],
Infrastructure[[variable_type]:[variable_type]],"H2_outflow",
Infrastructure[[cluster]:[cluster]],$B$524,
Infrastructure[[pipe_cluster_end]:[pipe_cluster_end]],$B534)*PJ2TWh,"")</f>
        <v>0</v>
      </c>
      <c r="P534" s="51">
        <f>IFERROR(SUMIFS(Infrastructure[2034],
Infrastructure[[variable_type]:[variable_type]],"H2_outflow",
Infrastructure[[cluster]:[cluster]],$B$524,
Infrastructure[[pipe_cluster_end]:[pipe_cluster_end]],$B534)*PJ2TWh,"")</f>
        <v>0</v>
      </c>
      <c r="Q534" s="51">
        <f>IFERROR(SUMIFS(Infrastructure[2035],
Infrastructure[[variable_type]:[variable_type]],"H2_outflow",
Infrastructure[[cluster]:[cluster]],$B$524,
Infrastructure[[pipe_cluster_end]:[pipe_cluster_end]],$B534)*PJ2TWh,"")</f>
        <v>0</v>
      </c>
      <c r="R534" s="51">
        <f>IFERROR(SUMIFS(Infrastructure[2036],
Infrastructure[[variable_type]:[variable_type]],"H2_outflow",
Infrastructure[[cluster]:[cluster]],$B$524,
Infrastructure[[pipe_cluster_end]:[pipe_cluster_end]],$B534)*PJ2TWh,"")</f>
        <v>0</v>
      </c>
      <c r="S534" s="51">
        <f>IFERROR(SUMIFS(Infrastructure[2037],
Infrastructure[[variable_type]:[variable_type]],"H2_outflow",
Infrastructure[[cluster]:[cluster]],$B$524,
Infrastructure[[pipe_cluster_end]:[pipe_cluster_end]],$B534)*PJ2TWh,"")</f>
        <v>0</v>
      </c>
      <c r="T534" s="51">
        <f>IFERROR(SUMIFS(Infrastructure[2038],
Infrastructure[[variable_type]:[variable_type]],"H2_outflow",
Infrastructure[[cluster]:[cluster]],$B$524,
Infrastructure[[pipe_cluster_end]:[pipe_cluster_end]],$B534)*PJ2TWh,"")</f>
        <v>0</v>
      </c>
      <c r="U534" s="51">
        <f>IFERROR(SUMIFS(Infrastructure[2039],
Infrastructure[[variable_type]:[variable_type]],"H2_outflow",
Infrastructure[[cluster]:[cluster]],$B$524,
Infrastructure[[pipe_cluster_end]:[pipe_cluster_end]],$B534)*PJ2TWh,"")</f>
        <v>0</v>
      </c>
      <c r="V534" s="51">
        <f>IFERROR(SUMIFS(Infrastructure[2040],
Infrastructure[[variable_type]:[variable_type]],"H2_outflow",
Infrastructure[[cluster]:[cluster]],$B$524,
Infrastructure[[pipe_cluster_end]:[pipe_cluster_end]],$B534)*PJ2TWh,"")</f>
        <v>0</v>
      </c>
      <c r="W534" s="51">
        <f>IFERROR(SUMIFS(Infrastructure[2041],
Infrastructure[[variable_type]:[variable_type]],"H2_outflow",
Infrastructure[[cluster]:[cluster]],$B$524,
Infrastructure[[pipe_cluster_end]:[pipe_cluster_end]],$B534)*PJ2TWh,"")</f>
        <v>0</v>
      </c>
      <c r="X534" s="51">
        <f>IFERROR(SUMIFS(Infrastructure[2042],
Infrastructure[[variable_type]:[variable_type]],"H2_outflow",
Infrastructure[[cluster]:[cluster]],$B$524,
Infrastructure[[pipe_cluster_end]:[pipe_cluster_end]],$B534)*PJ2TWh,"")</f>
        <v>0</v>
      </c>
      <c r="Y534" s="51">
        <f>IFERROR(SUMIFS(Infrastructure[2043],
Infrastructure[[variable_type]:[variable_type]],"H2_outflow",
Infrastructure[[cluster]:[cluster]],$B$524,
Infrastructure[[pipe_cluster_end]:[pipe_cluster_end]],$B534)*PJ2TWh,"")</f>
        <v>0</v>
      </c>
      <c r="Z534" s="51">
        <f>IFERROR(SUMIFS(Infrastructure[2044],
Infrastructure[[variable_type]:[variable_type]],"H2_outflow",
Infrastructure[[cluster]:[cluster]],$B$524,
Infrastructure[[pipe_cluster_end]:[pipe_cluster_end]],$B534)*PJ2TWh,"")</f>
        <v>0</v>
      </c>
      <c r="AA534" s="51">
        <f>IFERROR(SUMIFS(Infrastructure[2045],
Infrastructure[[variable_type]:[variable_type]],"H2_outflow",
Infrastructure[[cluster]:[cluster]],$B$524,
Infrastructure[[pipe_cluster_end]:[pipe_cluster_end]],$B534)*PJ2TWh,"")</f>
        <v>0</v>
      </c>
      <c r="AB534" s="51">
        <f>IFERROR(SUMIFS(Infrastructure[2046],
Infrastructure[[variable_type]:[variable_type]],"H2_outflow",
Infrastructure[[cluster]:[cluster]],$B$524,
Infrastructure[[pipe_cluster_end]:[pipe_cluster_end]],$B534)*PJ2TWh,"")</f>
        <v>0</v>
      </c>
      <c r="AC534" s="51">
        <f>IFERROR(SUMIFS(Infrastructure[2047],
Infrastructure[[variable_type]:[variable_type]],"H2_outflow",
Infrastructure[[cluster]:[cluster]],$B$524,
Infrastructure[[pipe_cluster_end]:[pipe_cluster_end]],$B534)*PJ2TWh,"")</f>
        <v>0</v>
      </c>
      <c r="AD534" s="51">
        <f>IFERROR(SUMIFS(Infrastructure[2048],
Infrastructure[[variable_type]:[variable_type]],"H2_outflow",
Infrastructure[[cluster]:[cluster]],$B$524,
Infrastructure[[pipe_cluster_end]:[pipe_cluster_end]],$B534)*PJ2TWh,"")</f>
        <v>0</v>
      </c>
      <c r="AE534" s="51">
        <f>IFERROR(SUMIFS(Infrastructure[2049],
Infrastructure[[variable_type]:[variable_type]],"H2_outflow",
Infrastructure[[cluster]:[cluster]],$B$524,
Infrastructure[[pipe_cluster_end]:[pipe_cluster_end]],$B534)*PJ2TWh,"")</f>
        <v>0</v>
      </c>
      <c r="AF534" s="51">
        <f>IFERROR(SUMIFS(Infrastructure[2050],
Infrastructure[[variable_type]:[variable_type]],"H2_outflow",
Infrastructure[[cluster]:[cluster]],$B$524,
Infrastructure[[pipe_cluster_end]:[pipe_cluster_end]],$B534)*PJ2TWh,"")</f>
        <v>0</v>
      </c>
      <c r="AG534" s="51">
        <f>IFERROR(SUMIFS(Infrastructure[2051],
Infrastructure[[variable_type]:[variable_type]],"H2_outflow",
Infrastructure[[cluster]:[cluster]],$B$524,
Infrastructure[[pipe_cluster_end]:[pipe_cluster_end]],$B534)*PJ2TWh,"")</f>
        <v>0</v>
      </c>
    </row>
    <row r="535" spans="2:33" x14ac:dyDescent="0.45">
      <c r="B535" s="6" t="s">
        <v>76</v>
      </c>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row>
    <row r="536" spans="2:33" x14ac:dyDescent="0.45">
      <c r="B536" s="24" t="s">
        <v>70</v>
      </c>
      <c r="C536" s="51">
        <f>IFERROR(SUMIFS(Infrastructure[2021],
Infrastructure[[variable_type]:[variable_type]],"H2_outflow",
Infrastructure[[cluster]:[cluster]],$B$535,
Infrastructure[[pipe_cluster_end]:[pipe_cluster_end]],$B536)*PJ2TWh,"")</f>
        <v>0</v>
      </c>
      <c r="D536" s="51">
        <f>IFERROR(SUMIFS(Infrastructure[2022],
Infrastructure[[variable_type]:[variable_type]],"H2_outflow",
Infrastructure[[cluster]:[cluster]],$B$535,
Infrastructure[[pipe_cluster_end]:[pipe_cluster_end]],$B536)*PJ2TWh,"")</f>
        <v>0</v>
      </c>
      <c r="E536" s="51">
        <f>IFERROR(SUMIFS(Infrastructure[2023],
Infrastructure[[variable_type]:[variable_type]],"H2_outflow",
Infrastructure[[cluster]:[cluster]],$B$535,
Infrastructure[[pipe_cluster_end]:[pipe_cluster_end]],$B536)*PJ2TWh,"")</f>
        <v>0</v>
      </c>
      <c r="F536" s="51">
        <f>IFERROR(SUMIFS(Infrastructure[2024],
Infrastructure[[variable_type]:[variable_type]],"H2_outflow",
Infrastructure[[cluster]:[cluster]],$B$535,
Infrastructure[[pipe_cluster_end]:[pipe_cluster_end]],$B536)*PJ2TWh,"")</f>
        <v>0</v>
      </c>
      <c r="G536" s="51">
        <f>IFERROR(SUMIFS(Infrastructure[2025],
Infrastructure[[variable_type]:[variable_type]],"H2_outflow",
Infrastructure[[cluster]:[cluster]],$B$535,
Infrastructure[[pipe_cluster_end]:[pipe_cluster_end]],$B536)*PJ2TWh,"")</f>
        <v>0</v>
      </c>
      <c r="H536" s="51">
        <f>IFERROR(SUMIFS(Infrastructure[2026],
Infrastructure[[variable_type]:[variable_type]],"H2_outflow",
Infrastructure[[cluster]:[cluster]],$B$535,
Infrastructure[[pipe_cluster_end]:[pipe_cluster_end]],$B536)*PJ2TWh,"")</f>
        <v>0</v>
      </c>
      <c r="I536" s="51">
        <f>IFERROR(SUMIFS(Infrastructure[2027],
Infrastructure[[variable_type]:[variable_type]],"H2_outflow",
Infrastructure[[cluster]:[cluster]],$B$535,
Infrastructure[[pipe_cluster_end]:[pipe_cluster_end]],$B536)*PJ2TWh,"")</f>
        <v>0</v>
      </c>
      <c r="J536" s="51">
        <f>IFERROR(SUMIFS(Infrastructure[2028],
Infrastructure[[variable_type]:[variable_type]],"H2_outflow",
Infrastructure[[cluster]:[cluster]],$B$535,
Infrastructure[[pipe_cluster_end]:[pipe_cluster_end]],$B536)*PJ2TWh,"")</f>
        <v>0</v>
      </c>
      <c r="K536" s="51">
        <f>IFERROR(SUMIFS(Infrastructure[2029],
Infrastructure[[variable_type]:[variable_type]],"H2_outflow",
Infrastructure[[cluster]:[cluster]],$B$535,
Infrastructure[[pipe_cluster_end]:[pipe_cluster_end]],$B536)*PJ2TWh,"")</f>
        <v>0</v>
      </c>
      <c r="L536" s="51">
        <f>IFERROR(SUMIFS(Infrastructure[2030],
Infrastructure[[variable_type]:[variable_type]],"H2_outflow",
Infrastructure[[cluster]:[cluster]],$B$535,
Infrastructure[[pipe_cluster_end]:[pipe_cluster_end]],$B536)*PJ2TWh,"")</f>
        <v>0</v>
      </c>
      <c r="M536" s="51">
        <f>IFERROR(SUMIFS(Infrastructure[2031],
Infrastructure[[variable_type]:[variable_type]],"H2_outflow",
Infrastructure[[cluster]:[cluster]],$B$535,
Infrastructure[[pipe_cluster_end]:[pipe_cluster_end]],$B536)*PJ2TWh,"")</f>
        <v>0</v>
      </c>
      <c r="N536" s="51">
        <f>IFERROR(SUMIFS(Infrastructure[2032],
Infrastructure[[variable_type]:[variable_type]],"H2_outflow",
Infrastructure[[cluster]:[cluster]],$B$535,
Infrastructure[[pipe_cluster_end]:[pipe_cluster_end]],$B536)*PJ2TWh,"")</f>
        <v>0</v>
      </c>
      <c r="O536" s="51">
        <f>IFERROR(SUMIFS(Infrastructure[2033],
Infrastructure[[variable_type]:[variable_type]],"H2_outflow",
Infrastructure[[cluster]:[cluster]],$B$535,
Infrastructure[[pipe_cluster_end]:[pipe_cluster_end]],$B536)*PJ2TWh,"")</f>
        <v>0</v>
      </c>
      <c r="P536" s="51">
        <f>IFERROR(SUMIFS(Infrastructure[2034],
Infrastructure[[variable_type]:[variable_type]],"H2_outflow",
Infrastructure[[cluster]:[cluster]],$B$535,
Infrastructure[[pipe_cluster_end]:[pipe_cluster_end]],$B536)*PJ2TWh,"")</f>
        <v>0</v>
      </c>
      <c r="Q536" s="51">
        <f>IFERROR(SUMIFS(Infrastructure[2035],
Infrastructure[[variable_type]:[variable_type]],"H2_outflow",
Infrastructure[[cluster]:[cluster]],$B$535,
Infrastructure[[pipe_cluster_end]:[pipe_cluster_end]],$B536)*PJ2TWh,"")</f>
        <v>0</v>
      </c>
      <c r="R536" s="51">
        <f>IFERROR(SUMIFS(Infrastructure[2036],
Infrastructure[[variable_type]:[variable_type]],"H2_outflow",
Infrastructure[[cluster]:[cluster]],$B$535,
Infrastructure[[pipe_cluster_end]:[pipe_cluster_end]],$B536)*PJ2TWh,"")</f>
        <v>0</v>
      </c>
      <c r="S536" s="51">
        <f>IFERROR(SUMIFS(Infrastructure[2037],
Infrastructure[[variable_type]:[variable_type]],"H2_outflow",
Infrastructure[[cluster]:[cluster]],$B$535,
Infrastructure[[pipe_cluster_end]:[pipe_cluster_end]],$B536)*PJ2TWh,"")</f>
        <v>0</v>
      </c>
      <c r="T536" s="51">
        <f>IFERROR(SUMIFS(Infrastructure[2038],
Infrastructure[[variable_type]:[variable_type]],"H2_outflow",
Infrastructure[[cluster]:[cluster]],$B$535,
Infrastructure[[pipe_cluster_end]:[pipe_cluster_end]],$B536)*PJ2TWh,"")</f>
        <v>0</v>
      </c>
      <c r="U536" s="51">
        <f>IFERROR(SUMIFS(Infrastructure[2039],
Infrastructure[[variable_type]:[variable_type]],"H2_outflow",
Infrastructure[[cluster]:[cluster]],$B$535,
Infrastructure[[pipe_cluster_end]:[pipe_cluster_end]],$B536)*PJ2TWh,"")</f>
        <v>0</v>
      </c>
      <c r="V536" s="51">
        <f>IFERROR(SUMIFS(Infrastructure[2040],
Infrastructure[[variable_type]:[variable_type]],"H2_outflow",
Infrastructure[[cluster]:[cluster]],$B$535,
Infrastructure[[pipe_cluster_end]:[pipe_cluster_end]],$B536)*PJ2TWh,"")</f>
        <v>0</v>
      </c>
      <c r="W536" s="51">
        <f>IFERROR(SUMIFS(Infrastructure[2041],
Infrastructure[[variable_type]:[variable_type]],"H2_outflow",
Infrastructure[[cluster]:[cluster]],$B$535,
Infrastructure[[pipe_cluster_end]:[pipe_cluster_end]],$B536)*PJ2TWh,"")</f>
        <v>0</v>
      </c>
      <c r="X536" s="51">
        <f>IFERROR(SUMIFS(Infrastructure[2042],
Infrastructure[[variable_type]:[variable_type]],"H2_outflow",
Infrastructure[[cluster]:[cluster]],$B$535,
Infrastructure[[pipe_cluster_end]:[pipe_cluster_end]],$B536)*PJ2TWh,"")</f>
        <v>0</v>
      </c>
      <c r="Y536" s="51">
        <f>IFERROR(SUMIFS(Infrastructure[2043],
Infrastructure[[variable_type]:[variable_type]],"H2_outflow",
Infrastructure[[cluster]:[cluster]],$B$535,
Infrastructure[[pipe_cluster_end]:[pipe_cluster_end]],$B536)*PJ2TWh,"")</f>
        <v>0</v>
      </c>
      <c r="Z536" s="51">
        <f>IFERROR(SUMIFS(Infrastructure[2044],
Infrastructure[[variable_type]:[variable_type]],"H2_outflow",
Infrastructure[[cluster]:[cluster]],$B$535,
Infrastructure[[pipe_cluster_end]:[pipe_cluster_end]],$B536)*PJ2TWh,"")</f>
        <v>0</v>
      </c>
      <c r="AA536" s="51">
        <f>IFERROR(SUMIFS(Infrastructure[2045],
Infrastructure[[variable_type]:[variable_type]],"H2_outflow",
Infrastructure[[cluster]:[cluster]],$B$535,
Infrastructure[[pipe_cluster_end]:[pipe_cluster_end]],$B536)*PJ2TWh,"")</f>
        <v>0</v>
      </c>
      <c r="AB536" s="51">
        <f>IFERROR(SUMIFS(Infrastructure[2046],
Infrastructure[[variable_type]:[variable_type]],"H2_outflow",
Infrastructure[[cluster]:[cluster]],$B$535,
Infrastructure[[pipe_cluster_end]:[pipe_cluster_end]],$B536)*PJ2TWh,"")</f>
        <v>0</v>
      </c>
      <c r="AC536" s="51">
        <f>IFERROR(SUMIFS(Infrastructure[2047],
Infrastructure[[variable_type]:[variable_type]],"H2_outflow",
Infrastructure[[cluster]:[cluster]],$B$535,
Infrastructure[[pipe_cluster_end]:[pipe_cluster_end]],$B536)*PJ2TWh,"")</f>
        <v>0</v>
      </c>
      <c r="AD536" s="51">
        <f>IFERROR(SUMIFS(Infrastructure[2048],
Infrastructure[[variable_type]:[variable_type]],"H2_outflow",
Infrastructure[[cluster]:[cluster]],$B$535,
Infrastructure[[pipe_cluster_end]:[pipe_cluster_end]],$B536)*PJ2TWh,"")</f>
        <v>0</v>
      </c>
      <c r="AE536" s="51">
        <f>IFERROR(SUMIFS(Infrastructure[2049],
Infrastructure[[variable_type]:[variable_type]],"H2_outflow",
Infrastructure[[cluster]:[cluster]],$B$535,
Infrastructure[[pipe_cluster_end]:[pipe_cluster_end]],$B536)*PJ2TWh,"")</f>
        <v>0</v>
      </c>
      <c r="AF536" s="51">
        <f>IFERROR(SUMIFS(Infrastructure[2050],
Infrastructure[[variable_type]:[variable_type]],"H2_outflow",
Infrastructure[[cluster]:[cluster]],$B$535,
Infrastructure[[pipe_cluster_end]:[pipe_cluster_end]],$B536)*PJ2TWh,"")</f>
        <v>0</v>
      </c>
      <c r="AG536" s="51">
        <f>IFERROR(SUMIFS(Infrastructure[2051],
Infrastructure[[variable_type]:[variable_type]],"H2_outflow",
Infrastructure[[cluster]:[cluster]],$B$535,
Infrastructure[[pipe_cluster_end]:[pipe_cluster_end]],$B536)*PJ2TWh,"")</f>
        <v>0</v>
      </c>
    </row>
    <row r="537" spans="2:33" x14ac:dyDescent="0.45">
      <c r="B537" s="24" t="s">
        <v>52</v>
      </c>
      <c r="C537" s="51">
        <f>IFERROR(SUMIFS(Infrastructure[2021],
Infrastructure[[variable_type]:[variable_type]],"H2_outflow",
Infrastructure[[cluster]:[cluster]],$B$535,
Infrastructure[[pipe_cluster_end]:[pipe_cluster_end]],$B537)*PJ2TWh,"")</f>
        <v>0</v>
      </c>
      <c r="D537" s="51">
        <f>IFERROR(SUMIFS(Infrastructure[2022],
Infrastructure[[variable_type]:[variable_type]],"H2_outflow",
Infrastructure[[cluster]:[cluster]],$B$535,
Infrastructure[[pipe_cluster_end]:[pipe_cluster_end]],$B537)*PJ2TWh,"")</f>
        <v>0</v>
      </c>
      <c r="E537" s="51">
        <f>IFERROR(SUMIFS(Infrastructure[2023],
Infrastructure[[variable_type]:[variable_type]],"H2_outflow",
Infrastructure[[cluster]:[cluster]],$B$535,
Infrastructure[[pipe_cluster_end]:[pipe_cluster_end]],$B537)*PJ2TWh,"")</f>
        <v>0</v>
      </c>
      <c r="F537" s="51">
        <f>IFERROR(SUMIFS(Infrastructure[2024],
Infrastructure[[variable_type]:[variable_type]],"H2_outflow",
Infrastructure[[cluster]:[cluster]],$B$535,
Infrastructure[[pipe_cluster_end]:[pipe_cluster_end]],$B537)*PJ2TWh,"")</f>
        <v>0</v>
      </c>
      <c r="G537" s="51">
        <f>IFERROR(SUMIFS(Infrastructure[2025],
Infrastructure[[variable_type]:[variable_type]],"H2_outflow",
Infrastructure[[cluster]:[cluster]],$B$535,
Infrastructure[[pipe_cluster_end]:[pipe_cluster_end]],$B537)*PJ2TWh,"")</f>
        <v>0</v>
      </c>
      <c r="H537" s="51">
        <f>IFERROR(SUMIFS(Infrastructure[2026],
Infrastructure[[variable_type]:[variable_type]],"H2_outflow",
Infrastructure[[cluster]:[cluster]],$B$535,
Infrastructure[[pipe_cluster_end]:[pipe_cluster_end]],$B537)*PJ2TWh,"")</f>
        <v>0</v>
      </c>
      <c r="I537" s="51">
        <f>IFERROR(SUMIFS(Infrastructure[2027],
Infrastructure[[variable_type]:[variable_type]],"H2_outflow",
Infrastructure[[cluster]:[cluster]],$B$535,
Infrastructure[[pipe_cluster_end]:[pipe_cluster_end]],$B537)*PJ2TWh,"")</f>
        <v>0</v>
      </c>
      <c r="J537" s="51">
        <f>IFERROR(SUMIFS(Infrastructure[2028],
Infrastructure[[variable_type]:[variable_type]],"H2_outflow",
Infrastructure[[cluster]:[cluster]],$B$535,
Infrastructure[[pipe_cluster_end]:[pipe_cluster_end]],$B537)*PJ2TWh,"")</f>
        <v>0</v>
      </c>
      <c r="K537" s="51">
        <f>IFERROR(SUMIFS(Infrastructure[2029],
Infrastructure[[variable_type]:[variable_type]],"H2_outflow",
Infrastructure[[cluster]:[cluster]],$B$535,
Infrastructure[[pipe_cluster_end]:[pipe_cluster_end]],$B537)*PJ2TWh,"")</f>
        <v>0</v>
      </c>
      <c r="L537" s="51">
        <f>IFERROR(SUMIFS(Infrastructure[2030],
Infrastructure[[variable_type]:[variable_type]],"H2_outflow",
Infrastructure[[cluster]:[cluster]],$B$535,
Infrastructure[[pipe_cluster_end]:[pipe_cluster_end]],$B537)*PJ2TWh,"")</f>
        <v>0</v>
      </c>
      <c r="M537" s="51">
        <f>IFERROR(SUMIFS(Infrastructure[2031],
Infrastructure[[variable_type]:[variable_type]],"H2_outflow",
Infrastructure[[cluster]:[cluster]],$B$535,
Infrastructure[[pipe_cluster_end]:[pipe_cluster_end]],$B537)*PJ2TWh,"")</f>
        <v>0</v>
      </c>
      <c r="N537" s="51">
        <f>IFERROR(SUMIFS(Infrastructure[2032],
Infrastructure[[variable_type]:[variable_type]],"H2_outflow",
Infrastructure[[cluster]:[cluster]],$B$535,
Infrastructure[[pipe_cluster_end]:[pipe_cluster_end]],$B537)*PJ2TWh,"")</f>
        <v>0</v>
      </c>
      <c r="O537" s="51">
        <f>IFERROR(SUMIFS(Infrastructure[2033],
Infrastructure[[variable_type]:[variable_type]],"H2_outflow",
Infrastructure[[cluster]:[cluster]],$B$535,
Infrastructure[[pipe_cluster_end]:[pipe_cluster_end]],$B537)*PJ2TWh,"")</f>
        <v>0</v>
      </c>
      <c r="P537" s="51">
        <f>IFERROR(SUMIFS(Infrastructure[2034],
Infrastructure[[variable_type]:[variable_type]],"H2_outflow",
Infrastructure[[cluster]:[cluster]],$B$535,
Infrastructure[[pipe_cluster_end]:[pipe_cluster_end]],$B537)*PJ2TWh,"")</f>
        <v>0</v>
      </c>
      <c r="Q537" s="51">
        <f>IFERROR(SUMIFS(Infrastructure[2035],
Infrastructure[[variable_type]:[variable_type]],"H2_outflow",
Infrastructure[[cluster]:[cluster]],$B$535,
Infrastructure[[pipe_cluster_end]:[pipe_cluster_end]],$B537)*PJ2TWh,"")</f>
        <v>0</v>
      </c>
      <c r="R537" s="51">
        <f>IFERROR(SUMIFS(Infrastructure[2036],
Infrastructure[[variable_type]:[variable_type]],"H2_outflow",
Infrastructure[[cluster]:[cluster]],$B$535,
Infrastructure[[pipe_cluster_end]:[pipe_cluster_end]],$B537)*PJ2TWh,"")</f>
        <v>0</v>
      </c>
      <c r="S537" s="51">
        <f>IFERROR(SUMIFS(Infrastructure[2037],
Infrastructure[[variable_type]:[variable_type]],"H2_outflow",
Infrastructure[[cluster]:[cluster]],$B$535,
Infrastructure[[pipe_cluster_end]:[pipe_cluster_end]],$B537)*PJ2TWh,"")</f>
        <v>0</v>
      </c>
      <c r="T537" s="51">
        <f>IFERROR(SUMIFS(Infrastructure[2038],
Infrastructure[[variable_type]:[variable_type]],"H2_outflow",
Infrastructure[[cluster]:[cluster]],$B$535,
Infrastructure[[pipe_cluster_end]:[pipe_cluster_end]],$B537)*PJ2TWh,"")</f>
        <v>0</v>
      </c>
      <c r="U537" s="51">
        <f>IFERROR(SUMIFS(Infrastructure[2039],
Infrastructure[[variable_type]:[variable_type]],"H2_outflow",
Infrastructure[[cluster]:[cluster]],$B$535,
Infrastructure[[pipe_cluster_end]:[pipe_cluster_end]],$B537)*PJ2TWh,"")</f>
        <v>0</v>
      </c>
      <c r="V537" s="51">
        <f>IFERROR(SUMIFS(Infrastructure[2040],
Infrastructure[[variable_type]:[variable_type]],"H2_outflow",
Infrastructure[[cluster]:[cluster]],$B$535,
Infrastructure[[pipe_cluster_end]:[pipe_cluster_end]],$B537)*PJ2TWh,"")</f>
        <v>0</v>
      </c>
      <c r="W537" s="51">
        <f>IFERROR(SUMIFS(Infrastructure[2041],
Infrastructure[[variable_type]:[variable_type]],"H2_outflow",
Infrastructure[[cluster]:[cluster]],$B$535,
Infrastructure[[pipe_cluster_end]:[pipe_cluster_end]],$B537)*PJ2TWh,"")</f>
        <v>0</v>
      </c>
      <c r="X537" s="51">
        <f>IFERROR(SUMIFS(Infrastructure[2042],
Infrastructure[[variable_type]:[variable_type]],"H2_outflow",
Infrastructure[[cluster]:[cluster]],$B$535,
Infrastructure[[pipe_cluster_end]:[pipe_cluster_end]],$B537)*PJ2TWh,"")</f>
        <v>0</v>
      </c>
      <c r="Y537" s="51">
        <f>IFERROR(SUMIFS(Infrastructure[2043],
Infrastructure[[variable_type]:[variable_type]],"H2_outflow",
Infrastructure[[cluster]:[cluster]],$B$535,
Infrastructure[[pipe_cluster_end]:[pipe_cluster_end]],$B537)*PJ2TWh,"")</f>
        <v>0</v>
      </c>
      <c r="Z537" s="51">
        <f>IFERROR(SUMIFS(Infrastructure[2044],
Infrastructure[[variable_type]:[variable_type]],"H2_outflow",
Infrastructure[[cluster]:[cluster]],$B$535,
Infrastructure[[pipe_cluster_end]:[pipe_cluster_end]],$B537)*PJ2TWh,"")</f>
        <v>0</v>
      </c>
      <c r="AA537" s="51">
        <f>IFERROR(SUMIFS(Infrastructure[2045],
Infrastructure[[variable_type]:[variable_type]],"H2_outflow",
Infrastructure[[cluster]:[cluster]],$B$535,
Infrastructure[[pipe_cluster_end]:[pipe_cluster_end]],$B537)*PJ2TWh,"")</f>
        <v>0</v>
      </c>
      <c r="AB537" s="51">
        <f>IFERROR(SUMIFS(Infrastructure[2046],
Infrastructure[[variable_type]:[variable_type]],"H2_outflow",
Infrastructure[[cluster]:[cluster]],$B$535,
Infrastructure[[pipe_cluster_end]:[pipe_cluster_end]],$B537)*PJ2TWh,"")</f>
        <v>0</v>
      </c>
      <c r="AC537" s="51">
        <f>IFERROR(SUMIFS(Infrastructure[2047],
Infrastructure[[variable_type]:[variable_type]],"H2_outflow",
Infrastructure[[cluster]:[cluster]],$B$535,
Infrastructure[[pipe_cluster_end]:[pipe_cluster_end]],$B537)*PJ2TWh,"")</f>
        <v>0</v>
      </c>
      <c r="AD537" s="51">
        <f>IFERROR(SUMIFS(Infrastructure[2048],
Infrastructure[[variable_type]:[variable_type]],"H2_outflow",
Infrastructure[[cluster]:[cluster]],$B$535,
Infrastructure[[pipe_cluster_end]:[pipe_cluster_end]],$B537)*PJ2TWh,"")</f>
        <v>0</v>
      </c>
      <c r="AE537" s="51">
        <f>IFERROR(SUMIFS(Infrastructure[2049],
Infrastructure[[variable_type]:[variable_type]],"H2_outflow",
Infrastructure[[cluster]:[cluster]],$B$535,
Infrastructure[[pipe_cluster_end]:[pipe_cluster_end]],$B537)*PJ2TWh,"")</f>
        <v>0</v>
      </c>
      <c r="AF537" s="51">
        <f>IFERROR(SUMIFS(Infrastructure[2050],
Infrastructure[[variable_type]:[variable_type]],"H2_outflow",
Infrastructure[[cluster]:[cluster]],$B$535,
Infrastructure[[pipe_cluster_end]:[pipe_cluster_end]],$B537)*PJ2TWh,"")</f>
        <v>0</v>
      </c>
      <c r="AG537" s="51">
        <f>IFERROR(SUMIFS(Infrastructure[2051],
Infrastructure[[variable_type]:[variable_type]],"H2_outflow",
Infrastructure[[cluster]:[cluster]],$B$535,
Infrastructure[[pipe_cluster_end]:[pipe_cluster_end]],$B537)*PJ2TWh,"")</f>
        <v>0</v>
      </c>
    </row>
    <row r="538" spans="2:33" x14ac:dyDescent="0.45">
      <c r="B538" s="24" t="s">
        <v>71</v>
      </c>
      <c r="C538" s="51">
        <f>IFERROR(SUMIFS(Infrastructure[2021],
Infrastructure[[variable_type]:[variable_type]],"H2_outflow",
Infrastructure[[cluster]:[cluster]],$B$535,
Infrastructure[[pipe_cluster_end]:[pipe_cluster_end]],$B538)*PJ2TWh,"")</f>
        <v>0</v>
      </c>
      <c r="D538" s="51">
        <f>IFERROR(SUMIFS(Infrastructure[2022],
Infrastructure[[variable_type]:[variable_type]],"H2_outflow",
Infrastructure[[cluster]:[cluster]],$B$535,
Infrastructure[[pipe_cluster_end]:[pipe_cluster_end]],$B538)*PJ2TWh,"")</f>
        <v>0</v>
      </c>
      <c r="E538" s="51">
        <f>IFERROR(SUMIFS(Infrastructure[2023],
Infrastructure[[variable_type]:[variable_type]],"H2_outflow",
Infrastructure[[cluster]:[cluster]],$B$535,
Infrastructure[[pipe_cluster_end]:[pipe_cluster_end]],$B538)*PJ2TWh,"")</f>
        <v>0</v>
      </c>
      <c r="F538" s="51">
        <f>IFERROR(SUMIFS(Infrastructure[2024],
Infrastructure[[variable_type]:[variable_type]],"H2_outflow",
Infrastructure[[cluster]:[cluster]],$B$535,
Infrastructure[[pipe_cluster_end]:[pipe_cluster_end]],$B538)*PJ2TWh,"")</f>
        <v>0</v>
      </c>
      <c r="G538" s="51">
        <f>IFERROR(SUMIFS(Infrastructure[2025],
Infrastructure[[variable_type]:[variable_type]],"H2_outflow",
Infrastructure[[cluster]:[cluster]],$B$535,
Infrastructure[[pipe_cluster_end]:[pipe_cluster_end]],$B538)*PJ2TWh,"")</f>
        <v>0</v>
      </c>
      <c r="H538" s="51">
        <f>IFERROR(SUMIFS(Infrastructure[2026],
Infrastructure[[variable_type]:[variable_type]],"H2_outflow",
Infrastructure[[cluster]:[cluster]],$B$535,
Infrastructure[[pipe_cluster_end]:[pipe_cluster_end]],$B538)*PJ2TWh,"")</f>
        <v>0</v>
      </c>
      <c r="I538" s="51">
        <f>IFERROR(SUMIFS(Infrastructure[2027],
Infrastructure[[variable_type]:[variable_type]],"H2_outflow",
Infrastructure[[cluster]:[cluster]],$B$535,
Infrastructure[[pipe_cluster_end]:[pipe_cluster_end]],$B538)*PJ2TWh,"")</f>
        <v>0</v>
      </c>
      <c r="J538" s="51">
        <f>IFERROR(SUMIFS(Infrastructure[2028],
Infrastructure[[variable_type]:[variable_type]],"H2_outflow",
Infrastructure[[cluster]:[cluster]],$B$535,
Infrastructure[[pipe_cluster_end]:[pipe_cluster_end]],$B538)*PJ2TWh,"")</f>
        <v>0</v>
      </c>
      <c r="K538" s="51">
        <f>IFERROR(SUMIFS(Infrastructure[2029],
Infrastructure[[variable_type]:[variable_type]],"H2_outflow",
Infrastructure[[cluster]:[cluster]],$B$535,
Infrastructure[[pipe_cluster_end]:[pipe_cluster_end]],$B538)*PJ2TWh,"")</f>
        <v>0</v>
      </c>
      <c r="L538" s="51">
        <f>IFERROR(SUMIFS(Infrastructure[2030],
Infrastructure[[variable_type]:[variable_type]],"H2_outflow",
Infrastructure[[cluster]:[cluster]],$B$535,
Infrastructure[[pipe_cluster_end]:[pipe_cluster_end]],$B538)*PJ2TWh,"")</f>
        <v>0</v>
      </c>
      <c r="M538" s="51">
        <f>IFERROR(SUMIFS(Infrastructure[2031],
Infrastructure[[variable_type]:[variable_type]],"H2_outflow",
Infrastructure[[cluster]:[cluster]],$B$535,
Infrastructure[[pipe_cluster_end]:[pipe_cluster_end]],$B538)*PJ2TWh,"")</f>
        <v>0</v>
      </c>
      <c r="N538" s="51">
        <f>IFERROR(SUMIFS(Infrastructure[2032],
Infrastructure[[variable_type]:[variable_type]],"H2_outflow",
Infrastructure[[cluster]:[cluster]],$B$535,
Infrastructure[[pipe_cluster_end]:[pipe_cluster_end]],$B538)*PJ2TWh,"")</f>
        <v>0</v>
      </c>
      <c r="O538" s="51">
        <f>IFERROR(SUMIFS(Infrastructure[2033],
Infrastructure[[variable_type]:[variable_type]],"H2_outflow",
Infrastructure[[cluster]:[cluster]],$B$535,
Infrastructure[[pipe_cluster_end]:[pipe_cluster_end]],$B538)*PJ2TWh,"")</f>
        <v>0</v>
      </c>
      <c r="P538" s="51">
        <f>IFERROR(SUMIFS(Infrastructure[2034],
Infrastructure[[variable_type]:[variable_type]],"H2_outflow",
Infrastructure[[cluster]:[cluster]],$B$535,
Infrastructure[[pipe_cluster_end]:[pipe_cluster_end]],$B538)*PJ2TWh,"")</f>
        <v>0</v>
      </c>
      <c r="Q538" s="51">
        <f>IFERROR(SUMIFS(Infrastructure[2035],
Infrastructure[[variable_type]:[variable_type]],"H2_outflow",
Infrastructure[[cluster]:[cluster]],$B$535,
Infrastructure[[pipe_cluster_end]:[pipe_cluster_end]],$B538)*PJ2TWh,"")</f>
        <v>0</v>
      </c>
      <c r="R538" s="51">
        <f>IFERROR(SUMIFS(Infrastructure[2036],
Infrastructure[[variable_type]:[variable_type]],"H2_outflow",
Infrastructure[[cluster]:[cluster]],$B$535,
Infrastructure[[pipe_cluster_end]:[pipe_cluster_end]],$B538)*PJ2TWh,"")</f>
        <v>0</v>
      </c>
      <c r="S538" s="51">
        <f>IFERROR(SUMIFS(Infrastructure[2037],
Infrastructure[[variable_type]:[variable_type]],"H2_outflow",
Infrastructure[[cluster]:[cluster]],$B$535,
Infrastructure[[pipe_cluster_end]:[pipe_cluster_end]],$B538)*PJ2TWh,"")</f>
        <v>0</v>
      </c>
      <c r="T538" s="51">
        <f>IFERROR(SUMIFS(Infrastructure[2038],
Infrastructure[[variable_type]:[variable_type]],"H2_outflow",
Infrastructure[[cluster]:[cluster]],$B$535,
Infrastructure[[pipe_cluster_end]:[pipe_cluster_end]],$B538)*PJ2TWh,"")</f>
        <v>0</v>
      </c>
      <c r="U538" s="51">
        <f>IFERROR(SUMIFS(Infrastructure[2039],
Infrastructure[[variable_type]:[variable_type]],"H2_outflow",
Infrastructure[[cluster]:[cluster]],$B$535,
Infrastructure[[pipe_cluster_end]:[pipe_cluster_end]],$B538)*PJ2TWh,"")</f>
        <v>0</v>
      </c>
      <c r="V538" s="51">
        <f>IFERROR(SUMIFS(Infrastructure[2040],
Infrastructure[[variable_type]:[variable_type]],"H2_outflow",
Infrastructure[[cluster]:[cluster]],$B$535,
Infrastructure[[pipe_cluster_end]:[pipe_cluster_end]],$B538)*PJ2TWh,"")</f>
        <v>0</v>
      </c>
      <c r="W538" s="51">
        <f>IFERROR(SUMIFS(Infrastructure[2041],
Infrastructure[[variable_type]:[variable_type]],"H2_outflow",
Infrastructure[[cluster]:[cluster]],$B$535,
Infrastructure[[pipe_cluster_end]:[pipe_cluster_end]],$B538)*PJ2TWh,"")</f>
        <v>0</v>
      </c>
      <c r="X538" s="51">
        <f>IFERROR(SUMIFS(Infrastructure[2042],
Infrastructure[[variable_type]:[variable_type]],"H2_outflow",
Infrastructure[[cluster]:[cluster]],$B$535,
Infrastructure[[pipe_cluster_end]:[pipe_cluster_end]],$B538)*PJ2TWh,"")</f>
        <v>0</v>
      </c>
      <c r="Y538" s="51">
        <f>IFERROR(SUMIFS(Infrastructure[2043],
Infrastructure[[variable_type]:[variable_type]],"H2_outflow",
Infrastructure[[cluster]:[cluster]],$B$535,
Infrastructure[[pipe_cluster_end]:[pipe_cluster_end]],$B538)*PJ2TWh,"")</f>
        <v>0</v>
      </c>
      <c r="Z538" s="51">
        <f>IFERROR(SUMIFS(Infrastructure[2044],
Infrastructure[[variable_type]:[variable_type]],"H2_outflow",
Infrastructure[[cluster]:[cluster]],$B$535,
Infrastructure[[pipe_cluster_end]:[pipe_cluster_end]],$B538)*PJ2TWh,"")</f>
        <v>0</v>
      </c>
      <c r="AA538" s="51">
        <f>IFERROR(SUMIFS(Infrastructure[2045],
Infrastructure[[variable_type]:[variable_type]],"H2_outflow",
Infrastructure[[cluster]:[cluster]],$B$535,
Infrastructure[[pipe_cluster_end]:[pipe_cluster_end]],$B538)*PJ2TWh,"")</f>
        <v>0</v>
      </c>
      <c r="AB538" s="51">
        <f>IFERROR(SUMIFS(Infrastructure[2046],
Infrastructure[[variable_type]:[variable_type]],"H2_outflow",
Infrastructure[[cluster]:[cluster]],$B$535,
Infrastructure[[pipe_cluster_end]:[pipe_cluster_end]],$B538)*PJ2TWh,"")</f>
        <v>0</v>
      </c>
      <c r="AC538" s="51">
        <f>IFERROR(SUMIFS(Infrastructure[2047],
Infrastructure[[variable_type]:[variable_type]],"H2_outflow",
Infrastructure[[cluster]:[cluster]],$B$535,
Infrastructure[[pipe_cluster_end]:[pipe_cluster_end]],$B538)*PJ2TWh,"")</f>
        <v>0</v>
      </c>
      <c r="AD538" s="51">
        <f>IFERROR(SUMIFS(Infrastructure[2048],
Infrastructure[[variable_type]:[variable_type]],"H2_outflow",
Infrastructure[[cluster]:[cluster]],$B$535,
Infrastructure[[pipe_cluster_end]:[pipe_cluster_end]],$B538)*PJ2TWh,"")</f>
        <v>0</v>
      </c>
      <c r="AE538" s="51">
        <f>IFERROR(SUMIFS(Infrastructure[2049],
Infrastructure[[variable_type]:[variable_type]],"H2_outflow",
Infrastructure[[cluster]:[cluster]],$B$535,
Infrastructure[[pipe_cluster_end]:[pipe_cluster_end]],$B538)*PJ2TWh,"")</f>
        <v>0</v>
      </c>
      <c r="AF538" s="51">
        <f>IFERROR(SUMIFS(Infrastructure[2050],
Infrastructure[[variable_type]:[variable_type]],"H2_outflow",
Infrastructure[[cluster]:[cluster]],$B$535,
Infrastructure[[pipe_cluster_end]:[pipe_cluster_end]],$B538)*PJ2TWh,"")</f>
        <v>0</v>
      </c>
      <c r="AG538" s="51">
        <f>IFERROR(SUMIFS(Infrastructure[2051],
Infrastructure[[variable_type]:[variable_type]],"H2_outflow",
Infrastructure[[cluster]:[cluster]],$B$535,
Infrastructure[[pipe_cluster_end]:[pipe_cluster_end]],$B538)*PJ2TWh,"")</f>
        <v>0</v>
      </c>
    </row>
    <row r="539" spans="2:33" x14ac:dyDescent="0.45">
      <c r="B539" s="24" t="s">
        <v>72</v>
      </c>
      <c r="C539" s="51">
        <f>IFERROR(SUMIFS(Infrastructure[2021],
Infrastructure[[variable_type]:[variable_type]],"H2_outflow",
Infrastructure[[cluster]:[cluster]],$B$535,
Infrastructure[[pipe_cluster_end]:[pipe_cluster_end]],$B539)*PJ2TWh,"")</f>
        <v>0</v>
      </c>
      <c r="D539" s="51">
        <f>IFERROR(SUMIFS(Infrastructure[2022],
Infrastructure[[variable_type]:[variable_type]],"H2_outflow",
Infrastructure[[cluster]:[cluster]],$B$535,
Infrastructure[[pipe_cluster_end]:[pipe_cluster_end]],$B539)*PJ2TWh,"")</f>
        <v>0</v>
      </c>
      <c r="E539" s="51">
        <f>IFERROR(SUMIFS(Infrastructure[2023],
Infrastructure[[variable_type]:[variable_type]],"H2_outflow",
Infrastructure[[cluster]:[cluster]],$B$535,
Infrastructure[[pipe_cluster_end]:[pipe_cluster_end]],$B539)*PJ2TWh,"")</f>
        <v>0</v>
      </c>
      <c r="F539" s="51">
        <f>IFERROR(SUMIFS(Infrastructure[2024],
Infrastructure[[variable_type]:[variable_type]],"H2_outflow",
Infrastructure[[cluster]:[cluster]],$B$535,
Infrastructure[[pipe_cluster_end]:[pipe_cluster_end]],$B539)*PJ2TWh,"")</f>
        <v>0</v>
      </c>
      <c r="G539" s="51">
        <f>IFERROR(SUMIFS(Infrastructure[2025],
Infrastructure[[variable_type]:[variable_type]],"H2_outflow",
Infrastructure[[cluster]:[cluster]],$B$535,
Infrastructure[[pipe_cluster_end]:[pipe_cluster_end]],$B539)*PJ2TWh,"")</f>
        <v>0</v>
      </c>
      <c r="H539" s="51">
        <f>IFERROR(SUMIFS(Infrastructure[2026],
Infrastructure[[variable_type]:[variable_type]],"H2_outflow",
Infrastructure[[cluster]:[cluster]],$B$535,
Infrastructure[[pipe_cluster_end]:[pipe_cluster_end]],$B539)*PJ2TWh,"")</f>
        <v>0</v>
      </c>
      <c r="I539" s="51">
        <f>IFERROR(SUMIFS(Infrastructure[2027],
Infrastructure[[variable_type]:[variable_type]],"H2_outflow",
Infrastructure[[cluster]:[cluster]],$B$535,
Infrastructure[[pipe_cluster_end]:[pipe_cluster_end]],$B539)*PJ2TWh,"")</f>
        <v>0</v>
      </c>
      <c r="J539" s="51">
        <f>IFERROR(SUMIFS(Infrastructure[2028],
Infrastructure[[variable_type]:[variable_type]],"H2_outflow",
Infrastructure[[cluster]:[cluster]],$B$535,
Infrastructure[[pipe_cluster_end]:[pipe_cluster_end]],$B539)*PJ2TWh,"")</f>
        <v>0</v>
      </c>
      <c r="K539" s="51">
        <f>IFERROR(SUMIFS(Infrastructure[2029],
Infrastructure[[variable_type]:[variable_type]],"H2_outflow",
Infrastructure[[cluster]:[cluster]],$B$535,
Infrastructure[[pipe_cluster_end]:[pipe_cluster_end]],$B539)*PJ2TWh,"")</f>
        <v>0</v>
      </c>
      <c r="L539" s="51">
        <f>IFERROR(SUMIFS(Infrastructure[2030],
Infrastructure[[variable_type]:[variable_type]],"H2_outflow",
Infrastructure[[cluster]:[cluster]],$B$535,
Infrastructure[[pipe_cluster_end]:[pipe_cluster_end]],$B539)*PJ2TWh,"")</f>
        <v>0</v>
      </c>
      <c r="M539" s="51">
        <f>IFERROR(SUMIFS(Infrastructure[2031],
Infrastructure[[variable_type]:[variable_type]],"H2_outflow",
Infrastructure[[cluster]:[cluster]],$B$535,
Infrastructure[[pipe_cluster_end]:[pipe_cluster_end]],$B539)*PJ2TWh,"")</f>
        <v>0</v>
      </c>
      <c r="N539" s="51">
        <f>IFERROR(SUMIFS(Infrastructure[2032],
Infrastructure[[variable_type]:[variable_type]],"H2_outflow",
Infrastructure[[cluster]:[cluster]],$B$535,
Infrastructure[[pipe_cluster_end]:[pipe_cluster_end]],$B539)*PJ2TWh,"")</f>
        <v>0</v>
      </c>
      <c r="O539" s="51">
        <f>IFERROR(SUMIFS(Infrastructure[2033],
Infrastructure[[variable_type]:[variable_type]],"H2_outflow",
Infrastructure[[cluster]:[cluster]],$B$535,
Infrastructure[[pipe_cluster_end]:[pipe_cluster_end]],$B539)*PJ2TWh,"")</f>
        <v>0</v>
      </c>
      <c r="P539" s="51">
        <f>IFERROR(SUMIFS(Infrastructure[2034],
Infrastructure[[variable_type]:[variable_type]],"H2_outflow",
Infrastructure[[cluster]:[cluster]],$B$535,
Infrastructure[[pipe_cluster_end]:[pipe_cluster_end]],$B539)*PJ2TWh,"")</f>
        <v>0</v>
      </c>
      <c r="Q539" s="51">
        <f>IFERROR(SUMIFS(Infrastructure[2035],
Infrastructure[[variable_type]:[variable_type]],"H2_outflow",
Infrastructure[[cluster]:[cluster]],$B$535,
Infrastructure[[pipe_cluster_end]:[pipe_cluster_end]],$B539)*PJ2TWh,"")</f>
        <v>0</v>
      </c>
      <c r="R539" s="51">
        <f>IFERROR(SUMIFS(Infrastructure[2036],
Infrastructure[[variable_type]:[variable_type]],"H2_outflow",
Infrastructure[[cluster]:[cluster]],$B$535,
Infrastructure[[pipe_cluster_end]:[pipe_cluster_end]],$B539)*PJ2TWh,"")</f>
        <v>0</v>
      </c>
      <c r="S539" s="51">
        <f>IFERROR(SUMIFS(Infrastructure[2037],
Infrastructure[[variable_type]:[variable_type]],"H2_outflow",
Infrastructure[[cluster]:[cluster]],$B$535,
Infrastructure[[pipe_cluster_end]:[pipe_cluster_end]],$B539)*PJ2TWh,"")</f>
        <v>0</v>
      </c>
      <c r="T539" s="51">
        <f>IFERROR(SUMIFS(Infrastructure[2038],
Infrastructure[[variable_type]:[variable_type]],"H2_outflow",
Infrastructure[[cluster]:[cluster]],$B$535,
Infrastructure[[pipe_cluster_end]:[pipe_cluster_end]],$B539)*PJ2TWh,"")</f>
        <v>0</v>
      </c>
      <c r="U539" s="51">
        <f>IFERROR(SUMIFS(Infrastructure[2039],
Infrastructure[[variable_type]:[variable_type]],"H2_outflow",
Infrastructure[[cluster]:[cluster]],$B$535,
Infrastructure[[pipe_cluster_end]:[pipe_cluster_end]],$B539)*PJ2TWh,"")</f>
        <v>0</v>
      </c>
      <c r="V539" s="51">
        <f>IFERROR(SUMIFS(Infrastructure[2040],
Infrastructure[[variable_type]:[variable_type]],"H2_outflow",
Infrastructure[[cluster]:[cluster]],$B$535,
Infrastructure[[pipe_cluster_end]:[pipe_cluster_end]],$B539)*PJ2TWh,"")</f>
        <v>0</v>
      </c>
      <c r="W539" s="51">
        <f>IFERROR(SUMIFS(Infrastructure[2041],
Infrastructure[[variable_type]:[variable_type]],"H2_outflow",
Infrastructure[[cluster]:[cluster]],$B$535,
Infrastructure[[pipe_cluster_end]:[pipe_cluster_end]],$B539)*PJ2TWh,"")</f>
        <v>0</v>
      </c>
      <c r="X539" s="51">
        <f>IFERROR(SUMIFS(Infrastructure[2042],
Infrastructure[[variable_type]:[variable_type]],"H2_outflow",
Infrastructure[[cluster]:[cluster]],$B$535,
Infrastructure[[pipe_cluster_end]:[pipe_cluster_end]],$B539)*PJ2TWh,"")</f>
        <v>0</v>
      </c>
      <c r="Y539" s="51">
        <f>IFERROR(SUMIFS(Infrastructure[2043],
Infrastructure[[variable_type]:[variable_type]],"H2_outflow",
Infrastructure[[cluster]:[cluster]],$B$535,
Infrastructure[[pipe_cluster_end]:[pipe_cluster_end]],$B539)*PJ2TWh,"")</f>
        <v>0</v>
      </c>
      <c r="Z539" s="51">
        <f>IFERROR(SUMIFS(Infrastructure[2044],
Infrastructure[[variable_type]:[variable_type]],"H2_outflow",
Infrastructure[[cluster]:[cluster]],$B$535,
Infrastructure[[pipe_cluster_end]:[pipe_cluster_end]],$B539)*PJ2TWh,"")</f>
        <v>0</v>
      </c>
      <c r="AA539" s="51">
        <f>IFERROR(SUMIFS(Infrastructure[2045],
Infrastructure[[variable_type]:[variable_type]],"H2_outflow",
Infrastructure[[cluster]:[cluster]],$B$535,
Infrastructure[[pipe_cluster_end]:[pipe_cluster_end]],$B539)*PJ2TWh,"")</f>
        <v>0</v>
      </c>
      <c r="AB539" s="51">
        <f>IFERROR(SUMIFS(Infrastructure[2046],
Infrastructure[[variable_type]:[variable_type]],"H2_outflow",
Infrastructure[[cluster]:[cluster]],$B$535,
Infrastructure[[pipe_cluster_end]:[pipe_cluster_end]],$B539)*PJ2TWh,"")</f>
        <v>0</v>
      </c>
      <c r="AC539" s="51">
        <f>IFERROR(SUMIFS(Infrastructure[2047],
Infrastructure[[variable_type]:[variable_type]],"H2_outflow",
Infrastructure[[cluster]:[cluster]],$B$535,
Infrastructure[[pipe_cluster_end]:[pipe_cluster_end]],$B539)*PJ2TWh,"")</f>
        <v>0</v>
      </c>
      <c r="AD539" s="51">
        <f>IFERROR(SUMIFS(Infrastructure[2048],
Infrastructure[[variable_type]:[variable_type]],"H2_outflow",
Infrastructure[[cluster]:[cluster]],$B$535,
Infrastructure[[pipe_cluster_end]:[pipe_cluster_end]],$B539)*PJ2TWh,"")</f>
        <v>0</v>
      </c>
      <c r="AE539" s="51">
        <f>IFERROR(SUMIFS(Infrastructure[2049],
Infrastructure[[variable_type]:[variable_type]],"H2_outflow",
Infrastructure[[cluster]:[cluster]],$B$535,
Infrastructure[[pipe_cluster_end]:[pipe_cluster_end]],$B539)*PJ2TWh,"")</f>
        <v>0</v>
      </c>
      <c r="AF539" s="51">
        <f>IFERROR(SUMIFS(Infrastructure[2050],
Infrastructure[[variable_type]:[variable_type]],"H2_outflow",
Infrastructure[[cluster]:[cluster]],$B$535,
Infrastructure[[pipe_cluster_end]:[pipe_cluster_end]],$B539)*PJ2TWh,"")</f>
        <v>0</v>
      </c>
      <c r="AG539" s="51">
        <f>IFERROR(SUMIFS(Infrastructure[2051],
Infrastructure[[variable_type]:[variable_type]],"H2_outflow",
Infrastructure[[cluster]:[cluster]],$B$535,
Infrastructure[[pipe_cluster_end]:[pipe_cluster_end]],$B539)*PJ2TWh,"")</f>
        <v>0</v>
      </c>
    </row>
    <row r="540" spans="2:33" x14ac:dyDescent="0.45">
      <c r="B540" s="24" t="s">
        <v>73</v>
      </c>
      <c r="C540" s="51">
        <f>IFERROR(SUMIFS(Infrastructure[2021],
Infrastructure[[variable_type]:[variable_type]],"H2_outflow",
Infrastructure[[cluster]:[cluster]],$B$535,
Infrastructure[[pipe_cluster_end]:[pipe_cluster_end]],$B540)*PJ2TWh,"")</f>
        <v>0</v>
      </c>
      <c r="D540" s="51">
        <f>IFERROR(SUMIFS(Infrastructure[2022],
Infrastructure[[variable_type]:[variable_type]],"H2_outflow",
Infrastructure[[cluster]:[cluster]],$B$535,
Infrastructure[[pipe_cluster_end]:[pipe_cluster_end]],$B540)*PJ2TWh,"")</f>
        <v>0</v>
      </c>
      <c r="E540" s="51">
        <f>IFERROR(SUMIFS(Infrastructure[2023],
Infrastructure[[variable_type]:[variable_type]],"H2_outflow",
Infrastructure[[cluster]:[cluster]],$B$535,
Infrastructure[[pipe_cluster_end]:[pipe_cluster_end]],$B540)*PJ2TWh,"")</f>
        <v>0</v>
      </c>
      <c r="F540" s="51">
        <f>IFERROR(SUMIFS(Infrastructure[2024],
Infrastructure[[variable_type]:[variable_type]],"H2_outflow",
Infrastructure[[cluster]:[cluster]],$B$535,
Infrastructure[[pipe_cluster_end]:[pipe_cluster_end]],$B540)*PJ2TWh,"")</f>
        <v>0</v>
      </c>
      <c r="G540" s="51">
        <f>IFERROR(SUMIFS(Infrastructure[2025],
Infrastructure[[variable_type]:[variable_type]],"H2_outflow",
Infrastructure[[cluster]:[cluster]],$B$535,
Infrastructure[[pipe_cluster_end]:[pipe_cluster_end]],$B540)*PJ2TWh,"")</f>
        <v>0</v>
      </c>
      <c r="H540" s="51">
        <f>IFERROR(SUMIFS(Infrastructure[2026],
Infrastructure[[variable_type]:[variable_type]],"H2_outflow",
Infrastructure[[cluster]:[cluster]],$B$535,
Infrastructure[[pipe_cluster_end]:[pipe_cluster_end]],$B540)*PJ2TWh,"")</f>
        <v>0</v>
      </c>
      <c r="I540" s="51">
        <f>IFERROR(SUMIFS(Infrastructure[2027],
Infrastructure[[variable_type]:[variable_type]],"H2_outflow",
Infrastructure[[cluster]:[cluster]],$B$535,
Infrastructure[[pipe_cluster_end]:[pipe_cluster_end]],$B540)*PJ2TWh,"")</f>
        <v>0</v>
      </c>
      <c r="J540" s="51">
        <f>IFERROR(SUMIFS(Infrastructure[2028],
Infrastructure[[variable_type]:[variable_type]],"H2_outflow",
Infrastructure[[cluster]:[cluster]],$B$535,
Infrastructure[[pipe_cluster_end]:[pipe_cluster_end]],$B540)*PJ2TWh,"")</f>
        <v>0</v>
      </c>
      <c r="K540" s="51">
        <f>IFERROR(SUMIFS(Infrastructure[2029],
Infrastructure[[variable_type]:[variable_type]],"H2_outflow",
Infrastructure[[cluster]:[cluster]],$B$535,
Infrastructure[[pipe_cluster_end]:[pipe_cluster_end]],$B540)*PJ2TWh,"")</f>
        <v>0</v>
      </c>
      <c r="L540" s="51">
        <f>IFERROR(SUMIFS(Infrastructure[2030],
Infrastructure[[variable_type]:[variable_type]],"H2_outflow",
Infrastructure[[cluster]:[cluster]],$B$535,
Infrastructure[[pipe_cluster_end]:[pipe_cluster_end]],$B540)*PJ2TWh,"")</f>
        <v>0</v>
      </c>
      <c r="M540" s="51">
        <f>IFERROR(SUMIFS(Infrastructure[2031],
Infrastructure[[variable_type]:[variable_type]],"H2_outflow",
Infrastructure[[cluster]:[cluster]],$B$535,
Infrastructure[[pipe_cluster_end]:[pipe_cluster_end]],$B540)*PJ2TWh,"")</f>
        <v>0</v>
      </c>
      <c r="N540" s="51">
        <f>IFERROR(SUMIFS(Infrastructure[2032],
Infrastructure[[variable_type]:[variable_type]],"H2_outflow",
Infrastructure[[cluster]:[cluster]],$B$535,
Infrastructure[[pipe_cluster_end]:[pipe_cluster_end]],$B540)*PJ2TWh,"")</f>
        <v>0</v>
      </c>
      <c r="O540" s="51">
        <f>IFERROR(SUMIFS(Infrastructure[2033],
Infrastructure[[variable_type]:[variable_type]],"H2_outflow",
Infrastructure[[cluster]:[cluster]],$B$535,
Infrastructure[[pipe_cluster_end]:[pipe_cluster_end]],$B540)*PJ2TWh,"")</f>
        <v>0</v>
      </c>
      <c r="P540" s="51">
        <f>IFERROR(SUMIFS(Infrastructure[2034],
Infrastructure[[variable_type]:[variable_type]],"H2_outflow",
Infrastructure[[cluster]:[cluster]],$B$535,
Infrastructure[[pipe_cluster_end]:[pipe_cluster_end]],$B540)*PJ2TWh,"")</f>
        <v>0</v>
      </c>
      <c r="Q540" s="51">
        <f>IFERROR(SUMIFS(Infrastructure[2035],
Infrastructure[[variable_type]:[variable_type]],"H2_outflow",
Infrastructure[[cluster]:[cluster]],$B$535,
Infrastructure[[pipe_cluster_end]:[pipe_cluster_end]],$B540)*PJ2TWh,"")</f>
        <v>0</v>
      </c>
      <c r="R540" s="51">
        <f>IFERROR(SUMIFS(Infrastructure[2036],
Infrastructure[[variable_type]:[variable_type]],"H2_outflow",
Infrastructure[[cluster]:[cluster]],$B$535,
Infrastructure[[pipe_cluster_end]:[pipe_cluster_end]],$B540)*PJ2TWh,"")</f>
        <v>0</v>
      </c>
      <c r="S540" s="51">
        <f>IFERROR(SUMIFS(Infrastructure[2037],
Infrastructure[[variable_type]:[variable_type]],"H2_outflow",
Infrastructure[[cluster]:[cluster]],$B$535,
Infrastructure[[pipe_cluster_end]:[pipe_cluster_end]],$B540)*PJ2TWh,"")</f>
        <v>0</v>
      </c>
      <c r="T540" s="51">
        <f>IFERROR(SUMIFS(Infrastructure[2038],
Infrastructure[[variable_type]:[variable_type]],"H2_outflow",
Infrastructure[[cluster]:[cluster]],$B$535,
Infrastructure[[pipe_cluster_end]:[pipe_cluster_end]],$B540)*PJ2TWh,"")</f>
        <v>0</v>
      </c>
      <c r="U540" s="51">
        <f>IFERROR(SUMIFS(Infrastructure[2039],
Infrastructure[[variable_type]:[variable_type]],"H2_outflow",
Infrastructure[[cluster]:[cluster]],$B$535,
Infrastructure[[pipe_cluster_end]:[pipe_cluster_end]],$B540)*PJ2TWh,"")</f>
        <v>0</v>
      </c>
      <c r="V540" s="51">
        <f>IFERROR(SUMIFS(Infrastructure[2040],
Infrastructure[[variable_type]:[variable_type]],"H2_outflow",
Infrastructure[[cluster]:[cluster]],$B$535,
Infrastructure[[pipe_cluster_end]:[pipe_cluster_end]],$B540)*PJ2TWh,"")</f>
        <v>0</v>
      </c>
      <c r="W540" s="51">
        <f>IFERROR(SUMIFS(Infrastructure[2041],
Infrastructure[[variable_type]:[variable_type]],"H2_outflow",
Infrastructure[[cluster]:[cluster]],$B$535,
Infrastructure[[pipe_cluster_end]:[pipe_cluster_end]],$B540)*PJ2TWh,"")</f>
        <v>0</v>
      </c>
      <c r="X540" s="51">
        <f>IFERROR(SUMIFS(Infrastructure[2042],
Infrastructure[[variable_type]:[variable_type]],"H2_outflow",
Infrastructure[[cluster]:[cluster]],$B$535,
Infrastructure[[pipe_cluster_end]:[pipe_cluster_end]],$B540)*PJ2TWh,"")</f>
        <v>0</v>
      </c>
      <c r="Y540" s="51">
        <f>IFERROR(SUMIFS(Infrastructure[2043],
Infrastructure[[variable_type]:[variable_type]],"H2_outflow",
Infrastructure[[cluster]:[cluster]],$B$535,
Infrastructure[[pipe_cluster_end]:[pipe_cluster_end]],$B540)*PJ2TWh,"")</f>
        <v>0</v>
      </c>
      <c r="Z540" s="51">
        <f>IFERROR(SUMIFS(Infrastructure[2044],
Infrastructure[[variable_type]:[variable_type]],"H2_outflow",
Infrastructure[[cluster]:[cluster]],$B$535,
Infrastructure[[pipe_cluster_end]:[pipe_cluster_end]],$B540)*PJ2TWh,"")</f>
        <v>0</v>
      </c>
      <c r="AA540" s="51">
        <f>IFERROR(SUMIFS(Infrastructure[2045],
Infrastructure[[variable_type]:[variable_type]],"H2_outflow",
Infrastructure[[cluster]:[cluster]],$B$535,
Infrastructure[[pipe_cluster_end]:[pipe_cluster_end]],$B540)*PJ2TWh,"")</f>
        <v>0</v>
      </c>
      <c r="AB540" s="51">
        <f>IFERROR(SUMIFS(Infrastructure[2046],
Infrastructure[[variable_type]:[variable_type]],"H2_outflow",
Infrastructure[[cluster]:[cluster]],$B$535,
Infrastructure[[pipe_cluster_end]:[pipe_cluster_end]],$B540)*PJ2TWh,"")</f>
        <v>0</v>
      </c>
      <c r="AC540" s="51">
        <f>IFERROR(SUMIFS(Infrastructure[2047],
Infrastructure[[variable_type]:[variable_type]],"H2_outflow",
Infrastructure[[cluster]:[cluster]],$B$535,
Infrastructure[[pipe_cluster_end]:[pipe_cluster_end]],$B540)*PJ2TWh,"")</f>
        <v>0</v>
      </c>
      <c r="AD540" s="51">
        <f>IFERROR(SUMIFS(Infrastructure[2048],
Infrastructure[[variable_type]:[variable_type]],"H2_outflow",
Infrastructure[[cluster]:[cluster]],$B$535,
Infrastructure[[pipe_cluster_end]:[pipe_cluster_end]],$B540)*PJ2TWh,"")</f>
        <v>0</v>
      </c>
      <c r="AE540" s="51">
        <f>IFERROR(SUMIFS(Infrastructure[2049],
Infrastructure[[variable_type]:[variable_type]],"H2_outflow",
Infrastructure[[cluster]:[cluster]],$B$535,
Infrastructure[[pipe_cluster_end]:[pipe_cluster_end]],$B540)*PJ2TWh,"")</f>
        <v>0</v>
      </c>
      <c r="AF540" s="51">
        <f>IFERROR(SUMIFS(Infrastructure[2050],
Infrastructure[[variable_type]:[variable_type]],"H2_outflow",
Infrastructure[[cluster]:[cluster]],$B$535,
Infrastructure[[pipe_cluster_end]:[pipe_cluster_end]],$B540)*PJ2TWh,"")</f>
        <v>0</v>
      </c>
      <c r="AG540" s="51">
        <f>IFERROR(SUMIFS(Infrastructure[2051],
Infrastructure[[variable_type]:[variable_type]],"H2_outflow",
Infrastructure[[cluster]:[cluster]],$B$535,
Infrastructure[[pipe_cluster_end]:[pipe_cluster_end]],$B540)*PJ2TWh,"")</f>
        <v>0</v>
      </c>
    </row>
    <row r="541" spans="2:33" x14ac:dyDescent="0.45">
      <c r="B541" s="24" t="s">
        <v>74</v>
      </c>
      <c r="C541" s="51">
        <f>IFERROR(SUMIFS(Infrastructure[2021],
Infrastructure[[variable_type]:[variable_type]],"H2_outflow",
Infrastructure[[cluster]:[cluster]],$B$535,
Infrastructure[[pipe_cluster_end]:[pipe_cluster_end]],$B541)*PJ2TWh,"")</f>
        <v>0</v>
      </c>
      <c r="D541" s="51">
        <f>IFERROR(SUMIFS(Infrastructure[2022],
Infrastructure[[variable_type]:[variable_type]],"H2_outflow",
Infrastructure[[cluster]:[cluster]],$B$535,
Infrastructure[[pipe_cluster_end]:[pipe_cluster_end]],$B541)*PJ2TWh,"")</f>
        <v>0</v>
      </c>
      <c r="E541" s="51">
        <f>IFERROR(SUMIFS(Infrastructure[2023],
Infrastructure[[variable_type]:[variable_type]],"H2_outflow",
Infrastructure[[cluster]:[cluster]],$B$535,
Infrastructure[[pipe_cluster_end]:[pipe_cluster_end]],$B541)*PJ2TWh,"")</f>
        <v>0</v>
      </c>
      <c r="F541" s="51">
        <f>IFERROR(SUMIFS(Infrastructure[2024],
Infrastructure[[variable_type]:[variable_type]],"H2_outflow",
Infrastructure[[cluster]:[cluster]],$B$535,
Infrastructure[[pipe_cluster_end]:[pipe_cluster_end]],$B541)*PJ2TWh,"")</f>
        <v>0</v>
      </c>
      <c r="G541" s="51">
        <f>IFERROR(SUMIFS(Infrastructure[2025],
Infrastructure[[variable_type]:[variable_type]],"H2_outflow",
Infrastructure[[cluster]:[cluster]],$B$535,
Infrastructure[[pipe_cluster_end]:[pipe_cluster_end]],$B541)*PJ2TWh,"")</f>
        <v>0</v>
      </c>
      <c r="H541" s="51">
        <f>IFERROR(SUMIFS(Infrastructure[2026],
Infrastructure[[variable_type]:[variable_type]],"H2_outflow",
Infrastructure[[cluster]:[cluster]],$B$535,
Infrastructure[[pipe_cluster_end]:[pipe_cluster_end]],$B541)*PJ2TWh,"")</f>
        <v>0</v>
      </c>
      <c r="I541" s="51">
        <f>IFERROR(SUMIFS(Infrastructure[2027],
Infrastructure[[variable_type]:[variable_type]],"H2_outflow",
Infrastructure[[cluster]:[cluster]],$B$535,
Infrastructure[[pipe_cluster_end]:[pipe_cluster_end]],$B541)*PJ2TWh,"")</f>
        <v>0</v>
      </c>
      <c r="J541" s="51">
        <f>IFERROR(SUMIFS(Infrastructure[2028],
Infrastructure[[variable_type]:[variable_type]],"H2_outflow",
Infrastructure[[cluster]:[cluster]],$B$535,
Infrastructure[[pipe_cluster_end]:[pipe_cluster_end]],$B541)*PJ2TWh,"")</f>
        <v>0</v>
      </c>
      <c r="K541" s="51">
        <f>IFERROR(SUMIFS(Infrastructure[2029],
Infrastructure[[variable_type]:[variable_type]],"H2_outflow",
Infrastructure[[cluster]:[cluster]],$B$535,
Infrastructure[[pipe_cluster_end]:[pipe_cluster_end]],$B541)*PJ2TWh,"")</f>
        <v>0</v>
      </c>
      <c r="L541" s="51">
        <f>IFERROR(SUMIFS(Infrastructure[2030],
Infrastructure[[variable_type]:[variable_type]],"H2_outflow",
Infrastructure[[cluster]:[cluster]],$B$535,
Infrastructure[[pipe_cluster_end]:[pipe_cluster_end]],$B541)*PJ2TWh,"")</f>
        <v>0</v>
      </c>
      <c r="M541" s="51">
        <f>IFERROR(SUMIFS(Infrastructure[2031],
Infrastructure[[variable_type]:[variable_type]],"H2_outflow",
Infrastructure[[cluster]:[cluster]],$B$535,
Infrastructure[[pipe_cluster_end]:[pipe_cluster_end]],$B541)*PJ2TWh,"")</f>
        <v>0</v>
      </c>
      <c r="N541" s="51">
        <f>IFERROR(SUMIFS(Infrastructure[2032],
Infrastructure[[variable_type]:[variable_type]],"H2_outflow",
Infrastructure[[cluster]:[cluster]],$B$535,
Infrastructure[[pipe_cluster_end]:[pipe_cluster_end]],$B541)*PJ2TWh,"")</f>
        <v>0</v>
      </c>
      <c r="O541" s="51">
        <f>IFERROR(SUMIFS(Infrastructure[2033],
Infrastructure[[variable_type]:[variable_type]],"H2_outflow",
Infrastructure[[cluster]:[cluster]],$B$535,
Infrastructure[[pipe_cluster_end]:[pipe_cluster_end]],$B541)*PJ2TWh,"")</f>
        <v>0</v>
      </c>
      <c r="P541" s="51">
        <f>IFERROR(SUMIFS(Infrastructure[2034],
Infrastructure[[variable_type]:[variable_type]],"H2_outflow",
Infrastructure[[cluster]:[cluster]],$B$535,
Infrastructure[[pipe_cluster_end]:[pipe_cluster_end]],$B541)*PJ2TWh,"")</f>
        <v>0</v>
      </c>
      <c r="Q541" s="51">
        <f>IFERROR(SUMIFS(Infrastructure[2035],
Infrastructure[[variable_type]:[variable_type]],"H2_outflow",
Infrastructure[[cluster]:[cluster]],$B$535,
Infrastructure[[pipe_cluster_end]:[pipe_cluster_end]],$B541)*PJ2TWh,"")</f>
        <v>0</v>
      </c>
      <c r="R541" s="51">
        <f>IFERROR(SUMIFS(Infrastructure[2036],
Infrastructure[[variable_type]:[variable_type]],"H2_outflow",
Infrastructure[[cluster]:[cluster]],$B$535,
Infrastructure[[pipe_cluster_end]:[pipe_cluster_end]],$B541)*PJ2TWh,"")</f>
        <v>0</v>
      </c>
      <c r="S541" s="51">
        <f>IFERROR(SUMIFS(Infrastructure[2037],
Infrastructure[[variable_type]:[variable_type]],"H2_outflow",
Infrastructure[[cluster]:[cluster]],$B$535,
Infrastructure[[pipe_cluster_end]:[pipe_cluster_end]],$B541)*PJ2TWh,"")</f>
        <v>0</v>
      </c>
      <c r="T541" s="51">
        <f>IFERROR(SUMIFS(Infrastructure[2038],
Infrastructure[[variable_type]:[variable_type]],"H2_outflow",
Infrastructure[[cluster]:[cluster]],$B$535,
Infrastructure[[pipe_cluster_end]:[pipe_cluster_end]],$B541)*PJ2TWh,"")</f>
        <v>0</v>
      </c>
      <c r="U541" s="51">
        <f>IFERROR(SUMIFS(Infrastructure[2039],
Infrastructure[[variable_type]:[variable_type]],"H2_outflow",
Infrastructure[[cluster]:[cluster]],$B$535,
Infrastructure[[pipe_cluster_end]:[pipe_cluster_end]],$B541)*PJ2TWh,"")</f>
        <v>0</v>
      </c>
      <c r="V541" s="51">
        <f>IFERROR(SUMIFS(Infrastructure[2040],
Infrastructure[[variable_type]:[variable_type]],"H2_outflow",
Infrastructure[[cluster]:[cluster]],$B$535,
Infrastructure[[pipe_cluster_end]:[pipe_cluster_end]],$B541)*PJ2TWh,"")</f>
        <v>0</v>
      </c>
      <c r="W541" s="51">
        <f>IFERROR(SUMIFS(Infrastructure[2041],
Infrastructure[[variable_type]:[variable_type]],"H2_outflow",
Infrastructure[[cluster]:[cluster]],$B$535,
Infrastructure[[pipe_cluster_end]:[pipe_cluster_end]],$B541)*PJ2TWh,"")</f>
        <v>0</v>
      </c>
      <c r="X541" s="51">
        <f>IFERROR(SUMIFS(Infrastructure[2042],
Infrastructure[[variable_type]:[variable_type]],"H2_outflow",
Infrastructure[[cluster]:[cluster]],$B$535,
Infrastructure[[pipe_cluster_end]:[pipe_cluster_end]],$B541)*PJ2TWh,"")</f>
        <v>0</v>
      </c>
      <c r="Y541" s="51">
        <f>IFERROR(SUMIFS(Infrastructure[2043],
Infrastructure[[variable_type]:[variable_type]],"H2_outflow",
Infrastructure[[cluster]:[cluster]],$B$535,
Infrastructure[[pipe_cluster_end]:[pipe_cluster_end]],$B541)*PJ2TWh,"")</f>
        <v>0</v>
      </c>
      <c r="Z541" s="51">
        <f>IFERROR(SUMIFS(Infrastructure[2044],
Infrastructure[[variable_type]:[variable_type]],"H2_outflow",
Infrastructure[[cluster]:[cluster]],$B$535,
Infrastructure[[pipe_cluster_end]:[pipe_cluster_end]],$B541)*PJ2TWh,"")</f>
        <v>0</v>
      </c>
      <c r="AA541" s="51">
        <f>IFERROR(SUMIFS(Infrastructure[2045],
Infrastructure[[variable_type]:[variable_type]],"H2_outflow",
Infrastructure[[cluster]:[cluster]],$B$535,
Infrastructure[[pipe_cluster_end]:[pipe_cluster_end]],$B541)*PJ2TWh,"")</f>
        <v>0</v>
      </c>
      <c r="AB541" s="51">
        <f>IFERROR(SUMIFS(Infrastructure[2046],
Infrastructure[[variable_type]:[variable_type]],"H2_outflow",
Infrastructure[[cluster]:[cluster]],$B$535,
Infrastructure[[pipe_cluster_end]:[pipe_cluster_end]],$B541)*PJ2TWh,"")</f>
        <v>0</v>
      </c>
      <c r="AC541" s="51">
        <f>IFERROR(SUMIFS(Infrastructure[2047],
Infrastructure[[variable_type]:[variable_type]],"H2_outflow",
Infrastructure[[cluster]:[cluster]],$B$535,
Infrastructure[[pipe_cluster_end]:[pipe_cluster_end]],$B541)*PJ2TWh,"")</f>
        <v>0</v>
      </c>
      <c r="AD541" s="51">
        <f>IFERROR(SUMIFS(Infrastructure[2048],
Infrastructure[[variable_type]:[variable_type]],"H2_outflow",
Infrastructure[[cluster]:[cluster]],$B$535,
Infrastructure[[pipe_cluster_end]:[pipe_cluster_end]],$B541)*PJ2TWh,"")</f>
        <v>0</v>
      </c>
      <c r="AE541" s="51">
        <f>IFERROR(SUMIFS(Infrastructure[2049],
Infrastructure[[variable_type]:[variable_type]],"H2_outflow",
Infrastructure[[cluster]:[cluster]],$B$535,
Infrastructure[[pipe_cluster_end]:[pipe_cluster_end]],$B541)*PJ2TWh,"")</f>
        <v>0</v>
      </c>
      <c r="AF541" s="51">
        <f>IFERROR(SUMIFS(Infrastructure[2050],
Infrastructure[[variable_type]:[variable_type]],"H2_outflow",
Infrastructure[[cluster]:[cluster]],$B$535,
Infrastructure[[pipe_cluster_end]:[pipe_cluster_end]],$B541)*PJ2TWh,"")</f>
        <v>0</v>
      </c>
      <c r="AG541" s="51">
        <f>IFERROR(SUMIFS(Infrastructure[2051],
Infrastructure[[variable_type]:[variable_type]],"H2_outflow",
Infrastructure[[cluster]:[cluster]],$B$535,
Infrastructure[[pipe_cluster_end]:[pipe_cluster_end]],$B541)*PJ2TWh,"")</f>
        <v>0</v>
      </c>
    </row>
    <row r="542" spans="2:33" x14ac:dyDescent="0.45">
      <c r="B542" s="24" t="s">
        <v>75</v>
      </c>
      <c r="C542" s="51">
        <f>IFERROR(SUMIFS(Infrastructure[2021],
Infrastructure[[variable_type]:[variable_type]],"H2_outflow",
Infrastructure[[cluster]:[cluster]],$B$535,
Infrastructure[[pipe_cluster_end]:[pipe_cluster_end]],$B542)*PJ2TWh,"")</f>
        <v>0</v>
      </c>
      <c r="D542" s="51">
        <f>IFERROR(SUMIFS(Infrastructure[2022],
Infrastructure[[variable_type]:[variable_type]],"H2_outflow",
Infrastructure[[cluster]:[cluster]],$B$535,
Infrastructure[[pipe_cluster_end]:[pipe_cluster_end]],$B542)*PJ2TWh,"")</f>
        <v>0</v>
      </c>
      <c r="E542" s="51">
        <f>IFERROR(SUMIFS(Infrastructure[2023],
Infrastructure[[variable_type]:[variable_type]],"H2_outflow",
Infrastructure[[cluster]:[cluster]],$B$535,
Infrastructure[[pipe_cluster_end]:[pipe_cluster_end]],$B542)*PJ2TWh,"")</f>
        <v>0</v>
      </c>
      <c r="F542" s="51">
        <f>IFERROR(SUMIFS(Infrastructure[2024],
Infrastructure[[variable_type]:[variable_type]],"H2_outflow",
Infrastructure[[cluster]:[cluster]],$B$535,
Infrastructure[[pipe_cluster_end]:[pipe_cluster_end]],$B542)*PJ2TWh,"")</f>
        <v>0</v>
      </c>
      <c r="G542" s="51">
        <f>IFERROR(SUMIFS(Infrastructure[2025],
Infrastructure[[variable_type]:[variable_type]],"H2_outflow",
Infrastructure[[cluster]:[cluster]],$B$535,
Infrastructure[[pipe_cluster_end]:[pipe_cluster_end]],$B542)*PJ2TWh,"")</f>
        <v>0</v>
      </c>
      <c r="H542" s="51">
        <f>IFERROR(SUMIFS(Infrastructure[2026],
Infrastructure[[variable_type]:[variable_type]],"H2_outflow",
Infrastructure[[cluster]:[cluster]],$B$535,
Infrastructure[[pipe_cluster_end]:[pipe_cluster_end]],$B542)*PJ2TWh,"")</f>
        <v>0</v>
      </c>
      <c r="I542" s="51">
        <f>IFERROR(SUMIFS(Infrastructure[2027],
Infrastructure[[variable_type]:[variable_type]],"H2_outflow",
Infrastructure[[cluster]:[cluster]],$B$535,
Infrastructure[[pipe_cluster_end]:[pipe_cluster_end]],$B542)*PJ2TWh,"")</f>
        <v>0</v>
      </c>
      <c r="J542" s="51">
        <f>IFERROR(SUMIFS(Infrastructure[2028],
Infrastructure[[variable_type]:[variable_type]],"H2_outflow",
Infrastructure[[cluster]:[cluster]],$B$535,
Infrastructure[[pipe_cluster_end]:[pipe_cluster_end]],$B542)*PJ2TWh,"")</f>
        <v>0</v>
      </c>
      <c r="K542" s="51">
        <f>IFERROR(SUMIFS(Infrastructure[2029],
Infrastructure[[variable_type]:[variable_type]],"H2_outflow",
Infrastructure[[cluster]:[cluster]],$B$535,
Infrastructure[[pipe_cluster_end]:[pipe_cluster_end]],$B542)*PJ2TWh,"")</f>
        <v>0</v>
      </c>
      <c r="L542" s="51">
        <f>IFERROR(SUMIFS(Infrastructure[2030],
Infrastructure[[variable_type]:[variable_type]],"H2_outflow",
Infrastructure[[cluster]:[cluster]],$B$535,
Infrastructure[[pipe_cluster_end]:[pipe_cluster_end]],$B542)*PJ2TWh,"")</f>
        <v>0</v>
      </c>
      <c r="M542" s="51">
        <f>IFERROR(SUMIFS(Infrastructure[2031],
Infrastructure[[variable_type]:[variable_type]],"H2_outflow",
Infrastructure[[cluster]:[cluster]],$B$535,
Infrastructure[[pipe_cluster_end]:[pipe_cluster_end]],$B542)*PJ2TWh,"")</f>
        <v>0</v>
      </c>
      <c r="N542" s="51">
        <f>IFERROR(SUMIFS(Infrastructure[2032],
Infrastructure[[variable_type]:[variable_type]],"H2_outflow",
Infrastructure[[cluster]:[cluster]],$B$535,
Infrastructure[[pipe_cluster_end]:[pipe_cluster_end]],$B542)*PJ2TWh,"")</f>
        <v>0</v>
      </c>
      <c r="O542" s="51">
        <f>IFERROR(SUMIFS(Infrastructure[2033],
Infrastructure[[variable_type]:[variable_type]],"H2_outflow",
Infrastructure[[cluster]:[cluster]],$B$535,
Infrastructure[[pipe_cluster_end]:[pipe_cluster_end]],$B542)*PJ2TWh,"")</f>
        <v>0</v>
      </c>
      <c r="P542" s="51">
        <f>IFERROR(SUMIFS(Infrastructure[2034],
Infrastructure[[variable_type]:[variable_type]],"H2_outflow",
Infrastructure[[cluster]:[cluster]],$B$535,
Infrastructure[[pipe_cluster_end]:[pipe_cluster_end]],$B542)*PJ2TWh,"")</f>
        <v>0</v>
      </c>
      <c r="Q542" s="51">
        <f>IFERROR(SUMIFS(Infrastructure[2035],
Infrastructure[[variable_type]:[variable_type]],"H2_outflow",
Infrastructure[[cluster]:[cluster]],$B$535,
Infrastructure[[pipe_cluster_end]:[pipe_cluster_end]],$B542)*PJ2TWh,"")</f>
        <v>0</v>
      </c>
      <c r="R542" s="51">
        <f>IFERROR(SUMIFS(Infrastructure[2036],
Infrastructure[[variable_type]:[variable_type]],"H2_outflow",
Infrastructure[[cluster]:[cluster]],$B$535,
Infrastructure[[pipe_cluster_end]:[pipe_cluster_end]],$B542)*PJ2TWh,"")</f>
        <v>0</v>
      </c>
      <c r="S542" s="51">
        <f>IFERROR(SUMIFS(Infrastructure[2037],
Infrastructure[[variable_type]:[variable_type]],"H2_outflow",
Infrastructure[[cluster]:[cluster]],$B$535,
Infrastructure[[pipe_cluster_end]:[pipe_cluster_end]],$B542)*PJ2TWh,"")</f>
        <v>0</v>
      </c>
      <c r="T542" s="51">
        <f>IFERROR(SUMIFS(Infrastructure[2038],
Infrastructure[[variable_type]:[variable_type]],"H2_outflow",
Infrastructure[[cluster]:[cluster]],$B$535,
Infrastructure[[pipe_cluster_end]:[pipe_cluster_end]],$B542)*PJ2TWh,"")</f>
        <v>0</v>
      </c>
      <c r="U542" s="51">
        <f>IFERROR(SUMIFS(Infrastructure[2039],
Infrastructure[[variable_type]:[variable_type]],"H2_outflow",
Infrastructure[[cluster]:[cluster]],$B$535,
Infrastructure[[pipe_cluster_end]:[pipe_cluster_end]],$B542)*PJ2TWh,"")</f>
        <v>0</v>
      </c>
      <c r="V542" s="51">
        <f>IFERROR(SUMIFS(Infrastructure[2040],
Infrastructure[[variable_type]:[variable_type]],"H2_outflow",
Infrastructure[[cluster]:[cluster]],$B$535,
Infrastructure[[pipe_cluster_end]:[pipe_cluster_end]],$B542)*PJ2TWh,"")</f>
        <v>0</v>
      </c>
      <c r="W542" s="51">
        <f>IFERROR(SUMIFS(Infrastructure[2041],
Infrastructure[[variable_type]:[variable_type]],"H2_outflow",
Infrastructure[[cluster]:[cluster]],$B$535,
Infrastructure[[pipe_cluster_end]:[pipe_cluster_end]],$B542)*PJ2TWh,"")</f>
        <v>0</v>
      </c>
      <c r="X542" s="51">
        <f>IFERROR(SUMIFS(Infrastructure[2042],
Infrastructure[[variable_type]:[variable_type]],"H2_outflow",
Infrastructure[[cluster]:[cluster]],$B$535,
Infrastructure[[pipe_cluster_end]:[pipe_cluster_end]],$B542)*PJ2TWh,"")</f>
        <v>0</v>
      </c>
      <c r="Y542" s="51">
        <f>IFERROR(SUMIFS(Infrastructure[2043],
Infrastructure[[variable_type]:[variable_type]],"H2_outflow",
Infrastructure[[cluster]:[cluster]],$B$535,
Infrastructure[[pipe_cluster_end]:[pipe_cluster_end]],$B542)*PJ2TWh,"")</f>
        <v>0</v>
      </c>
      <c r="Z542" s="51">
        <f>IFERROR(SUMIFS(Infrastructure[2044],
Infrastructure[[variable_type]:[variable_type]],"H2_outflow",
Infrastructure[[cluster]:[cluster]],$B$535,
Infrastructure[[pipe_cluster_end]:[pipe_cluster_end]],$B542)*PJ2TWh,"")</f>
        <v>0</v>
      </c>
      <c r="AA542" s="51">
        <f>IFERROR(SUMIFS(Infrastructure[2045],
Infrastructure[[variable_type]:[variable_type]],"H2_outflow",
Infrastructure[[cluster]:[cluster]],$B$535,
Infrastructure[[pipe_cluster_end]:[pipe_cluster_end]],$B542)*PJ2TWh,"")</f>
        <v>0</v>
      </c>
      <c r="AB542" s="51">
        <f>IFERROR(SUMIFS(Infrastructure[2046],
Infrastructure[[variable_type]:[variable_type]],"H2_outflow",
Infrastructure[[cluster]:[cluster]],$B$535,
Infrastructure[[pipe_cluster_end]:[pipe_cluster_end]],$B542)*PJ2TWh,"")</f>
        <v>0</v>
      </c>
      <c r="AC542" s="51">
        <f>IFERROR(SUMIFS(Infrastructure[2047],
Infrastructure[[variable_type]:[variable_type]],"H2_outflow",
Infrastructure[[cluster]:[cluster]],$B$535,
Infrastructure[[pipe_cluster_end]:[pipe_cluster_end]],$B542)*PJ2TWh,"")</f>
        <v>0</v>
      </c>
      <c r="AD542" s="51">
        <f>IFERROR(SUMIFS(Infrastructure[2048],
Infrastructure[[variable_type]:[variable_type]],"H2_outflow",
Infrastructure[[cluster]:[cluster]],$B$535,
Infrastructure[[pipe_cluster_end]:[pipe_cluster_end]],$B542)*PJ2TWh,"")</f>
        <v>0</v>
      </c>
      <c r="AE542" s="51">
        <f>IFERROR(SUMIFS(Infrastructure[2049],
Infrastructure[[variable_type]:[variable_type]],"H2_outflow",
Infrastructure[[cluster]:[cluster]],$B$535,
Infrastructure[[pipe_cluster_end]:[pipe_cluster_end]],$B542)*PJ2TWh,"")</f>
        <v>0</v>
      </c>
      <c r="AF542" s="51">
        <f>IFERROR(SUMIFS(Infrastructure[2050],
Infrastructure[[variable_type]:[variable_type]],"H2_outflow",
Infrastructure[[cluster]:[cluster]],$B$535,
Infrastructure[[pipe_cluster_end]:[pipe_cluster_end]],$B542)*PJ2TWh,"")</f>
        <v>0</v>
      </c>
      <c r="AG542" s="51">
        <f>IFERROR(SUMIFS(Infrastructure[2051],
Infrastructure[[variable_type]:[variable_type]],"H2_outflow",
Infrastructure[[cluster]:[cluster]],$B$535,
Infrastructure[[pipe_cluster_end]:[pipe_cluster_end]],$B542)*PJ2TWh,"")</f>
        <v>0</v>
      </c>
    </row>
    <row r="543" spans="2:33" x14ac:dyDescent="0.45">
      <c r="B543" s="24" t="s">
        <v>76</v>
      </c>
      <c r="C543" s="51">
        <f>IFERROR(SUMIFS(Infrastructure[2021],
Infrastructure[[variable_type]:[variable_type]],"H2_outflow",
Infrastructure[[cluster]:[cluster]],$B$535,
Infrastructure[[pipe_cluster_end]:[pipe_cluster_end]],$B543)*PJ2TWh,"")</f>
        <v>0</v>
      </c>
      <c r="D543" s="51">
        <f>IFERROR(SUMIFS(Infrastructure[2022],
Infrastructure[[variable_type]:[variable_type]],"H2_outflow",
Infrastructure[[cluster]:[cluster]],$B$535,
Infrastructure[[pipe_cluster_end]:[pipe_cluster_end]],$B543)*PJ2TWh,"")</f>
        <v>0</v>
      </c>
      <c r="E543" s="51">
        <f>IFERROR(SUMIFS(Infrastructure[2023],
Infrastructure[[variable_type]:[variable_type]],"H2_outflow",
Infrastructure[[cluster]:[cluster]],$B$535,
Infrastructure[[pipe_cluster_end]:[pipe_cluster_end]],$B543)*PJ2TWh,"")</f>
        <v>0</v>
      </c>
      <c r="F543" s="51">
        <f>IFERROR(SUMIFS(Infrastructure[2024],
Infrastructure[[variable_type]:[variable_type]],"H2_outflow",
Infrastructure[[cluster]:[cluster]],$B$535,
Infrastructure[[pipe_cluster_end]:[pipe_cluster_end]],$B543)*PJ2TWh,"")</f>
        <v>0</v>
      </c>
      <c r="G543" s="51">
        <f>IFERROR(SUMIFS(Infrastructure[2025],
Infrastructure[[variable_type]:[variable_type]],"H2_outflow",
Infrastructure[[cluster]:[cluster]],$B$535,
Infrastructure[[pipe_cluster_end]:[pipe_cluster_end]],$B543)*PJ2TWh,"")</f>
        <v>0</v>
      </c>
      <c r="H543" s="51">
        <f>IFERROR(SUMIFS(Infrastructure[2026],
Infrastructure[[variable_type]:[variable_type]],"H2_outflow",
Infrastructure[[cluster]:[cluster]],$B$535,
Infrastructure[[pipe_cluster_end]:[pipe_cluster_end]],$B543)*PJ2TWh,"")</f>
        <v>0</v>
      </c>
      <c r="I543" s="51">
        <f>IFERROR(SUMIFS(Infrastructure[2027],
Infrastructure[[variable_type]:[variable_type]],"H2_outflow",
Infrastructure[[cluster]:[cluster]],$B$535,
Infrastructure[[pipe_cluster_end]:[pipe_cluster_end]],$B543)*PJ2TWh,"")</f>
        <v>0</v>
      </c>
      <c r="J543" s="51">
        <f>IFERROR(SUMIFS(Infrastructure[2028],
Infrastructure[[variable_type]:[variable_type]],"H2_outflow",
Infrastructure[[cluster]:[cluster]],$B$535,
Infrastructure[[pipe_cluster_end]:[pipe_cluster_end]],$B543)*PJ2TWh,"")</f>
        <v>0</v>
      </c>
      <c r="K543" s="51">
        <f>IFERROR(SUMIFS(Infrastructure[2029],
Infrastructure[[variable_type]:[variable_type]],"H2_outflow",
Infrastructure[[cluster]:[cluster]],$B$535,
Infrastructure[[pipe_cluster_end]:[pipe_cluster_end]],$B543)*PJ2TWh,"")</f>
        <v>0</v>
      </c>
      <c r="L543" s="51">
        <f>IFERROR(SUMIFS(Infrastructure[2030],
Infrastructure[[variable_type]:[variable_type]],"H2_outflow",
Infrastructure[[cluster]:[cluster]],$B$535,
Infrastructure[[pipe_cluster_end]:[pipe_cluster_end]],$B543)*PJ2TWh,"")</f>
        <v>0</v>
      </c>
      <c r="M543" s="51">
        <f>IFERROR(SUMIFS(Infrastructure[2031],
Infrastructure[[variable_type]:[variable_type]],"H2_outflow",
Infrastructure[[cluster]:[cluster]],$B$535,
Infrastructure[[pipe_cluster_end]:[pipe_cluster_end]],$B543)*PJ2TWh,"")</f>
        <v>0</v>
      </c>
      <c r="N543" s="51">
        <f>IFERROR(SUMIFS(Infrastructure[2032],
Infrastructure[[variable_type]:[variable_type]],"H2_outflow",
Infrastructure[[cluster]:[cluster]],$B$535,
Infrastructure[[pipe_cluster_end]:[pipe_cluster_end]],$B543)*PJ2TWh,"")</f>
        <v>0</v>
      </c>
      <c r="O543" s="51">
        <f>IFERROR(SUMIFS(Infrastructure[2033],
Infrastructure[[variable_type]:[variable_type]],"H2_outflow",
Infrastructure[[cluster]:[cluster]],$B$535,
Infrastructure[[pipe_cluster_end]:[pipe_cluster_end]],$B543)*PJ2TWh,"")</f>
        <v>0</v>
      </c>
      <c r="P543" s="51">
        <f>IFERROR(SUMIFS(Infrastructure[2034],
Infrastructure[[variable_type]:[variable_type]],"H2_outflow",
Infrastructure[[cluster]:[cluster]],$B$535,
Infrastructure[[pipe_cluster_end]:[pipe_cluster_end]],$B543)*PJ2TWh,"")</f>
        <v>0</v>
      </c>
      <c r="Q543" s="51">
        <f>IFERROR(SUMIFS(Infrastructure[2035],
Infrastructure[[variable_type]:[variable_type]],"H2_outflow",
Infrastructure[[cluster]:[cluster]],$B$535,
Infrastructure[[pipe_cluster_end]:[pipe_cluster_end]],$B543)*PJ2TWh,"")</f>
        <v>0</v>
      </c>
      <c r="R543" s="51">
        <f>IFERROR(SUMIFS(Infrastructure[2036],
Infrastructure[[variable_type]:[variable_type]],"H2_outflow",
Infrastructure[[cluster]:[cluster]],$B$535,
Infrastructure[[pipe_cluster_end]:[pipe_cluster_end]],$B543)*PJ2TWh,"")</f>
        <v>0</v>
      </c>
      <c r="S543" s="51">
        <f>IFERROR(SUMIFS(Infrastructure[2037],
Infrastructure[[variable_type]:[variable_type]],"H2_outflow",
Infrastructure[[cluster]:[cluster]],$B$535,
Infrastructure[[pipe_cluster_end]:[pipe_cluster_end]],$B543)*PJ2TWh,"")</f>
        <v>0</v>
      </c>
      <c r="T543" s="51">
        <f>IFERROR(SUMIFS(Infrastructure[2038],
Infrastructure[[variable_type]:[variable_type]],"H2_outflow",
Infrastructure[[cluster]:[cluster]],$B$535,
Infrastructure[[pipe_cluster_end]:[pipe_cluster_end]],$B543)*PJ2TWh,"")</f>
        <v>0</v>
      </c>
      <c r="U543" s="51">
        <f>IFERROR(SUMIFS(Infrastructure[2039],
Infrastructure[[variable_type]:[variable_type]],"H2_outflow",
Infrastructure[[cluster]:[cluster]],$B$535,
Infrastructure[[pipe_cluster_end]:[pipe_cluster_end]],$B543)*PJ2TWh,"")</f>
        <v>0</v>
      </c>
      <c r="V543" s="51">
        <f>IFERROR(SUMIFS(Infrastructure[2040],
Infrastructure[[variable_type]:[variable_type]],"H2_outflow",
Infrastructure[[cluster]:[cluster]],$B$535,
Infrastructure[[pipe_cluster_end]:[pipe_cluster_end]],$B543)*PJ2TWh,"")</f>
        <v>0</v>
      </c>
      <c r="W543" s="51">
        <f>IFERROR(SUMIFS(Infrastructure[2041],
Infrastructure[[variable_type]:[variable_type]],"H2_outflow",
Infrastructure[[cluster]:[cluster]],$B$535,
Infrastructure[[pipe_cluster_end]:[pipe_cluster_end]],$B543)*PJ2TWh,"")</f>
        <v>0</v>
      </c>
      <c r="X543" s="51">
        <f>IFERROR(SUMIFS(Infrastructure[2042],
Infrastructure[[variable_type]:[variable_type]],"H2_outflow",
Infrastructure[[cluster]:[cluster]],$B$535,
Infrastructure[[pipe_cluster_end]:[pipe_cluster_end]],$B543)*PJ2TWh,"")</f>
        <v>0</v>
      </c>
      <c r="Y543" s="51">
        <f>IFERROR(SUMIFS(Infrastructure[2043],
Infrastructure[[variable_type]:[variable_type]],"H2_outflow",
Infrastructure[[cluster]:[cluster]],$B$535,
Infrastructure[[pipe_cluster_end]:[pipe_cluster_end]],$B543)*PJ2TWh,"")</f>
        <v>0</v>
      </c>
      <c r="Z543" s="51">
        <f>IFERROR(SUMIFS(Infrastructure[2044],
Infrastructure[[variable_type]:[variable_type]],"H2_outflow",
Infrastructure[[cluster]:[cluster]],$B$535,
Infrastructure[[pipe_cluster_end]:[pipe_cluster_end]],$B543)*PJ2TWh,"")</f>
        <v>0</v>
      </c>
      <c r="AA543" s="51">
        <f>IFERROR(SUMIFS(Infrastructure[2045],
Infrastructure[[variable_type]:[variable_type]],"H2_outflow",
Infrastructure[[cluster]:[cluster]],$B$535,
Infrastructure[[pipe_cluster_end]:[pipe_cluster_end]],$B543)*PJ2TWh,"")</f>
        <v>0</v>
      </c>
      <c r="AB543" s="51">
        <f>IFERROR(SUMIFS(Infrastructure[2046],
Infrastructure[[variable_type]:[variable_type]],"H2_outflow",
Infrastructure[[cluster]:[cluster]],$B$535,
Infrastructure[[pipe_cluster_end]:[pipe_cluster_end]],$B543)*PJ2TWh,"")</f>
        <v>0</v>
      </c>
      <c r="AC543" s="51">
        <f>IFERROR(SUMIFS(Infrastructure[2047],
Infrastructure[[variable_type]:[variable_type]],"H2_outflow",
Infrastructure[[cluster]:[cluster]],$B$535,
Infrastructure[[pipe_cluster_end]:[pipe_cluster_end]],$B543)*PJ2TWh,"")</f>
        <v>0</v>
      </c>
      <c r="AD543" s="51">
        <f>IFERROR(SUMIFS(Infrastructure[2048],
Infrastructure[[variable_type]:[variable_type]],"H2_outflow",
Infrastructure[[cluster]:[cluster]],$B$535,
Infrastructure[[pipe_cluster_end]:[pipe_cluster_end]],$B543)*PJ2TWh,"")</f>
        <v>0</v>
      </c>
      <c r="AE543" s="51">
        <f>IFERROR(SUMIFS(Infrastructure[2049],
Infrastructure[[variable_type]:[variable_type]],"H2_outflow",
Infrastructure[[cluster]:[cluster]],$B$535,
Infrastructure[[pipe_cluster_end]:[pipe_cluster_end]],$B543)*PJ2TWh,"")</f>
        <v>0</v>
      </c>
      <c r="AF543" s="51">
        <f>IFERROR(SUMIFS(Infrastructure[2050],
Infrastructure[[variable_type]:[variable_type]],"H2_outflow",
Infrastructure[[cluster]:[cluster]],$B$535,
Infrastructure[[pipe_cluster_end]:[pipe_cluster_end]],$B543)*PJ2TWh,"")</f>
        <v>0</v>
      </c>
      <c r="AG543" s="51">
        <f>IFERROR(SUMIFS(Infrastructure[2051],
Infrastructure[[variable_type]:[variable_type]],"H2_outflow",
Infrastructure[[cluster]:[cluster]],$B$535,
Infrastructure[[pipe_cluster_end]:[pipe_cluster_end]],$B543)*PJ2TWh,"")</f>
        <v>0</v>
      </c>
    </row>
    <row r="544" spans="2:33" x14ac:dyDescent="0.45">
      <c r="B544" s="24" t="s">
        <v>77</v>
      </c>
      <c r="C544" s="51">
        <f>IFERROR(SUMIFS(Infrastructure[2021],
Infrastructure[[variable_type]:[variable_type]],"H2_outflow",
Infrastructure[[cluster]:[cluster]],$B$535,
Infrastructure[[pipe_cluster_end]:[pipe_cluster_end]],$B544)*PJ2TWh,"")</f>
        <v>0</v>
      </c>
      <c r="D544" s="51">
        <f>IFERROR(SUMIFS(Infrastructure[2022],
Infrastructure[[variable_type]:[variable_type]],"H2_outflow",
Infrastructure[[cluster]:[cluster]],$B$535,
Infrastructure[[pipe_cluster_end]:[pipe_cluster_end]],$B544)*PJ2TWh,"")</f>
        <v>0</v>
      </c>
      <c r="E544" s="51">
        <f>IFERROR(SUMIFS(Infrastructure[2023],
Infrastructure[[variable_type]:[variable_type]],"H2_outflow",
Infrastructure[[cluster]:[cluster]],$B$535,
Infrastructure[[pipe_cluster_end]:[pipe_cluster_end]],$B544)*PJ2TWh,"")</f>
        <v>0</v>
      </c>
      <c r="F544" s="51">
        <f>IFERROR(SUMIFS(Infrastructure[2024],
Infrastructure[[variable_type]:[variable_type]],"H2_outflow",
Infrastructure[[cluster]:[cluster]],$B$535,
Infrastructure[[pipe_cluster_end]:[pipe_cluster_end]],$B544)*PJ2TWh,"")</f>
        <v>0</v>
      </c>
      <c r="G544" s="51">
        <f>IFERROR(SUMIFS(Infrastructure[2025],
Infrastructure[[variable_type]:[variable_type]],"H2_outflow",
Infrastructure[[cluster]:[cluster]],$B$535,
Infrastructure[[pipe_cluster_end]:[pipe_cluster_end]],$B544)*PJ2TWh,"")</f>
        <v>0</v>
      </c>
      <c r="H544" s="51">
        <f>IFERROR(SUMIFS(Infrastructure[2026],
Infrastructure[[variable_type]:[variable_type]],"H2_outflow",
Infrastructure[[cluster]:[cluster]],$B$535,
Infrastructure[[pipe_cluster_end]:[pipe_cluster_end]],$B544)*PJ2TWh,"")</f>
        <v>0</v>
      </c>
      <c r="I544" s="51">
        <f>IFERROR(SUMIFS(Infrastructure[2027],
Infrastructure[[variable_type]:[variable_type]],"H2_outflow",
Infrastructure[[cluster]:[cluster]],$B$535,
Infrastructure[[pipe_cluster_end]:[pipe_cluster_end]],$B544)*PJ2TWh,"")</f>
        <v>0</v>
      </c>
      <c r="J544" s="51">
        <f>IFERROR(SUMIFS(Infrastructure[2028],
Infrastructure[[variable_type]:[variable_type]],"H2_outflow",
Infrastructure[[cluster]:[cluster]],$B$535,
Infrastructure[[pipe_cluster_end]:[pipe_cluster_end]],$B544)*PJ2TWh,"")</f>
        <v>0</v>
      </c>
      <c r="K544" s="51">
        <f>IFERROR(SUMIFS(Infrastructure[2029],
Infrastructure[[variable_type]:[variable_type]],"H2_outflow",
Infrastructure[[cluster]:[cluster]],$B$535,
Infrastructure[[pipe_cluster_end]:[pipe_cluster_end]],$B544)*PJ2TWh,"")</f>
        <v>0</v>
      </c>
      <c r="L544" s="51">
        <f>IFERROR(SUMIFS(Infrastructure[2030],
Infrastructure[[variable_type]:[variable_type]],"H2_outflow",
Infrastructure[[cluster]:[cluster]],$B$535,
Infrastructure[[pipe_cluster_end]:[pipe_cluster_end]],$B544)*PJ2TWh,"")</f>
        <v>0</v>
      </c>
      <c r="M544" s="51">
        <f>IFERROR(SUMIFS(Infrastructure[2031],
Infrastructure[[variable_type]:[variable_type]],"H2_outflow",
Infrastructure[[cluster]:[cluster]],$B$535,
Infrastructure[[pipe_cluster_end]:[pipe_cluster_end]],$B544)*PJ2TWh,"")</f>
        <v>0</v>
      </c>
      <c r="N544" s="51">
        <f>IFERROR(SUMIFS(Infrastructure[2032],
Infrastructure[[variable_type]:[variable_type]],"H2_outflow",
Infrastructure[[cluster]:[cluster]],$B$535,
Infrastructure[[pipe_cluster_end]:[pipe_cluster_end]],$B544)*PJ2TWh,"")</f>
        <v>0</v>
      </c>
      <c r="O544" s="51">
        <f>IFERROR(SUMIFS(Infrastructure[2033],
Infrastructure[[variable_type]:[variable_type]],"H2_outflow",
Infrastructure[[cluster]:[cluster]],$B$535,
Infrastructure[[pipe_cluster_end]:[pipe_cluster_end]],$B544)*PJ2TWh,"")</f>
        <v>0</v>
      </c>
      <c r="P544" s="51">
        <f>IFERROR(SUMIFS(Infrastructure[2034],
Infrastructure[[variable_type]:[variable_type]],"H2_outflow",
Infrastructure[[cluster]:[cluster]],$B$535,
Infrastructure[[pipe_cluster_end]:[pipe_cluster_end]],$B544)*PJ2TWh,"")</f>
        <v>0</v>
      </c>
      <c r="Q544" s="51">
        <f>IFERROR(SUMIFS(Infrastructure[2035],
Infrastructure[[variable_type]:[variable_type]],"H2_outflow",
Infrastructure[[cluster]:[cluster]],$B$535,
Infrastructure[[pipe_cluster_end]:[pipe_cluster_end]],$B544)*PJ2TWh,"")</f>
        <v>0</v>
      </c>
      <c r="R544" s="51">
        <f>IFERROR(SUMIFS(Infrastructure[2036],
Infrastructure[[variable_type]:[variable_type]],"H2_outflow",
Infrastructure[[cluster]:[cluster]],$B$535,
Infrastructure[[pipe_cluster_end]:[pipe_cluster_end]],$B544)*PJ2TWh,"")</f>
        <v>0</v>
      </c>
      <c r="S544" s="51">
        <f>IFERROR(SUMIFS(Infrastructure[2037],
Infrastructure[[variable_type]:[variable_type]],"H2_outflow",
Infrastructure[[cluster]:[cluster]],$B$535,
Infrastructure[[pipe_cluster_end]:[pipe_cluster_end]],$B544)*PJ2TWh,"")</f>
        <v>0</v>
      </c>
      <c r="T544" s="51">
        <f>IFERROR(SUMIFS(Infrastructure[2038],
Infrastructure[[variable_type]:[variable_type]],"H2_outflow",
Infrastructure[[cluster]:[cluster]],$B$535,
Infrastructure[[pipe_cluster_end]:[pipe_cluster_end]],$B544)*PJ2TWh,"")</f>
        <v>0</v>
      </c>
      <c r="U544" s="51">
        <f>IFERROR(SUMIFS(Infrastructure[2039],
Infrastructure[[variable_type]:[variable_type]],"H2_outflow",
Infrastructure[[cluster]:[cluster]],$B$535,
Infrastructure[[pipe_cluster_end]:[pipe_cluster_end]],$B544)*PJ2TWh,"")</f>
        <v>0</v>
      </c>
      <c r="V544" s="51">
        <f>IFERROR(SUMIFS(Infrastructure[2040],
Infrastructure[[variable_type]:[variable_type]],"H2_outflow",
Infrastructure[[cluster]:[cluster]],$B$535,
Infrastructure[[pipe_cluster_end]:[pipe_cluster_end]],$B544)*PJ2TWh,"")</f>
        <v>0</v>
      </c>
      <c r="W544" s="51">
        <f>IFERROR(SUMIFS(Infrastructure[2041],
Infrastructure[[variable_type]:[variable_type]],"H2_outflow",
Infrastructure[[cluster]:[cluster]],$B$535,
Infrastructure[[pipe_cluster_end]:[pipe_cluster_end]],$B544)*PJ2TWh,"")</f>
        <v>0</v>
      </c>
      <c r="X544" s="51">
        <f>IFERROR(SUMIFS(Infrastructure[2042],
Infrastructure[[variable_type]:[variable_type]],"H2_outflow",
Infrastructure[[cluster]:[cluster]],$B$535,
Infrastructure[[pipe_cluster_end]:[pipe_cluster_end]],$B544)*PJ2TWh,"")</f>
        <v>0</v>
      </c>
      <c r="Y544" s="51">
        <f>IFERROR(SUMIFS(Infrastructure[2043],
Infrastructure[[variable_type]:[variable_type]],"H2_outflow",
Infrastructure[[cluster]:[cluster]],$B$535,
Infrastructure[[pipe_cluster_end]:[pipe_cluster_end]],$B544)*PJ2TWh,"")</f>
        <v>0</v>
      </c>
      <c r="Z544" s="51">
        <f>IFERROR(SUMIFS(Infrastructure[2044],
Infrastructure[[variable_type]:[variable_type]],"H2_outflow",
Infrastructure[[cluster]:[cluster]],$B$535,
Infrastructure[[pipe_cluster_end]:[pipe_cluster_end]],$B544)*PJ2TWh,"")</f>
        <v>0</v>
      </c>
      <c r="AA544" s="51">
        <f>IFERROR(SUMIFS(Infrastructure[2045],
Infrastructure[[variable_type]:[variable_type]],"H2_outflow",
Infrastructure[[cluster]:[cluster]],$B$535,
Infrastructure[[pipe_cluster_end]:[pipe_cluster_end]],$B544)*PJ2TWh,"")</f>
        <v>0</v>
      </c>
      <c r="AB544" s="51">
        <f>IFERROR(SUMIFS(Infrastructure[2046],
Infrastructure[[variable_type]:[variable_type]],"H2_outflow",
Infrastructure[[cluster]:[cluster]],$B$535,
Infrastructure[[pipe_cluster_end]:[pipe_cluster_end]],$B544)*PJ2TWh,"")</f>
        <v>0</v>
      </c>
      <c r="AC544" s="51">
        <f>IFERROR(SUMIFS(Infrastructure[2047],
Infrastructure[[variable_type]:[variable_type]],"H2_outflow",
Infrastructure[[cluster]:[cluster]],$B$535,
Infrastructure[[pipe_cluster_end]:[pipe_cluster_end]],$B544)*PJ2TWh,"")</f>
        <v>0</v>
      </c>
      <c r="AD544" s="51">
        <f>IFERROR(SUMIFS(Infrastructure[2048],
Infrastructure[[variable_type]:[variable_type]],"H2_outflow",
Infrastructure[[cluster]:[cluster]],$B$535,
Infrastructure[[pipe_cluster_end]:[pipe_cluster_end]],$B544)*PJ2TWh,"")</f>
        <v>0</v>
      </c>
      <c r="AE544" s="51">
        <f>IFERROR(SUMIFS(Infrastructure[2049],
Infrastructure[[variable_type]:[variable_type]],"H2_outflow",
Infrastructure[[cluster]:[cluster]],$B$535,
Infrastructure[[pipe_cluster_end]:[pipe_cluster_end]],$B544)*PJ2TWh,"")</f>
        <v>0</v>
      </c>
      <c r="AF544" s="51">
        <f>IFERROR(SUMIFS(Infrastructure[2050],
Infrastructure[[variable_type]:[variable_type]],"H2_outflow",
Infrastructure[[cluster]:[cluster]],$B$535,
Infrastructure[[pipe_cluster_end]:[pipe_cluster_end]],$B544)*PJ2TWh,"")</f>
        <v>0</v>
      </c>
      <c r="AG544" s="51">
        <f>IFERROR(SUMIFS(Infrastructure[2051],
Infrastructure[[variable_type]:[variable_type]],"H2_outflow",
Infrastructure[[cluster]:[cluster]],$B$535,
Infrastructure[[pipe_cluster_end]:[pipe_cluster_end]],$B544)*PJ2TWh,"")</f>
        <v>0</v>
      </c>
    </row>
    <row r="545" spans="2:33" x14ac:dyDescent="0.45">
      <c r="B545" s="24" t="s">
        <v>78</v>
      </c>
      <c r="C545" s="51">
        <f>IFERROR(SUMIFS(Infrastructure[2021],
Infrastructure[[variable_type]:[variable_type]],"H2_outflow",
Infrastructure[[cluster]:[cluster]],$B$535,
Infrastructure[[pipe_cluster_end]:[pipe_cluster_end]],$B545)*PJ2TWh,"")</f>
        <v>0</v>
      </c>
      <c r="D545" s="51">
        <f>IFERROR(SUMIFS(Infrastructure[2022],
Infrastructure[[variable_type]:[variable_type]],"H2_outflow",
Infrastructure[[cluster]:[cluster]],$B$535,
Infrastructure[[pipe_cluster_end]:[pipe_cluster_end]],$B545)*PJ2TWh,"")</f>
        <v>0</v>
      </c>
      <c r="E545" s="51">
        <f>IFERROR(SUMIFS(Infrastructure[2023],
Infrastructure[[variable_type]:[variable_type]],"H2_outflow",
Infrastructure[[cluster]:[cluster]],$B$535,
Infrastructure[[pipe_cluster_end]:[pipe_cluster_end]],$B545)*PJ2TWh,"")</f>
        <v>0</v>
      </c>
      <c r="F545" s="51">
        <f>IFERROR(SUMIFS(Infrastructure[2024],
Infrastructure[[variable_type]:[variable_type]],"H2_outflow",
Infrastructure[[cluster]:[cluster]],$B$535,
Infrastructure[[pipe_cluster_end]:[pipe_cluster_end]],$B545)*PJ2TWh,"")</f>
        <v>0</v>
      </c>
      <c r="G545" s="51">
        <f>IFERROR(SUMIFS(Infrastructure[2025],
Infrastructure[[variable_type]:[variable_type]],"H2_outflow",
Infrastructure[[cluster]:[cluster]],$B$535,
Infrastructure[[pipe_cluster_end]:[pipe_cluster_end]],$B545)*PJ2TWh,"")</f>
        <v>0</v>
      </c>
      <c r="H545" s="51">
        <f>IFERROR(SUMIFS(Infrastructure[2026],
Infrastructure[[variable_type]:[variable_type]],"H2_outflow",
Infrastructure[[cluster]:[cluster]],$B$535,
Infrastructure[[pipe_cluster_end]:[pipe_cluster_end]],$B545)*PJ2TWh,"")</f>
        <v>0</v>
      </c>
      <c r="I545" s="51">
        <f>IFERROR(SUMIFS(Infrastructure[2027],
Infrastructure[[variable_type]:[variable_type]],"H2_outflow",
Infrastructure[[cluster]:[cluster]],$B$535,
Infrastructure[[pipe_cluster_end]:[pipe_cluster_end]],$B545)*PJ2TWh,"")</f>
        <v>0</v>
      </c>
      <c r="J545" s="51">
        <f>IFERROR(SUMIFS(Infrastructure[2028],
Infrastructure[[variable_type]:[variable_type]],"H2_outflow",
Infrastructure[[cluster]:[cluster]],$B$535,
Infrastructure[[pipe_cluster_end]:[pipe_cluster_end]],$B545)*PJ2TWh,"")</f>
        <v>0</v>
      </c>
      <c r="K545" s="51">
        <f>IFERROR(SUMIFS(Infrastructure[2029],
Infrastructure[[variable_type]:[variable_type]],"H2_outflow",
Infrastructure[[cluster]:[cluster]],$B$535,
Infrastructure[[pipe_cluster_end]:[pipe_cluster_end]],$B545)*PJ2TWh,"")</f>
        <v>0</v>
      </c>
      <c r="L545" s="51">
        <f>IFERROR(SUMIFS(Infrastructure[2030],
Infrastructure[[variable_type]:[variable_type]],"H2_outflow",
Infrastructure[[cluster]:[cluster]],$B$535,
Infrastructure[[pipe_cluster_end]:[pipe_cluster_end]],$B545)*PJ2TWh,"")</f>
        <v>0</v>
      </c>
      <c r="M545" s="51">
        <f>IFERROR(SUMIFS(Infrastructure[2031],
Infrastructure[[variable_type]:[variable_type]],"H2_outflow",
Infrastructure[[cluster]:[cluster]],$B$535,
Infrastructure[[pipe_cluster_end]:[pipe_cluster_end]],$B545)*PJ2TWh,"")</f>
        <v>0</v>
      </c>
      <c r="N545" s="51">
        <f>IFERROR(SUMIFS(Infrastructure[2032],
Infrastructure[[variable_type]:[variable_type]],"H2_outflow",
Infrastructure[[cluster]:[cluster]],$B$535,
Infrastructure[[pipe_cluster_end]:[pipe_cluster_end]],$B545)*PJ2TWh,"")</f>
        <v>0</v>
      </c>
      <c r="O545" s="51">
        <f>IFERROR(SUMIFS(Infrastructure[2033],
Infrastructure[[variable_type]:[variable_type]],"H2_outflow",
Infrastructure[[cluster]:[cluster]],$B$535,
Infrastructure[[pipe_cluster_end]:[pipe_cluster_end]],$B545)*PJ2TWh,"")</f>
        <v>0</v>
      </c>
      <c r="P545" s="51">
        <f>IFERROR(SUMIFS(Infrastructure[2034],
Infrastructure[[variable_type]:[variable_type]],"H2_outflow",
Infrastructure[[cluster]:[cluster]],$B$535,
Infrastructure[[pipe_cluster_end]:[pipe_cluster_end]],$B545)*PJ2TWh,"")</f>
        <v>0</v>
      </c>
      <c r="Q545" s="51">
        <f>IFERROR(SUMIFS(Infrastructure[2035],
Infrastructure[[variable_type]:[variable_type]],"H2_outflow",
Infrastructure[[cluster]:[cluster]],$B$535,
Infrastructure[[pipe_cluster_end]:[pipe_cluster_end]],$B545)*PJ2TWh,"")</f>
        <v>0</v>
      </c>
      <c r="R545" s="51">
        <f>IFERROR(SUMIFS(Infrastructure[2036],
Infrastructure[[variable_type]:[variable_type]],"H2_outflow",
Infrastructure[[cluster]:[cluster]],$B$535,
Infrastructure[[pipe_cluster_end]:[pipe_cluster_end]],$B545)*PJ2TWh,"")</f>
        <v>0</v>
      </c>
      <c r="S545" s="51">
        <f>IFERROR(SUMIFS(Infrastructure[2037],
Infrastructure[[variable_type]:[variable_type]],"H2_outflow",
Infrastructure[[cluster]:[cluster]],$B$535,
Infrastructure[[pipe_cluster_end]:[pipe_cluster_end]],$B545)*PJ2TWh,"")</f>
        <v>0</v>
      </c>
      <c r="T545" s="51">
        <f>IFERROR(SUMIFS(Infrastructure[2038],
Infrastructure[[variable_type]:[variable_type]],"H2_outflow",
Infrastructure[[cluster]:[cluster]],$B$535,
Infrastructure[[pipe_cluster_end]:[pipe_cluster_end]],$B545)*PJ2TWh,"")</f>
        <v>0</v>
      </c>
      <c r="U545" s="51">
        <f>IFERROR(SUMIFS(Infrastructure[2039],
Infrastructure[[variable_type]:[variable_type]],"H2_outflow",
Infrastructure[[cluster]:[cluster]],$B$535,
Infrastructure[[pipe_cluster_end]:[pipe_cluster_end]],$B545)*PJ2TWh,"")</f>
        <v>0</v>
      </c>
      <c r="V545" s="51">
        <f>IFERROR(SUMIFS(Infrastructure[2040],
Infrastructure[[variable_type]:[variable_type]],"H2_outflow",
Infrastructure[[cluster]:[cluster]],$B$535,
Infrastructure[[pipe_cluster_end]:[pipe_cluster_end]],$B545)*PJ2TWh,"")</f>
        <v>0</v>
      </c>
      <c r="W545" s="51">
        <f>IFERROR(SUMIFS(Infrastructure[2041],
Infrastructure[[variable_type]:[variable_type]],"H2_outflow",
Infrastructure[[cluster]:[cluster]],$B$535,
Infrastructure[[pipe_cluster_end]:[pipe_cluster_end]],$B545)*PJ2TWh,"")</f>
        <v>0</v>
      </c>
      <c r="X545" s="51">
        <f>IFERROR(SUMIFS(Infrastructure[2042],
Infrastructure[[variable_type]:[variable_type]],"H2_outflow",
Infrastructure[[cluster]:[cluster]],$B$535,
Infrastructure[[pipe_cluster_end]:[pipe_cluster_end]],$B545)*PJ2TWh,"")</f>
        <v>0</v>
      </c>
      <c r="Y545" s="51">
        <f>IFERROR(SUMIFS(Infrastructure[2043],
Infrastructure[[variable_type]:[variable_type]],"H2_outflow",
Infrastructure[[cluster]:[cluster]],$B$535,
Infrastructure[[pipe_cluster_end]:[pipe_cluster_end]],$B545)*PJ2TWh,"")</f>
        <v>0</v>
      </c>
      <c r="Z545" s="51">
        <f>IFERROR(SUMIFS(Infrastructure[2044],
Infrastructure[[variable_type]:[variable_type]],"H2_outflow",
Infrastructure[[cluster]:[cluster]],$B$535,
Infrastructure[[pipe_cluster_end]:[pipe_cluster_end]],$B545)*PJ2TWh,"")</f>
        <v>0</v>
      </c>
      <c r="AA545" s="51">
        <f>IFERROR(SUMIFS(Infrastructure[2045],
Infrastructure[[variable_type]:[variable_type]],"H2_outflow",
Infrastructure[[cluster]:[cluster]],$B$535,
Infrastructure[[pipe_cluster_end]:[pipe_cluster_end]],$B545)*PJ2TWh,"")</f>
        <v>0</v>
      </c>
      <c r="AB545" s="51">
        <f>IFERROR(SUMIFS(Infrastructure[2046],
Infrastructure[[variable_type]:[variable_type]],"H2_outflow",
Infrastructure[[cluster]:[cluster]],$B$535,
Infrastructure[[pipe_cluster_end]:[pipe_cluster_end]],$B545)*PJ2TWh,"")</f>
        <v>0</v>
      </c>
      <c r="AC545" s="51">
        <f>IFERROR(SUMIFS(Infrastructure[2047],
Infrastructure[[variable_type]:[variable_type]],"H2_outflow",
Infrastructure[[cluster]:[cluster]],$B$535,
Infrastructure[[pipe_cluster_end]:[pipe_cluster_end]],$B545)*PJ2TWh,"")</f>
        <v>0</v>
      </c>
      <c r="AD545" s="51">
        <f>IFERROR(SUMIFS(Infrastructure[2048],
Infrastructure[[variable_type]:[variable_type]],"H2_outflow",
Infrastructure[[cluster]:[cluster]],$B$535,
Infrastructure[[pipe_cluster_end]:[pipe_cluster_end]],$B545)*PJ2TWh,"")</f>
        <v>0</v>
      </c>
      <c r="AE545" s="51">
        <f>IFERROR(SUMIFS(Infrastructure[2049],
Infrastructure[[variable_type]:[variable_type]],"H2_outflow",
Infrastructure[[cluster]:[cluster]],$B$535,
Infrastructure[[pipe_cluster_end]:[pipe_cluster_end]],$B545)*PJ2TWh,"")</f>
        <v>0</v>
      </c>
      <c r="AF545" s="51">
        <f>IFERROR(SUMIFS(Infrastructure[2050],
Infrastructure[[variable_type]:[variable_type]],"H2_outflow",
Infrastructure[[cluster]:[cluster]],$B$535,
Infrastructure[[pipe_cluster_end]:[pipe_cluster_end]],$B545)*PJ2TWh,"")</f>
        <v>0</v>
      </c>
      <c r="AG545" s="51">
        <f>IFERROR(SUMIFS(Infrastructure[2051],
Infrastructure[[variable_type]:[variable_type]],"H2_outflow",
Infrastructure[[cluster]:[cluster]],$B$535,
Infrastructure[[pipe_cluster_end]:[pipe_cluster_end]],$B545)*PJ2TWh,"")</f>
        <v>0</v>
      </c>
    </row>
    <row r="546" spans="2:33" x14ac:dyDescent="0.45">
      <c r="B546" s="6" t="s">
        <v>77</v>
      </c>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row>
    <row r="547" spans="2:33" x14ac:dyDescent="0.45">
      <c r="B547" s="24" t="s">
        <v>70</v>
      </c>
      <c r="C547" s="51">
        <f>IFERROR(SUMIFS(Infrastructure[2021],
Infrastructure[[variable_type]:[variable_type]],"H2_outflow",
Infrastructure[[cluster]:[cluster]],$B$546,
Infrastructure[[pipe_cluster_end]:[pipe_cluster_end]],$B547)*PJ2TWh,"")</f>
        <v>0</v>
      </c>
      <c r="D547" s="51">
        <f>IFERROR(SUMIFS(Infrastructure[2022],
Infrastructure[[variable_type]:[variable_type]],"H2_outflow",
Infrastructure[[cluster]:[cluster]],$B$546,
Infrastructure[[pipe_cluster_end]:[pipe_cluster_end]],$B547)*PJ2TWh,"")</f>
        <v>0</v>
      </c>
      <c r="E547" s="51">
        <f>IFERROR(SUMIFS(Infrastructure[2023],
Infrastructure[[variable_type]:[variable_type]],"H2_outflow",
Infrastructure[[cluster]:[cluster]],$B$546,
Infrastructure[[pipe_cluster_end]:[pipe_cluster_end]],$B547)*PJ2TWh,"")</f>
        <v>0</v>
      </c>
      <c r="F547" s="51">
        <f>IFERROR(SUMIFS(Infrastructure[2024],
Infrastructure[[variable_type]:[variable_type]],"H2_outflow",
Infrastructure[[cluster]:[cluster]],$B$546,
Infrastructure[[pipe_cluster_end]:[pipe_cluster_end]],$B547)*PJ2TWh,"")</f>
        <v>0</v>
      </c>
      <c r="G547" s="51">
        <f>IFERROR(SUMIFS(Infrastructure[2025],
Infrastructure[[variable_type]:[variable_type]],"H2_outflow",
Infrastructure[[cluster]:[cluster]],$B$546,
Infrastructure[[pipe_cluster_end]:[pipe_cluster_end]],$B547)*PJ2TWh,"")</f>
        <v>0</v>
      </c>
      <c r="H547" s="51">
        <f>IFERROR(SUMIFS(Infrastructure[2026],
Infrastructure[[variable_type]:[variable_type]],"H2_outflow",
Infrastructure[[cluster]:[cluster]],$B$546,
Infrastructure[[pipe_cluster_end]:[pipe_cluster_end]],$B547)*PJ2TWh,"")</f>
        <v>0</v>
      </c>
      <c r="I547" s="51">
        <f>IFERROR(SUMIFS(Infrastructure[2027],
Infrastructure[[variable_type]:[variable_type]],"H2_outflow",
Infrastructure[[cluster]:[cluster]],$B$546,
Infrastructure[[pipe_cluster_end]:[pipe_cluster_end]],$B547)*PJ2TWh,"")</f>
        <v>0</v>
      </c>
      <c r="J547" s="51">
        <f>IFERROR(SUMIFS(Infrastructure[2028],
Infrastructure[[variable_type]:[variable_type]],"H2_outflow",
Infrastructure[[cluster]:[cluster]],$B$546,
Infrastructure[[pipe_cluster_end]:[pipe_cluster_end]],$B547)*PJ2TWh,"")</f>
        <v>0</v>
      </c>
      <c r="K547" s="51">
        <f>IFERROR(SUMIFS(Infrastructure[2029],
Infrastructure[[variable_type]:[variable_type]],"H2_outflow",
Infrastructure[[cluster]:[cluster]],$B$546,
Infrastructure[[pipe_cluster_end]:[pipe_cluster_end]],$B547)*PJ2TWh,"")</f>
        <v>0</v>
      </c>
      <c r="L547" s="51">
        <f>IFERROR(SUMIFS(Infrastructure[2030],
Infrastructure[[variable_type]:[variable_type]],"H2_outflow",
Infrastructure[[cluster]:[cluster]],$B$546,
Infrastructure[[pipe_cluster_end]:[pipe_cluster_end]],$B547)*PJ2TWh,"")</f>
        <v>0</v>
      </c>
      <c r="M547" s="51">
        <f>IFERROR(SUMIFS(Infrastructure[2031],
Infrastructure[[variable_type]:[variable_type]],"H2_outflow",
Infrastructure[[cluster]:[cluster]],$B$546,
Infrastructure[[pipe_cluster_end]:[pipe_cluster_end]],$B547)*PJ2TWh,"")</f>
        <v>0</v>
      </c>
      <c r="N547" s="51">
        <f>IFERROR(SUMIFS(Infrastructure[2032],
Infrastructure[[variable_type]:[variable_type]],"H2_outflow",
Infrastructure[[cluster]:[cluster]],$B$546,
Infrastructure[[pipe_cluster_end]:[pipe_cluster_end]],$B547)*PJ2TWh,"")</f>
        <v>0</v>
      </c>
      <c r="O547" s="51">
        <f>IFERROR(SUMIFS(Infrastructure[2033],
Infrastructure[[variable_type]:[variable_type]],"H2_outflow",
Infrastructure[[cluster]:[cluster]],$B$546,
Infrastructure[[pipe_cluster_end]:[pipe_cluster_end]],$B547)*PJ2TWh,"")</f>
        <v>0</v>
      </c>
      <c r="P547" s="51">
        <f>IFERROR(SUMIFS(Infrastructure[2034],
Infrastructure[[variable_type]:[variable_type]],"H2_outflow",
Infrastructure[[cluster]:[cluster]],$B$546,
Infrastructure[[pipe_cluster_end]:[pipe_cluster_end]],$B547)*PJ2TWh,"")</f>
        <v>0</v>
      </c>
      <c r="Q547" s="51">
        <f>IFERROR(SUMIFS(Infrastructure[2035],
Infrastructure[[variable_type]:[variable_type]],"H2_outflow",
Infrastructure[[cluster]:[cluster]],$B$546,
Infrastructure[[pipe_cluster_end]:[pipe_cluster_end]],$B547)*PJ2TWh,"")</f>
        <v>0</v>
      </c>
      <c r="R547" s="51">
        <f>IFERROR(SUMIFS(Infrastructure[2036],
Infrastructure[[variable_type]:[variable_type]],"H2_outflow",
Infrastructure[[cluster]:[cluster]],$B$546,
Infrastructure[[pipe_cluster_end]:[pipe_cluster_end]],$B547)*PJ2TWh,"")</f>
        <v>0</v>
      </c>
      <c r="S547" s="51">
        <f>IFERROR(SUMIFS(Infrastructure[2037],
Infrastructure[[variable_type]:[variable_type]],"H2_outflow",
Infrastructure[[cluster]:[cluster]],$B$546,
Infrastructure[[pipe_cluster_end]:[pipe_cluster_end]],$B547)*PJ2TWh,"")</f>
        <v>0</v>
      </c>
      <c r="T547" s="51">
        <f>IFERROR(SUMIFS(Infrastructure[2038],
Infrastructure[[variable_type]:[variable_type]],"H2_outflow",
Infrastructure[[cluster]:[cluster]],$B$546,
Infrastructure[[pipe_cluster_end]:[pipe_cluster_end]],$B547)*PJ2TWh,"")</f>
        <v>0</v>
      </c>
      <c r="U547" s="51">
        <f>IFERROR(SUMIFS(Infrastructure[2039],
Infrastructure[[variable_type]:[variable_type]],"H2_outflow",
Infrastructure[[cluster]:[cluster]],$B$546,
Infrastructure[[pipe_cluster_end]:[pipe_cluster_end]],$B547)*PJ2TWh,"")</f>
        <v>0</v>
      </c>
      <c r="V547" s="51">
        <f>IFERROR(SUMIFS(Infrastructure[2040],
Infrastructure[[variable_type]:[variable_type]],"H2_outflow",
Infrastructure[[cluster]:[cluster]],$B$546,
Infrastructure[[pipe_cluster_end]:[pipe_cluster_end]],$B547)*PJ2TWh,"")</f>
        <v>0</v>
      </c>
      <c r="W547" s="51">
        <f>IFERROR(SUMIFS(Infrastructure[2041],
Infrastructure[[variable_type]:[variable_type]],"H2_outflow",
Infrastructure[[cluster]:[cluster]],$B$546,
Infrastructure[[pipe_cluster_end]:[pipe_cluster_end]],$B547)*PJ2TWh,"")</f>
        <v>0</v>
      </c>
      <c r="X547" s="51">
        <f>IFERROR(SUMIFS(Infrastructure[2042],
Infrastructure[[variable_type]:[variable_type]],"H2_outflow",
Infrastructure[[cluster]:[cluster]],$B$546,
Infrastructure[[pipe_cluster_end]:[pipe_cluster_end]],$B547)*PJ2TWh,"")</f>
        <v>0</v>
      </c>
      <c r="Y547" s="51">
        <f>IFERROR(SUMIFS(Infrastructure[2043],
Infrastructure[[variable_type]:[variable_type]],"H2_outflow",
Infrastructure[[cluster]:[cluster]],$B$546,
Infrastructure[[pipe_cluster_end]:[pipe_cluster_end]],$B547)*PJ2TWh,"")</f>
        <v>0</v>
      </c>
      <c r="Z547" s="51">
        <f>IFERROR(SUMIFS(Infrastructure[2044],
Infrastructure[[variable_type]:[variable_type]],"H2_outflow",
Infrastructure[[cluster]:[cluster]],$B$546,
Infrastructure[[pipe_cluster_end]:[pipe_cluster_end]],$B547)*PJ2TWh,"")</f>
        <v>0</v>
      </c>
      <c r="AA547" s="51">
        <f>IFERROR(SUMIFS(Infrastructure[2045],
Infrastructure[[variable_type]:[variable_type]],"H2_outflow",
Infrastructure[[cluster]:[cluster]],$B$546,
Infrastructure[[pipe_cluster_end]:[pipe_cluster_end]],$B547)*PJ2TWh,"")</f>
        <v>0</v>
      </c>
      <c r="AB547" s="51">
        <f>IFERROR(SUMIFS(Infrastructure[2046],
Infrastructure[[variable_type]:[variable_type]],"H2_outflow",
Infrastructure[[cluster]:[cluster]],$B$546,
Infrastructure[[pipe_cluster_end]:[pipe_cluster_end]],$B547)*PJ2TWh,"")</f>
        <v>0</v>
      </c>
      <c r="AC547" s="51">
        <f>IFERROR(SUMIFS(Infrastructure[2047],
Infrastructure[[variable_type]:[variable_type]],"H2_outflow",
Infrastructure[[cluster]:[cluster]],$B$546,
Infrastructure[[pipe_cluster_end]:[pipe_cluster_end]],$B547)*PJ2TWh,"")</f>
        <v>0</v>
      </c>
      <c r="AD547" s="51">
        <f>IFERROR(SUMIFS(Infrastructure[2048],
Infrastructure[[variable_type]:[variable_type]],"H2_outflow",
Infrastructure[[cluster]:[cluster]],$B$546,
Infrastructure[[pipe_cluster_end]:[pipe_cluster_end]],$B547)*PJ2TWh,"")</f>
        <v>0</v>
      </c>
      <c r="AE547" s="51">
        <f>IFERROR(SUMIFS(Infrastructure[2049],
Infrastructure[[variable_type]:[variable_type]],"H2_outflow",
Infrastructure[[cluster]:[cluster]],$B$546,
Infrastructure[[pipe_cluster_end]:[pipe_cluster_end]],$B547)*PJ2TWh,"")</f>
        <v>0</v>
      </c>
      <c r="AF547" s="51">
        <f>IFERROR(SUMIFS(Infrastructure[2050],
Infrastructure[[variable_type]:[variable_type]],"H2_outflow",
Infrastructure[[cluster]:[cluster]],$B$546,
Infrastructure[[pipe_cluster_end]:[pipe_cluster_end]],$B547)*PJ2TWh,"")</f>
        <v>0</v>
      </c>
      <c r="AG547" s="51">
        <f>IFERROR(SUMIFS(Infrastructure[2051],
Infrastructure[[variable_type]:[variable_type]],"H2_outflow",
Infrastructure[[cluster]:[cluster]],$B$546,
Infrastructure[[pipe_cluster_end]:[pipe_cluster_end]],$B547)*PJ2TWh,"")</f>
        <v>0</v>
      </c>
    </row>
    <row r="548" spans="2:33" x14ac:dyDescent="0.45">
      <c r="B548" s="24" t="s">
        <v>52</v>
      </c>
      <c r="C548" s="51">
        <f>IFERROR(SUMIFS(Infrastructure[2021],
Infrastructure[[variable_type]:[variable_type]],"H2_outflow",
Infrastructure[[cluster]:[cluster]],$B$546,
Infrastructure[[pipe_cluster_end]:[pipe_cluster_end]],$B548)*PJ2TWh,"")</f>
        <v>0</v>
      </c>
      <c r="D548" s="51">
        <f>IFERROR(SUMIFS(Infrastructure[2022],
Infrastructure[[variable_type]:[variable_type]],"H2_outflow",
Infrastructure[[cluster]:[cluster]],$B$546,
Infrastructure[[pipe_cluster_end]:[pipe_cluster_end]],$B548)*PJ2TWh,"")</f>
        <v>0</v>
      </c>
      <c r="E548" s="51">
        <f>IFERROR(SUMIFS(Infrastructure[2023],
Infrastructure[[variable_type]:[variable_type]],"H2_outflow",
Infrastructure[[cluster]:[cluster]],$B$546,
Infrastructure[[pipe_cluster_end]:[pipe_cluster_end]],$B548)*PJ2TWh,"")</f>
        <v>0</v>
      </c>
      <c r="F548" s="51">
        <f>IFERROR(SUMIFS(Infrastructure[2024],
Infrastructure[[variable_type]:[variable_type]],"H2_outflow",
Infrastructure[[cluster]:[cluster]],$B$546,
Infrastructure[[pipe_cluster_end]:[pipe_cluster_end]],$B548)*PJ2TWh,"")</f>
        <v>0</v>
      </c>
      <c r="G548" s="51">
        <f>IFERROR(SUMIFS(Infrastructure[2025],
Infrastructure[[variable_type]:[variable_type]],"H2_outflow",
Infrastructure[[cluster]:[cluster]],$B$546,
Infrastructure[[pipe_cluster_end]:[pipe_cluster_end]],$B548)*PJ2TWh,"")</f>
        <v>0</v>
      </c>
      <c r="H548" s="51">
        <f>IFERROR(SUMIFS(Infrastructure[2026],
Infrastructure[[variable_type]:[variable_type]],"H2_outflow",
Infrastructure[[cluster]:[cluster]],$B$546,
Infrastructure[[pipe_cluster_end]:[pipe_cluster_end]],$B548)*PJ2TWh,"")</f>
        <v>0</v>
      </c>
      <c r="I548" s="51">
        <f>IFERROR(SUMIFS(Infrastructure[2027],
Infrastructure[[variable_type]:[variable_type]],"H2_outflow",
Infrastructure[[cluster]:[cluster]],$B$546,
Infrastructure[[pipe_cluster_end]:[pipe_cluster_end]],$B548)*PJ2TWh,"")</f>
        <v>0</v>
      </c>
      <c r="J548" s="51">
        <f>IFERROR(SUMIFS(Infrastructure[2028],
Infrastructure[[variable_type]:[variable_type]],"H2_outflow",
Infrastructure[[cluster]:[cluster]],$B$546,
Infrastructure[[pipe_cluster_end]:[pipe_cluster_end]],$B548)*PJ2TWh,"")</f>
        <v>0</v>
      </c>
      <c r="K548" s="51">
        <f>IFERROR(SUMIFS(Infrastructure[2029],
Infrastructure[[variable_type]:[variable_type]],"H2_outflow",
Infrastructure[[cluster]:[cluster]],$B$546,
Infrastructure[[pipe_cluster_end]:[pipe_cluster_end]],$B548)*PJ2TWh,"")</f>
        <v>0</v>
      </c>
      <c r="L548" s="51">
        <f>IFERROR(SUMIFS(Infrastructure[2030],
Infrastructure[[variable_type]:[variable_type]],"H2_outflow",
Infrastructure[[cluster]:[cluster]],$B$546,
Infrastructure[[pipe_cluster_end]:[pipe_cluster_end]],$B548)*PJ2TWh,"")</f>
        <v>0</v>
      </c>
      <c r="M548" s="51">
        <f>IFERROR(SUMIFS(Infrastructure[2031],
Infrastructure[[variable_type]:[variable_type]],"H2_outflow",
Infrastructure[[cluster]:[cluster]],$B$546,
Infrastructure[[pipe_cluster_end]:[pipe_cluster_end]],$B548)*PJ2TWh,"")</f>
        <v>0</v>
      </c>
      <c r="N548" s="51">
        <f>IFERROR(SUMIFS(Infrastructure[2032],
Infrastructure[[variable_type]:[variable_type]],"H2_outflow",
Infrastructure[[cluster]:[cluster]],$B$546,
Infrastructure[[pipe_cluster_end]:[pipe_cluster_end]],$B548)*PJ2TWh,"")</f>
        <v>0</v>
      </c>
      <c r="O548" s="51">
        <f>IFERROR(SUMIFS(Infrastructure[2033],
Infrastructure[[variable_type]:[variable_type]],"H2_outflow",
Infrastructure[[cluster]:[cluster]],$B$546,
Infrastructure[[pipe_cluster_end]:[pipe_cluster_end]],$B548)*PJ2TWh,"")</f>
        <v>0</v>
      </c>
      <c r="P548" s="51">
        <f>IFERROR(SUMIFS(Infrastructure[2034],
Infrastructure[[variable_type]:[variable_type]],"H2_outflow",
Infrastructure[[cluster]:[cluster]],$B$546,
Infrastructure[[pipe_cluster_end]:[pipe_cluster_end]],$B548)*PJ2TWh,"")</f>
        <v>0</v>
      </c>
      <c r="Q548" s="51">
        <f>IFERROR(SUMIFS(Infrastructure[2035],
Infrastructure[[variable_type]:[variable_type]],"H2_outflow",
Infrastructure[[cluster]:[cluster]],$B$546,
Infrastructure[[pipe_cluster_end]:[pipe_cluster_end]],$B548)*PJ2TWh,"")</f>
        <v>0</v>
      </c>
      <c r="R548" s="51">
        <f>IFERROR(SUMIFS(Infrastructure[2036],
Infrastructure[[variable_type]:[variable_type]],"H2_outflow",
Infrastructure[[cluster]:[cluster]],$B$546,
Infrastructure[[pipe_cluster_end]:[pipe_cluster_end]],$B548)*PJ2TWh,"")</f>
        <v>0</v>
      </c>
      <c r="S548" s="51">
        <f>IFERROR(SUMIFS(Infrastructure[2037],
Infrastructure[[variable_type]:[variable_type]],"H2_outflow",
Infrastructure[[cluster]:[cluster]],$B$546,
Infrastructure[[pipe_cluster_end]:[pipe_cluster_end]],$B548)*PJ2TWh,"")</f>
        <v>0</v>
      </c>
      <c r="T548" s="51">
        <f>IFERROR(SUMIFS(Infrastructure[2038],
Infrastructure[[variable_type]:[variable_type]],"H2_outflow",
Infrastructure[[cluster]:[cluster]],$B$546,
Infrastructure[[pipe_cluster_end]:[pipe_cluster_end]],$B548)*PJ2TWh,"")</f>
        <v>0</v>
      </c>
      <c r="U548" s="51">
        <f>IFERROR(SUMIFS(Infrastructure[2039],
Infrastructure[[variable_type]:[variable_type]],"H2_outflow",
Infrastructure[[cluster]:[cluster]],$B$546,
Infrastructure[[pipe_cluster_end]:[pipe_cluster_end]],$B548)*PJ2TWh,"")</f>
        <v>0</v>
      </c>
      <c r="V548" s="51">
        <f>IFERROR(SUMIFS(Infrastructure[2040],
Infrastructure[[variable_type]:[variable_type]],"H2_outflow",
Infrastructure[[cluster]:[cluster]],$B$546,
Infrastructure[[pipe_cluster_end]:[pipe_cluster_end]],$B548)*PJ2TWh,"")</f>
        <v>0</v>
      </c>
      <c r="W548" s="51">
        <f>IFERROR(SUMIFS(Infrastructure[2041],
Infrastructure[[variable_type]:[variable_type]],"H2_outflow",
Infrastructure[[cluster]:[cluster]],$B$546,
Infrastructure[[pipe_cluster_end]:[pipe_cluster_end]],$B548)*PJ2TWh,"")</f>
        <v>0</v>
      </c>
      <c r="X548" s="51">
        <f>IFERROR(SUMIFS(Infrastructure[2042],
Infrastructure[[variable_type]:[variable_type]],"H2_outflow",
Infrastructure[[cluster]:[cluster]],$B$546,
Infrastructure[[pipe_cluster_end]:[pipe_cluster_end]],$B548)*PJ2TWh,"")</f>
        <v>0</v>
      </c>
      <c r="Y548" s="51">
        <f>IFERROR(SUMIFS(Infrastructure[2043],
Infrastructure[[variable_type]:[variable_type]],"H2_outflow",
Infrastructure[[cluster]:[cluster]],$B$546,
Infrastructure[[pipe_cluster_end]:[pipe_cluster_end]],$B548)*PJ2TWh,"")</f>
        <v>0</v>
      </c>
      <c r="Z548" s="51">
        <f>IFERROR(SUMIFS(Infrastructure[2044],
Infrastructure[[variable_type]:[variable_type]],"H2_outflow",
Infrastructure[[cluster]:[cluster]],$B$546,
Infrastructure[[pipe_cluster_end]:[pipe_cluster_end]],$B548)*PJ2TWh,"")</f>
        <v>0</v>
      </c>
      <c r="AA548" s="51">
        <f>IFERROR(SUMIFS(Infrastructure[2045],
Infrastructure[[variable_type]:[variable_type]],"H2_outflow",
Infrastructure[[cluster]:[cluster]],$B$546,
Infrastructure[[pipe_cluster_end]:[pipe_cluster_end]],$B548)*PJ2TWh,"")</f>
        <v>0</v>
      </c>
      <c r="AB548" s="51">
        <f>IFERROR(SUMIFS(Infrastructure[2046],
Infrastructure[[variable_type]:[variable_type]],"H2_outflow",
Infrastructure[[cluster]:[cluster]],$B$546,
Infrastructure[[pipe_cluster_end]:[pipe_cluster_end]],$B548)*PJ2TWh,"")</f>
        <v>0</v>
      </c>
      <c r="AC548" s="51">
        <f>IFERROR(SUMIFS(Infrastructure[2047],
Infrastructure[[variable_type]:[variable_type]],"H2_outflow",
Infrastructure[[cluster]:[cluster]],$B$546,
Infrastructure[[pipe_cluster_end]:[pipe_cluster_end]],$B548)*PJ2TWh,"")</f>
        <v>0</v>
      </c>
      <c r="AD548" s="51">
        <f>IFERROR(SUMIFS(Infrastructure[2048],
Infrastructure[[variable_type]:[variable_type]],"H2_outflow",
Infrastructure[[cluster]:[cluster]],$B$546,
Infrastructure[[pipe_cluster_end]:[pipe_cluster_end]],$B548)*PJ2TWh,"")</f>
        <v>0</v>
      </c>
      <c r="AE548" s="51">
        <f>IFERROR(SUMIFS(Infrastructure[2049],
Infrastructure[[variable_type]:[variable_type]],"H2_outflow",
Infrastructure[[cluster]:[cluster]],$B$546,
Infrastructure[[pipe_cluster_end]:[pipe_cluster_end]],$B548)*PJ2TWh,"")</f>
        <v>0</v>
      </c>
      <c r="AF548" s="51">
        <f>IFERROR(SUMIFS(Infrastructure[2050],
Infrastructure[[variable_type]:[variable_type]],"H2_outflow",
Infrastructure[[cluster]:[cluster]],$B$546,
Infrastructure[[pipe_cluster_end]:[pipe_cluster_end]],$B548)*PJ2TWh,"")</f>
        <v>0</v>
      </c>
      <c r="AG548" s="51">
        <f>IFERROR(SUMIFS(Infrastructure[2051],
Infrastructure[[variable_type]:[variable_type]],"H2_outflow",
Infrastructure[[cluster]:[cluster]],$B$546,
Infrastructure[[pipe_cluster_end]:[pipe_cluster_end]],$B548)*PJ2TWh,"")</f>
        <v>0</v>
      </c>
    </row>
    <row r="549" spans="2:33" x14ac:dyDescent="0.45">
      <c r="B549" s="24" t="s">
        <v>71</v>
      </c>
      <c r="C549" s="51">
        <f>IFERROR(SUMIFS(Infrastructure[2021],
Infrastructure[[variable_type]:[variable_type]],"H2_outflow",
Infrastructure[[cluster]:[cluster]],$B$546,
Infrastructure[[pipe_cluster_end]:[pipe_cluster_end]],$B549)*PJ2TWh,"")</f>
        <v>0</v>
      </c>
      <c r="D549" s="51">
        <f>IFERROR(SUMIFS(Infrastructure[2022],
Infrastructure[[variable_type]:[variable_type]],"H2_outflow",
Infrastructure[[cluster]:[cluster]],$B$546,
Infrastructure[[pipe_cluster_end]:[pipe_cluster_end]],$B549)*PJ2TWh,"")</f>
        <v>0</v>
      </c>
      <c r="E549" s="51">
        <f>IFERROR(SUMIFS(Infrastructure[2023],
Infrastructure[[variable_type]:[variable_type]],"H2_outflow",
Infrastructure[[cluster]:[cluster]],$B$546,
Infrastructure[[pipe_cluster_end]:[pipe_cluster_end]],$B549)*PJ2TWh,"")</f>
        <v>0</v>
      </c>
      <c r="F549" s="51">
        <f>IFERROR(SUMIFS(Infrastructure[2024],
Infrastructure[[variable_type]:[variable_type]],"H2_outflow",
Infrastructure[[cluster]:[cluster]],$B$546,
Infrastructure[[pipe_cluster_end]:[pipe_cluster_end]],$B549)*PJ2TWh,"")</f>
        <v>0</v>
      </c>
      <c r="G549" s="51">
        <f>IFERROR(SUMIFS(Infrastructure[2025],
Infrastructure[[variable_type]:[variable_type]],"H2_outflow",
Infrastructure[[cluster]:[cluster]],$B$546,
Infrastructure[[pipe_cluster_end]:[pipe_cluster_end]],$B549)*PJ2TWh,"")</f>
        <v>0</v>
      </c>
      <c r="H549" s="51">
        <f>IFERROR(SUMIFS(Infrastructure[2026],
Infrastructure[[variable_type]:[variable_type]],"H2_outflow",
Infrastructure[[cluster]:[cluster]],$B$546,
Infrastructure[[pipe_cluster_end]:[pipe_cluster_end]],$B549)*PJ2TWh,"")</f>
        <v>0</v>
      </c>
      <c r="I549" s="51">
        <f>IFERROR(SUMIFS(Infrastructure[2027],
Infrastructure[[variable_type]:[variable_type]],"H2_outflow",
Infrastructure[[cluster]:[cluster]],$B$546,
Infrastructure[[pipe_cluster_end]:[pipe_cluster_end]],$B549)*PJ2TWh,"")</f>
        <v>0</v>
      </c>
      <c r="J549" s="51">
        <f>IFERROR(SUMIFS(Infrastructure[2028],
Infrastructure[[variable_type]:[variable_type]],"H2_outflow",
Infrastructure[[cluster]:[cluster]],$B$546,
Infrastructure[[pipe_cluster_end]:[pipe_cluster_end]],$B549)*PJ2TWh,"")</f>
        <v>0</v>
      </c>
      <c r="K549" s="51">
        <f>IFERROR(SUMIFS(Infrastructure[2029],
Infrastructure[[variable_type]:[variable_type]],"H2_outflow",
Infrastructure[[cluster]:[cluster]],$B$546,
Infrastructure[[pipe_cluster_end]:[pipe_cluster_end]],$B549)*PJ2TWh,"")</f>
        <v>0</v>
      </c>
      <c r="L549" s="51">
        <f>IFERROR(SUMIFS(Infrastructure[2030],
Infrastructure[[variable_type]:[variable_type]],"H2_outflow",
Infrastructure[[cluster]:[cluster]],$B$546,
Infrastructure[[pipe_cluster_end]:[pipe_cluster_end]],$B549)*PJ2TWh,"")</f>
        <v>0</v>
      </c>
      <c r="M549" s="51">
        <f>IFERROR(SUMIFS(Infrastructure[2031],
Infrastructure[[variable_type]:[variable_type]],"H2_outflow",
Infrastructure[[cluster]:[cluster]],$B$546,
Infrastructure[[pipe_cluster_end]:[pipe_cluster_end]],$B549)*PJ2TWh,"")</f>
        <v>0</v>
      </c>
      <c r="N549" s="51">
        <f>IFERROR(SUMIFS(Infrastructure[2032],
Infrastructure[[variable_type]:[variable_type]],"H2_outflow",
Infrastructure[[cluster]:[cluster]],$B$546,
Infrastructure[[pipe_cluster_end]:[pipe_cluster_end]],$B549)*PJ2TWh,"")</f>
        <v>0</v>
      </c>
      <c r="O549" s="51">
        <f>IFERROR(SUMIFS(Infrastructure[2033],
Infrastructure[[variable_type]:[variable_type]],"H2_outflow",
Infrastructure[[cluster]:[cluster]],$B$546,
Infrastructure[[pipe_cluster_end]:[pipe_cluster_end]],$B549)*PJ2TWh,"")</f>
        <v>0</v>
      </c>
      <c r="P549" s="51">
        <f>IFERROR(SUMIFS(Infrastructure[2034],
Infrastructure[[variable_type]:[variable_type]],"H2_outflow",
Infrastructure[[cluster]:[cluster]],$B$546,
Infrastructure[[pipe_cluster_end]:[pipe_cluster_end]],$B549)*PJ2TWh,"")</f>
        <v>0</v>
      </c>
      <c r="Q549" s="51">
        <f>IFERROR(SUMIFS(Infrastructure[2035],
Infrastructure[[variable_type]:[variable_type]],"H2_outflow",
Infrastructure[[cluster]:[cluster]],$B$546,
Infrastructure[[pipe_cluster_end]:[pipe_cluster_end]],$B549)*PJ2TWh,"")</f>
        <v>0</v>
      </c>
      <c r="R549" s="51">
        <f>IFERROR(SUMIFS(Infrastructure[2036],
Infrastructure[[variable_type]:[variable_type]],"H2_outflow",
Infrastructure[[cluster]:[cluster]],$B$546,
Infrastructure[[pipe_cluster_end]:[pipe_cluster_end]],$B549)*PJ2TWh,"")</f>
        <v>0</v>
      </c>
      <c r="S549" s="51">
        <f>IFERROR(SUMIFS(Infrastructure[2037],
Infrastructure[[variable_type]:[variable_type]],"H2_outflow",
Infrastructure[[cluster]:[cluster]],$B$546,
Infrastructure[[pipe_cluster_end]:[pipe_cluster_end]],$B549)*PJ2TWh,"")</f>
        <v>0</v>
      </c>
      <c r="T549" s="51">
        <f>IFERROR(SUMIFS(Infrastructure[2038],
Infrastructure[[variable_type]:[variable_type]],"H2_outflow",
Infrastructure[[cluster]:[cluster]],$B$546,
Infrastructure[[pipe_cluster_end]:[pipe_cluster_end]],$B549)*PJ2TWh,"")</f>
        <v>0</v>
      </c>
      <c r="U549" s="51">
        <f>IFERROR(SUMIFS(Infrastructure[2039],
Infrastructure[[variable_type]:[variable_type]],"H2_outflow",
Infrastructure[[cluster]:[cluster]],$B$546,
Infrastructure[[pipe_cluster_end]:[pipe_cluster_end]],$B549)*PJ2TWh,"")</f>
        <v>0</v>
      </c>
      <c r="V549" s="51">
        <f>IFERROR(SUMIFS(Infrastructure[2040],
Infrastructure[[variable_type]:[variable_type]],"H2_outflow",
Infrastructure[[cluster]:[cluster]],$B$546,
Infrastructure[[pipe_cluster_end]:[pipe_cluster_end]],$B549)*PJ2TWh,"")</f>
        <v>0</v>
      </c>
      <c r="W549" s="51">
        <f>IFERROR(SUMIFS(Infrastructure[2041],
Infrastructure[[variable_type]:[variable_type]],"H2_outflow",
Infrastructure[[cluster]:[cluster]],$B$546,
Infrastructure[[pipe_cluster_end]:[pipe_cluster_end]],$B549)*PJ2TWh,"")</f>
        <v>0</v>
      </c>
      <c r="X549" s="51">
        <f>IFERROR(SUMIFS(Infrastructure[2042],
Infrastructure[[variable_type]:[variable_type]],"H2_outflow",
Infrastructure[[cluster]:[cluster]],$B$546,
Infrastructure[[pipe_cluster_end]:[pipe_cluster_end]],$B549)*PJ2TWh,"")</f>
        <v>0</v>
      </c>
      <c r="Y549" s="51">
        <f>IFERROR(SUMIFS(Infrastructure[2043],
Infrastructure[[variable_type]:[variable_type]],"H2_outflow",
Infrastructure[[cluster]:[cluster]],$B$546,
Infrastructure[[pipe_cluster_end]:[pipe_cluster_end]],$B549)*PJ2TWh,"")</f>
        <v>0</v>
      </c>
      <c r="Z549" s="51">
        <f>IFERROR(SUMIFS(Infrastructure[2044],
Infrastructure[[variable_type]:[variable_type]],"H2_outflow",
Infrastructure[[cluster]:[cluster]],$B$546,
Infrastructure[[pipe_cluster_end]:[pipe_cluster_end]],$B549)*PJ2TWh,"")</f>
        <v>0</v>
      </c>
      <c r="AA549" s="51">
        <f>IFERROR(SUMIFS(Infrastructure[2045],
Infrastructure[[variable_type]:[variable_type]],"H2_outflow",
Infrastructure[[cluster]:[cluster]],$B$546,
Infrastructure[[pipe_cluster_end]:[pipe_cluster_end]],$B549)*PJ2TWh,"")</f>
        <v>0</v>
      </c>
      <c r="AB549" s="51">
        <f>IFERROR(SUMIFS(Infrastructure[2046],
Infrastructure[[variable_type]:[variable_type]],"H2_outflow",
Infrastructure[[cluster]:[cluster]],$B$546,
Infrastructure[[pipe_cluster_end]:[pipe_cluster_end]],$B549)*PJ2TWh,"")</f>
        <v>0</v>
      </c>
      <c r="AC549" s="51">
        <f>IFERROR(SUMIFS(Infrastructure[2047],
Infrastructure[[variable_type]:[variable_type]],"H2_outflow",
Infrastructure[[cluster]:[cluster]],$B$546,
Infrastructure[[pipe_cluster_end]:[pipe_cluster_end]],$B549)*PJ2TWh,"")</f>
        <v>0</v>
      </c>
      <c r="AD549" s="51">
        <f>IFERROR(SUMIFS(Infrastructure[2048],
Infrastructure[[variable_type]:[variable_type]],"H2_outflow",
Infrastructure[[cluster]:[cluster]],$B$546,
Infrastructure[[pipe_cluster_end]:[pipe_cluster_end]],$B549)*PJ2TWh,"")</f>
        <v>0</v>
      </c>
      <c r="AE549" s="51">
        <f>IFERROR(SUMIFS(Infrastructure[2049],
Infrastructure[[variable_type]:[variable_type]],"H2_outflow",
Infrastructure[[cluster]:[cluster]],$B$546,
Infrastructure[[pipe_cluster_end]:[pipe_cluster_end]],$B549)*PJ2TWh,"")</f>
        <v>0</v>
      </c>
      <c r="AF549" s="51">
        <f>IFERROR(SUMIFS(Infrastructure[2050],
Infrastructure[[variable_type]:[variable_type]],"H2_outflow",
Infrastructure[[cluster]:[cluster]],$B$546,
Infrastructure[[pipe_cluster_end]:[pipe_cluster_end]],$B549)*PJ2TWh,"")</f>
        <v>0</v>
      </c>
      <c r="AG549" s="51">
        <f>IFERROR(SUMIFS(Infrastructure[2051],
Infrastructure[[variable_type]:[variable_type]],"H2_outflow",
Infrastructure[[cluster]:[cluster]],$B$546,
Infrastructure[[pipe_cluster_end]:[pipe_cluster_end]],$B549)*PJ2TWh,"")</f>
        <v>0</v>
      </c>
    </row>
    <row r="550" spans="2:33" x14ac:dyDescent="0.45">
      <c r="B550" s="24" t="s">
        <v>72</v>
      </c>
      <c r="C550" s="51">
        <f>IFERROR(SUMIFS(Infrastructure[2021],
Infrastructure[[variable_type]:[variable_type]],"H2_outflow",
Infrastructure[[cluster]:[cluster]],$B$546,
Infrastructure[[pipe_cluster_end]:[pipe_cluster_end]],$B550)*PJ2TWh,"")</f>
        <v>0</v>
      </c>
      <c r="D550" s="51">
        <f>IFERROR(SUMIFS(Infrastructure[2022],
Infrastructure[[variable_type]:[variable_type]],"H2_outflow",
Infrastructure[[cluster]:[cluster]],$B$546,
Infrastructure[[pipe_cluster_end]:[pipe_cluster_end]],$B550)*PJ2TWh,"")</f>
        <v>0</v>
      </c>
      <c r="E550" s="51">
        <f>IFERROR(SUMIFS(Infrastructure[2023],
Infrastructure[[variable_type]:[variable_type]],"H2_outflow",
Infrastructure[[cluster]:[cluster]],$B$546,
Infrastructure[[pipe_cluster_end]:[pipe_cluster_end]],$B550)*PJ2TWh,"")</f>
        <v>0</v>
      </c>
      <c r="F550" s="51">
        <f>IFERROR(SUMIFS(Infrastructure[2024],
Infrastructure[[variable_type]:[variable_type]],"H2_outflow",
Infrastructure[[cluster]:[cluster]],$B$546,
Infrastructure[[pipe_cluster_end]:[pipe_cluster_end]],$B550)*PJ2TWh,"")</f>
        <v>0</v>
      </c>
      <c r="G550" s="51">
        <f>IFERROR(SUMIFS(Infrastructure[2025],
Infrastructure[[variable_type]:[variable_type]],"H2_outflow",
Infrastructure[[cluster]:[cluster]],$B$546,
Infrastructure[[pipe_cluster_end]:[pipe_cluster_end]],$B550)*PJ2TWh,"")</f>
        <v>0</v>
      </c>
      <c r="H550" s="51">
        <f>IFERROR(SUMIFS(Infrastructure[2026],
Infrastructure[[variable_type]:[variable_type]],"H2_outflow",
Infrastructure[[cluster]:[cluster]],$B$546,
Infrastructure[[pipe_cluster_end]:[pipe_cluster_end]],$B550)*PJ2TWh,"")</f>
        <v>0</v>
      </c>
      <c r="I550" s="51">
        <f>IFERROR(SUMIFS(Infrastructure[2027],
Infrastructure[[variable_type]:[variable_type]],"H2_outflow",
Infrastructure[[cluster]:[cluster]],$B$546,
Infrastructure[[pipe_cluster_end]:[pipe_cluster_end]],$B550)*PJ2TWh,"")</f>
        <v>0</v>
      </c>
      <c r="J550" s="51">
        <f>IFERROR(SUMIFS(Infrastructure[2028],
Infrastructure[[variable_type]:[variable_type]],"H2_outflow",
Infrastructure[[cluster]:[cluster]],$B$546,
Infrastructure[[pipe_cluster_end]:[pipe_cluster_end]],$B550)*PJ2TWh,"")</f>
        <v>0</v>
      </c>
      <c r="K550" s="51">
        <f>IFERROR(SUMIFS(Infrastructure[2029],
Infrastructure[[variable_type]:[variable_type]],"H2_outflow",
Infrastructure[[cluster]:[cluster]],$B$546,
Infrastructure[[pipe_cluster_end]:[pipe_cluster_end]],$B550)*PJ2TWh,"")</f>
        <v>0</v>
      </c>
      <c r="L550" s="51">
        <f>IFERROR(SUMIFS(Infrastructure[2030],
Infrastructure[[variable_type]:[variable_type]],"H2_outflow",
Infrastructure[[cluster]:[cluster]],$B$546,
Infrastructure[[pipe_cluster_end]:[pipe_cluster_end]],$B550)*PJ2TWh,"")</f>
        <v>0</v>
      </c>
      <c r="M550" s="51">
        <f>IFERROR(SUMIFS(Infrastructure[2031],
Infrastructure[[variable_type]:[variable_type]],"H2_outflow",
Infrastructure[[cluster]:[cluster]],$B$546,
Infrastructure[[pipe_cluster_end]:[pipe_cluster_end]],$B550)*PJ2TWh,"")</f>
        <v>0</v>
      </c>
      <c r="N550" s="51">
        <f>IFERROR(SUMIFS(Infrastructure[2032],
Infrastructure[[variable_type]:[variable_type]],"H2_outflow",
Infrastructure[[cluster]:[cluster]],$B$546,
Infrastructure[[pipe_cluster_end]:[pipe_cluster_end]],$B550)*PJ2TWh,"")</f>
        <v>0</v>
      </c>
      <c r="O550" s="51">
        <f>IFERROR(SUMIFS(Infrastructure[2033],
Infrastructure[[variable_type]:[variable_type]],"H2_outflow",
Infrastructure[[cluster]:[cluster]],$B$546,
Infrastructure[[pipe_cluster_end]:[pipe_cluster_end]],$B550)*PJ2TWh,"")</f>
        <v>0</v>
      </c>
      <c r="P550" s="51">
        <f>IFERROR(SUMIFS(Infrastructure[2034],
Infrastructure[[variable_type]:[variable_type]],"H2_outflow",
Infrastructure[[cluster]:[cluster]],$B$546,
Infrastructure[[pipe_cluster_end]:[pipe_cluster_end]],$B550)*PJ2TWh,"")</f>
        <v>0</v>
      </c>
      <c r="Q550" s="51">
        <f>IFERROR(SUMIFS(Infrastructure[2035],
Infrastructure[[variable_type]:[variable_type]],"H2_outflow",
Infrastructure[[cluster]:[cluster]],$B$546,
Infrastructure[[pipe_cluster_end]:[pipe_cluster_end]],$B550)*PJ2TWh,"")</f>
        <v>0</v>
      </c>
      <c r="R550" s="51">
        <f>IFERROR(SUMIFS(Infrastructure[2036],
Infrastructure[[variable_type]:[variable_type]],"H2_outflow",
Infrastructure[[cluster]:[cluster]],$B$546,
Infrastructure[[pipe_cluster_end]:[pipe_cluster_end]],$B550)*PJ2TWh,"")</f>
        <v>0</v>
      </c>
      <c r="S550" s="51">
        <f>IFERROR(SUMIFS(Infrastructure[2037],
Infrastructure[[variable_type]:[variable_type]],"H2_outflow",
Infrastructure[[cluster]:[cluster]],$B$546,
Infrastructure[[pipe_cluster_end]:[pipe_cluster_end]],$B550)*PJ2TWh,"")</f>
        <v>0</v>
      </c>
      <c r="T550" s="51">
        <f>IFERROR(SUMIFS(Infrastructure[2038],
Infrastructure[[variable_type]:[variable_type]],"H2_outflow",
Infrastructure[[cluster]:[cluster]],$B$546,
Infrastructure[[pipe_cluster_end]:[pipe_cluster_end]],$B550)*PJ2TWh,"")</f>
        <v>0</v>
      </c>
      <c r="U550" s="51">
        <f>IFERROR(SUMIFS(Infrastructure[2039],
Infrastructure[[variable_type]:[variable_type]],"H2_outflow",
Infrastructure[[cluster]:[cluster]],$B$546,
Infrastructure[[pipe_cluster_end]:[pipe_cluster_end]],$B550)*PJ2TWh,"")</f>
        <v>0</v>
      </c>
      <c r="V550" s="51">
        <f>IFERROR(SUMIFS(Infrastructure[2040],
Infrastructure[[variable_type]:[variable_type]],"H2_outflow",
Infrastructure[[cluster]:[cluster]],$B$546,
Infrastructure[[pipe_cluster_end]:[pipe_cluster_end]],$B550)*PJ2TWh,"")</f>
        <v>0</v>
      </c>
      <c r="W550" s="51">
        <f>IFERROR(SUMIFS(Infrastructure[2041],
Infrastructure[[variable_type]:[variable_type]],"H2_outflow",
Infrastructure[[cluster]:[cluster]],$B$546,
Infrastructure[[pipe_cluster_end]:[pipe_cluster_end]],$B550)*PJ2TWh,"")</f>
        <v>0</v>
      </c>
      <c r="X550" s="51">
        <f>IFERROR(SUMIFS(Infrastructure[2042],
Infrastructure[[variable_type]:[variable_type]],"H2_outflow",
Infrastructure[[cluster]:[cluster]],$B$546,
Infrastructure[[pipe_cluster_end]:[pipe_cluster_end]],$B550)*PJ2TWh,"")</f>
        <v>0</v>
      </c>
      <c r="Y550" s="51">
        <f>IFERROR(SUMIFS(Infrastructure[2043],
Infrastructure[[variable_type]:[variable_type]],"H2_outflow",
Infrastructure[[cluster]:[cluster]],$B$546,
Infrastructure[[pipe_cluster_end]:[pipe_cluster_end]],$B550)*PJ2TWh,"")</f>
        <v>0</v>
      </c>
      <c r="Z550" s="51">
        <f>IFERROR(SUMIFS(Infrastructure[2044],
Infrastructure[[variable_type]:[variable_type]],"H2_outflow",
Infrastructure[[cluster]:[cluster]],$B$546,
Infrastructure[[pipe_cluster_end]:[pipe_cluster_end]],$B550)*PJ2TWh,"")</f>
        <v>0</v>
      </c>
      <c r="AA550" s="51">
        <f>IFERROR(SUMIFS(Infrastructure[2045],
Infrastructure[[variable_type]:[variable_type]],"H2_outflow",
Infrastructure[[cluster]:[cluster]],$B$546,
Infrastructure[[pipe_cluster_end]:[pipe_cluster_end]],$B550)*PJ2TWh,"")</f>
        <v>0</v>
      </c>
      <c r="AB550" s="51">
        <f>IFERROR(SUMIFS(Infrastructure[2046],
Infrastructure[[variable_type]:[variable_type]],"H2_outflow",
Infrastructure[[cluster]:[cluster]],$B$546,
Infrastructure[[pipe_cluster_end]:[pipe_cluster_end]],$B550)*PJ2TWh,"")</f>
        <v>0</v>
      </c>
      <c r="AC550" s="51">
        <f>IFERROR(SUMIFS(Infrastructure[2047],
Infrastructure[[variable_type]:[variable_type]],"H2_outflow",
Infrastructure[[cluster]:[cluster]],$B$546,
Infrastructure[[pipe_cluster_end]:[pipe_cluster_end]],$B550)*PJ2TWh,"")</f>
        <v>0</v>
      </c>
      <c r="AD550" s="51">
        <f>IFERROR(SUMIFS(Infrastructure[2048],
Infrastructure[[variable_type]:[variable_type]],"H2_outflow",
Infrastructure[[cluster]:[cluster]],$B$546,
Infrastructure[[pipe_cluster_end]:[pipe_cluster_end]],$B550)*PJ2TWh,"")</f>
        <v>0</v>
      </c>
      <c r="AE550" s="51">
        <f>IFERROR(SUMIFS(Infrastructure[2049],
Infrastructure[[variable_type]:[variable_type]],"H2_outflow",
Infrastructure[[cluster]:[cluster]],$B$546,
Infrastructure[[pipe_cluster_end]:[pipe_cluster_end]],$B550)*PJ2TWh,"")</f>
        <v>0</v>
      </c>
      <c r="AF550" s="51">
        <f>IFERROR(SUMIFS(Infrastructure[2050],
Infrastructure[[variable_type]:[variable_type]],"H2_outflow",
Infrastructure[[cluster]:[cluster]],$B$546,
Infrastructure[[pipe_cluster_end]:[pipe_cluster_end]],$B550)*PJ2TWh,"")</f>
        <v>0</v>
      </c>
      <c r="AG550" s="51">
        <f>IFERROR(SUMIFS(Infrastructure[2051],
Infrastructure[[variable_type]:[variable_type]],"H2_outflow",
Infrastructure[[cluster]:[cluster]],$B$546,
Infrastructure[[pipe_cluster_end]:[pipe_cluster_end]],$B550)*PJ2TWh,"")</f>
        <v>0</v>
      </c>
    </row>
    <row r="551" spans="2:33" x14ac:dyDescent="0.45">
      <c r="B551" s="24" t="s">
        <v>73</v>
      </c>
      <c r="C551" s="51">
        <f>IFERROR(SUMIFS(Infrastructure[2021],
Infrastructure[[variable_type]:[variable_type]],"H2_outflow",
Infrastructure[[cluster]:[cluster]],$B$546,
Infrastructure[[pipe_cluster_end]:[pipe_cluster_end]],$B551)*PJ2TWh,"")</f>
        <v>0</v>
      </c>
      <c r="D551" s="51">
        <f>IFERROR(SUMIFS(Infrastructure[2022],
Infrastructure[[variable_type]:[variable_type]],"H2_outflow",
Infrastructure[[cluster]:[cluster]],$B$546,
Infrastructure[[pipe_cluster_end]:[pipe_cluster_end]],$B551)*PJ2TWh,"")</f>
        <v>0</v>
      </c>
      <c r="E551" s="51">
        <f>IFERROR(SUMIFS(Infrastructure[2023],
Infrastructure[[variable_type]:[variable_type]],"H2_outflow",
Infrastructure[[cluster]:[cluster]],$B$546,
Infrastructure[[pipe_cluster_end]:[pipe_cluster_end]],$B551)*PJ2TWh,"")</f>
        <v>0</v>
      </c>
      <c r="F551" s="51">
        <f>IFERROR(SUMIFS(Infrastructure[2024],
Infrastructure[[variable_type]:[variable_type]],"H2_outflow",
Infrastructure[[cluster]:[cluster]],$B$546,
Infrastructure[[pipe_cluster_end]:[pipe_cluster_end]],$B551)*PJ2TWh,"")</f>
        <v>0</v>
      </c>
      <c r="G551" s="51">
        <f>IFERROR(SUMIFS(Infrastructure[2025],
Infrastructure[[variable_type]:[variable_type]],"H2_outflow",
Infrastructure[[cluster]:[cluster]],$B$546,
Infrastructure[[pipe_cluster_end]:[pipe_cluster_end]],$B551)*PJ2TWh,"")</f>
        <v>0</v>
      </c>
      <c r="H551" s="51">
        <f>IFERROR(SUMIFS(Infrastructure[2026],
Infrastructure[[variable_type]:[variable_type]],"H2_outflow",
Infrastructure[[cluster]:[cluster]],$B$546,
Infrastructure[[pipe_cluster_end]:[pipe_cluster_end]],$B551)*PJ2TWh,"")</f>
        <v>0</v>
      </c>
      <c r="I551" s="51">
        <f>IFERROR(SUMIFS(Infrastructure[2027],
Infrastructure[[variable_type]:[variable_type]],"H2_outflow",
Infrastructure[[cluster]:[cluster]],$B$546,
Infrastructure[[pipe_cluster_end]:[pipe_cluster_end]],$B551)*PJ2TWh,"")</f>
        <v>0</v>
      </c>
      <c r="J551" s="51">
        <f>IFERROR(SUMIFS(Infrastructure[2028],
Infrastructure[[variable_type]:[variable_type]],"H2_outflow",
Infrastructure[[cluster]:[cluster]],$B$546,
Infrastructure[[pipe_cluster_end]:[pipe_cluster_end]],$B551)*PJ2TWh,"")</f>
        <v>0</v>
      </c>
      <c r="K551" s="51">
        <f>IFERROR(SUMIFS(Infrastructure[2029],
Infrastructure[[variable_type]:[variable_type]],"H2_outflow",
Infrastructure[[cluster]:[cluster]],$B$546,
Infrastructure[[pipe_cluster_end]:[pipe_cluster_end]],$B551)*PJ2TWh,"")</f>
        <v>0</v>
      </c>
      <c r="L551" s="51">
        <f>IFERROR(SUMIFS(Infrastructure[2030],
Infrastructure[[variable_type]:[variable_type]],"H2_outflow",
Infrastructure[[cluster]:[cluster]],$B$546,
Infrastructure[[pipe_cluster_end]:[pipe_cluster_end]],$B551)*PJ2TWh,"")</f>
        <v>0</v>
      </c>
      <c r="M551" s="51">
        <f>IFERROR(SUMIFS(Infrastructure[2031],
Infrastructure[[variable_type]:[variable_type]],"H2_outflow",
Infrastructure[[cluster]:[cluster]],$B$546,
Infrastructure[[pipe_cluster_end]:[pipe_cluster_end]],$B551)*PJ2TWh,"")</f>
        <v>0</v>
      </c>
      <c r="N551" s="51">
        <f>IFERROR(SUMIFS(Infrastructure[2032],
Infrastructure[[variable_type]:[variable_type]],"H2_outflow",
Infrastructure[[cluster]:[cluster]],$B$546,
Infrastructure[[pipe_cluster_end]:[pipe_cluster_end]],$B551)*PJ2TWh,"")</f>
        <v>0</v>
      </c>
      <c r="O551" s="51">
        <f>IFERROR(SUMIFS(Infrastructure[2033],
Infrastructure[[variable_type]:[variable_type]],"H2_outflow",
Infrastructure[[cluster]:[cluster]],$B$546,
Infrastructure[[pipe_cluster_end]:[pipe_cluster_end]],$B551)*PJ2TWh,"")</f>
        <v>0</v>
      </c>
      <c r="P551" s="51">
        <f>IFERROR(SUMIFS(Infrastructure[2034],
Infrastructure[[variable_type]:[variable_type]],"H2_outflow",
Infrastructure[[cluster]:[cluster]],$B$546,
Infrastructure[[pipe_cluster_end]:[pipe_cluster_end]],$B551)*PJ2TWh,"")</f>
        <v>0</v>
      </c>
      <c r="Q551" s="51">
        <f>IFERROR(SUMIFS(Infrastructure[2035],
Infrastructure[[variable_type]:[variable_type]],"H2_outflow",
Infrastructure[[cluster]:[cluster]],$B$546,
Infrastructure[[pipe_cluster_end]:[pipe_cluster_end]],$B551)*PJ2TWh,"")</f>
        <v>0</v>
      </c>
      <c r="R551" s="51">
        <f>IFERROR(SUMIFS(Infrastructure[2036],
Infrastructure[[variable_type]:[variable_type]],"H2_outflow",
Infrastructure[[cluster]:[cluster]],$B$546,
Infrastructure[[pipe_cluster_end]:[pipe_cluster_end]],$B551)*PJ2TWh,"")</f>
        <v>0</v>
      </c>
      <c r="S551" s="51">
        <f>IFERROR(SUMIFS(Infrastructure[2037],
Infrastructure[[variable_type]:[variable_type]],"H2_outflow",
Infrastructure[[cluster]:[cluster]],$B$546,
Infrastructure[[pipe_cluster_end]:[pipe_cluster_end]],$B551)*PJ2TWh,"")</f>
        <v>0</v>
      </c>
      <c r="T551" s="51">
        <f>IFERROR(SUMIFS(Infrastructure[2038],
Infrastructure[[variable_type]:[variable_type]],"H2_outflow",
Infrastructure[[cluster]:[cluster]],$B$546,
Infrastructure[[pipe_cluster_end]:[pipe_cluster_end]],$B551)*PJ2TWh,"")</f>
        <v>0</v>
      </c>
      <c r="U551" s="51">
        <f>IFERROR(SUMIFS(Infrastructure[2039],
Infrastructure[[variable_type]:[variable_type]],"H2_outflow",
Infrastructure[[cluster]:[cluster]],$B$546,
Infrastructure[[pipe_cluster_end]:[pipe_cluster_end]],$B551)*PJ2TWh,"")</f>
        <v>0</v>
      </c>
      <c r="V551" s="51">
        <f>IFERROR(SUMIFS(Infrastructure[2040],
Infrastructure[[variable_type]:[variable_type]],"H2_outflow",
Infrastructure[[cluster]:[cluster]],$B$546,
Infrastructure[[pipe_cluster_end]:[pipe_cluster_end]],$B551)*PJ2TWh,"")</f>
        <v>0</v>
      </c>
      <c r="W551" s="51">
        <f>IFERROR(SUMIFS(Infrastructure[2041],
Infrastructure[[variable_type]:[variable_type]],"H2_outflow",
Infrastructure[[cluster]:[cluster]],$B$546,
Infrastructure[[pipe_cluster_end]:[pipe_cluster_end]],$B551)*PJ2TWh,"")</f>
        <v>0</v>
      </c>
      <c r="X551" s="51">
        <f>IFERROR(SUMIFS(Infrastructure[2042],
Infrastructure[[variable_type]:[variable_type]],"H2_outflow",
Infrastructure[[cluster]:[cluster]],$B$546,
Infrastructure[[pipe_cluster_end]:[pipe_cluster_end]],$B551)*PJ2TWh,"")</f>
        <v>0</v>
      </c>
      <c r="Y551" s="51">
        <f>IFERROR(SUMIFS(Infrastructure[2043],
Infrastructure[[variable_type]:[variable_type]],"H2_outflow",
Infrastructure[[cluster]:[cluster]],$B$546,
Infrastructure[[pipe_cluster_end]:[pipe_cluster_end]],$B551)*PJ2TWh,"")</f>
        <v>0</v>
      </c>
      <c r="Z551" s="51">
        <f>IFERROR(SUMIFS(Infrastructure[2044],
Infrastructure[[variable_type]:[variable_type]],"H2_outflow",
Infrastructure[[cluster]:[cluster]],$B$546,
Infrastructure[[pipe_cluster_end]:[pipe_cluster_end]],$B551)*PJ2TWh,"")</f>
        <v>0</v>
      </c>
      <c r="AA551" s="51">
        <f>IFERROR(SUMIFS(Infrastructure[2045],
Infrastructure[[variable_type]:[variable_type]],"H2_outflow",
Infrastructure[[cluster]:[cluster]],$B$546,
Infrastructure[[pipe_cluster_end]:[pipe_cluster_end]],$B551)*PJ2TWh,"")</f>
        <v>0</v>
      </c>
      <c r="AB551" s="51">
        <f>IFERROR(SUMIFS(Infrastructure[2046],
Infrastructure[[variable_type]:[variable_type]],"H2_outflow",
Infrastructure[[cluster]:[cluster]],$B$546,
Infrastructure[[pipe_cluster_end]:[pipe_cluster_end]],$B551)*PJ2TWh,"")</f>
        <v>0</v>
      </c>
      <c r="AC551" s="51">
        <f>IFERROR(SUMIFS(Infrastructure[2047],
Infrastructure[[variable_type]:[variable_type]],"H2_outflow",
Infrastructure[[cluster]:[cluster]],$B$546,
Infrastructure[[pipe_cluster_end]:[pipe_cluster_end]],$B551)*PJ2TWh,"")</f>
        <v>0</v>
      </c>
      <c r="AD551" s="51">
        <f>IFERROR(SUMIFS(Infrastructure[2048],
Infrastructure[[variable_type]:[variable_type]],"H2_outflow",
Infrastructure[[cluster]:[cluster]],$B$546,
Infrastructure[[pipe_cluster_end]:[pipe_cluster_end]],$B551)*PJ2TWh,"")</f>
        <v>0</v>
      </c>
      <c r="AE551" s="51">
        <f>IFERROR(SUMIFS(Infrastructure[2049],
Infrastructure[[variable_type]:[variable_type]],"H2_outflow",
Infrastructure[[cluster]:[cluster]],$B$546,
Infrastructure[[pipe_cluster_end]:[pipe_cluster_end]],$B551)*PJ2TWh,"")</f>
        <v>0</v>
      </c>
      <c r="AF551" s="51">
        <f>IFERROR(SUMIFS(Infrastructure[2050],
Infrastructure[[variable_type]:[variable_type]],"H2_outflow",
Infrastructure[[cluster]:[cluster]],$B$546,
Infrastructure[[pipe_cluster_end]:[pipe_cluster_end]],$B551)*PJ2TWh,"")</f>
        <v>0</v>
      </c>
      <c r="AG551" s="51">
        <f>IFERROR(SUMIFS(Infrastructure[2051],
Infrastructure[[variable_type]:[variable_type]],"H2_outflow",
Infrastructure[[cluster]:[cluster]],$B$546,
Infrastructure[[pipe_cluster_end]:[pipe_cluster_end]],$B551)*PJ2TWh,"")</f>
        <v>0</v>
      </c>
    </row>
    <row r="552" spans="2:33" x14ac:dyDescent="0.45">
      <c r="B552" s="24" t="s">
        <v>74</v>
      </c>
      <c r="C552" s="51">
        <f>IFERROR(SUMIFS(Infrastructure[2021],
Infrastructure[[variable_type]:[variable_type]],"H2_outflow",
Infrastructure[[cluster]:[cluster]],$B$546,
Infrastructure[[pipe_cluster_end]:[pipe_cluster_end]],$B552)*PJ2TWh,"")</f>
        <v>0</v>
      </c>
      <c r="D552" s="51">
        <f>IFERROR(SUMIFS(Infrastructure[2022],
Infrastructure[[variable_type]:[variable_type]],"H2_outflow",
Infrastructure[[cluster]:[cluster]],$B$546,
Infrastructure[[pipe_cluster_end]:[pipe_cluster_end]],$B552)*PJ2TWh,"")</f>
        <v>0</v>
      </c>
      <c r="E552" s="51">
        <f>IFERROR(SUMIFS(Infrastructure[2023],
Infrastructure[[variable_type]:[variable_type]],"H2_outflow",
Infrastructure[[cluster]:[cluster]],$B$546,
Infrastructure[[pipe_cluster_end]:[pipe_cluster_end]],$B552)*PJ2TWh,"")</f>
        <v>0</v>
      </c>
      <c r="F552" s="51">
        <f>IFERROR(SUMIFS(Infrastructure[2024],
Infrastructure[[variable_type]:[variable_type]],"H2_outflow",
Infrastructure[[cluster]:[cluster]],$B$546,
Infrastructure[[pipe_cluster_end]:[pipe_cluster_end]],$B552)*PJ2TWh,"")</f>
        <v>0</v>
      </c>
      <c r="G552" s="51">
        <f>IFERROR(SUMIFS(Infrastructure[2025],
Infrastructure[[variable_type]:[variable_type]],"H2_outflow",
Infrastructure[[cluster]:[cluster]],$B$546,
Infrastructure[[pipe_cluster_end]:[pipe_cluster_end]],$B552)*PJ2TWh,"")</f>
        <v>0</v>
      </c>
      <c r="H552" s="51">
        <f>IFERROR(SUMIFS(Infrastructure[2026],
Infrastructure[[variable_type]:[variable_type]],"H2_outflow",
Infrastructure[[cluster]:[cluster]],$B$546,
Infrastructure[[pipe_cluster_end]:[pipe_cluster_end]],$B552)*PJ2TWh,"")</f>
        <v>0</v>
      </c>
      <c r="I552" s="51">
        <f>IFERROR(SUMIFS(Infrastructure[2027],
Infrastructure[[variable_type]:[variable_type]],"H2_outflow",
Infrastructure[[cluster]:[cluster]],$B$546,
Infrastructure[[pipe_cluster_end]:[pipe_cluster_end]],$B552)*PJ2TWh,"")</f>
        <v>0</v>
      </c>
      <c r="J552" s="51">
        <f>IFERROR(SUMIFS(Infrastructure[2028],
Infrastructure[[variable_type]:[variable_type]],"H2_outflow",
Infrastructure[[cluster]:[cluster]],$B$546,
Infrastructure[[pipe_cluster_end]:[pipe_cluster_end]],$B552)*PJ2TWh,"")</f>
        <v>0</v>
      </c>
      <c r="K552" s="51">
        <f>IFERROR(SUMIFS(Infrastructure[2029],
Infrastructure[[variable_type]:[variable_type]],"H2_outflow",
Infrastructure[[cluster]:[cluster]],$B$546,
Infrastructure[[pipe_cluster_end]:[pipe_cluster_end]],$B552)*PJ2TWh,"")</f>
        <v>0</v>
      </c>
      <c r="L552" s="51">
        <f>IFERROR(SUMIFS(Infrastructure[2030],
Infrastructure[[variable_type]:[variable_type]],"H2_outflow",
Infrastructure[[cluster]:[cluster]],$B$546,
Infrastructure[[pipe_cluster_end]:[pipe_cluster_end]],$B552)*PJ2TWh,"")</f>
        <v>0</v>
      </c>
      <c r="M552" s="51">
        <f>IFERROR(SUMIFS(Infrastructure[2031],
Infrastructure[[variable_type]:[variable_type]],"H2_outflow",
Infrastructure[[cluster]:[cluster]],$B$546,
Infrastructure[[pipe_cluster_end]:[pipe_cluster_end]],$B552)*PJ2TWh,"")</f>
        <v>0</v>
      </c>
      <c r="N552" s="51">
        <f>IFERROR(SUMIFS(Infrastructure[2032],
Infrastructure[[variable_type]:[variable_type]],"H2_outflow",
Infrastructure[[cluster]:[cluster]],$B$546,
Infrastructure[[pipe_cluster_end]:[pipe_cluster_end]],$B552)*PJ2TWh,"")</f>
        <v>0</v>
      </c>
      <c r="O552" s="51">
        <f>IFERROR(SUMIFS(Infrastructure[2033],
Infrastructure[[variable_type]:[variable_type]],"H2_outflow",
Infrastructure[[cluster]:[cluster]],$B$546,
Infrastructure[[pipe_cluster_end]:[pipe_cluster_end]],$B552)*PJ2TWh,"")</f>
        <v>0</v>
      </c>
      <c r="P552" s="51">
        <f>IFERROR(SUMIFS(Infrastructure[2034],
Infrastructure[[variable_type]:[variable_type]],"H2_outflow",
Infrastructure[[cluster]:[cluster]],$B$546,
Infrastructure[[pipe_cluster_end]:[pipe_cluster_end]],$B552)*PJ2TWh,"")</f>
        <v>0</v>
      </c>
      <c r="Q552" s="51">
        <f>IFERROR(SUMIFS(Infrastructure[2035],
Infrastructure[[variable_type]:[variable_type]],"H2_outflow",
Infrastructure[[cluster]:[cluster]],$B$546,
Infrastructure[[pipe_cluster_end]:[pipe_cluster_end]],$B552)*PJ2TWh,"")</f>
        <v>0</v>
      </c>
      <c r="R552" s="51">
        <f>IFERROR(SUMIFS(Infrastructure[2036],
Infrastructure[[variable_type]:[variable_type]],"H2_outflow",
Infrastructure[[cluster]:[cluster]],$B$546,
Infrastructure[[pipe_cluster_end]:[pipe_cluster_end]],$B552)*PJ2TWh,"")</f>
        <v>0</v>
      </c>
      <c r="S552" s="51">
        <f>IFERROR(SUMIFS(Infrastructure[2037],
Infrastructure[[variable_type]:[variable_type]],"H2_outflow",
Infrastructure[[cluster]:[cluster]],$B$546,
Infrastructure[[pipe_cluster_end]:[pipe_cluster_end]],$B552)*PJ2TWh,"")</f>
        <v>0</v>
      </c>
      <c r="T552" s="51">
        <f>IFERROR(SUMIFS(Infrastructure[2038],
Infrastructure[[variable_type]:[variable_type]],"H2_outflow",
Infrastructure[[cluster]:[cluster]],$B$546,
Infrastructure[[pipe_cluster_end]:[pipe_cluster_end]],$B552)*PJ2TWh,"")</f>
        <v>0</v>
      </c>
      <c r="U552" s="51">
        <f>IFERROR(SUMIFS(Infrastructure[2039],
Infrastructure[[variable_type]:[variable_type]],"H2_outflow",
Infrastructure[[cluster]:[cluster]],$B$546,
Infrastructure[[pipe_cluster_end]:[pipe_cluster_end]],$B552)*PJ2TWh,"")</f>
        <v>0</v>
      </c>
      <c r="V552" s="51">
        <f>IFERROR(SUMIFS(Infrastructure[2040],
Infrastructure[[variable_type]:[variable_type]],"H2_outflow",
Infrastructure[[cluster]:[cluster]],$B$546,
Infrastructure[[pipe_cluster_end]:[pipe_cluster_end]],$B552)*PJ2TWh,"")</f>
        <v>0</v>
      </c>
      <c r="W552" s="51">
        <f>IFERROR(SUMIFS(Infrastructure[2041],
Infrastructure[[variable_type]:[variable_type]],"H2_outflow",
Infrastructure[[cluster]:[cluster]],$B$546,
Infrastructure[[pipe_cluster_end]:[pipe_cluster_end]],$B552)*PJ2TWh,"")</f>
        <v>0</v>
      </c>
      <c r="X552" s="51">
        <f>IFERROR(SUMIFS(Infrastructure[2042],
Infrastructure[[variable_type]:[variable_type]],"H2_outflow",
Infrastructure[[cluster]:[cluster]],$B$546,
Infrastructure[[pipe_cluster_end]:[pipe_cluster_end]],$B552)*PJ2TWh,"")</f>
        <v>0</v>
      </c>
      <c r="Y552" s="51">
        <f>IFERROR(SUMIFS(Infrastructure[2043],
Infrastructure[[variable_type]:[variable_type]],"H2_outflow",
Infrastructure[[cluster]:[cluster]],$B$546,
Infrastructure[[pipe_cluster_end]:[pipe_cluster_end]],$B552)*PJ2TWh,"")</f>
        <v>0</v>
      </c>
      <c r="Z552" s="51">
        <f>IFERROR(SUMIFS(Infrastructure[2044],
Infrastructure[[variable_type]:[variable_type]],"H2_outflow",
Infrastructure[[cluster]:[cluster]],$B$546,
Infrastructure[[pipe_cluster_end]:[pipe_cluster_end]],$B552)*PJ2TWh,"")</f>
        <v>0</v>
      </c>
      <c r="AA552" s="51">
        <f>IFERROR(SUMIFS(Infrastructure[2045],
Infrastructure[[variable_type]:[variable_type]],"H2_outflow",
Infrastructure[[cluster]:[cluster]],$B$546,
Infrastructure[[pipe_cluster_end]:[pipe_cluster_end]],$B552)*PJ2TWh,"")</f>
        <v>0</v>
      </c>
      <c r="AB552" s="51">
        <f>IFERROR(SUMIFS(Infrastructure[2046],
Infrastructure[[variable_type]:[variable_type]],"H2_outflow",
Infrastructure[[cluster]:[cluster]],$B$546,
Infrastructure[[pipe_cluster_end]:[pipe_cluster_end]],$B552)*PJ2TWh,"")</f>
        <v>0</v>
      </c>
      <c r="AC552" s="51">
        <f>IFERROR(SUMIFS(Infrastructure[2047],
Infrastructure[[variable_type]:[variable_type]],"H2_outflow",
Infrastructure[[cluster]:[cluster]],$B$546,
Infrastructure[[pipe_cluster_end]:[pipe_cluster_end]],$B552)*PJ2TWh,"")</f>
        <v>0</v>
      </c>
      <c r="AD552" s="51">
        <f>IFERROR(SUMIFS(Infrastructure[2048],
Infrastructure[[variable_type]:[variable_type]],"H2_outflow",
Infrastructure[[cluster]:[cluster]],$B$546,
Infrastructure[[pipe_cluster_end]:[pipe_cluster_end]],$B552)*PJ2TWh,"")</f>
        <v>0</v>
      </c>
      <c r="AE552" s="51">
        <f>IFERROR(SUMIFS(Infrastructure[2049],
Infrastructure[[variable_type]:[variable_type]],"H2_outflow",
Infrastructure[[cluster]:[cluster]],$B$546,
Infrastructure[[pipe_cluster_end]:[pipe_cluster_end]],$B552)*PJ2TWh,"")</f>
        <v>0</v>
      </c>
      <c r="AF552" s="51">
        <f>IFERROR(SUMIFS(Infrastructure[2050],
Infrastructure[[variable_type]:[variable_type]],"H2_outflow",
Infrastructure[[cluster]:[cluster]],$B$546,
Infrastructure[[pipe_cluster_end]:[pipe_cluster_end]],$B552)*PJ2TWh,"")</f>
        <v>0</v>
      </c>
      <c r="AG552" s="51">
        <f>IFERROR(SUMIFS(Infrastructure[2051],
Infrastructure[[variable_type]:[variable_type]],"H2_outflow",
Infrastructure[[cluster]:[cluster]],$B$546,
Infrastructure[[pipe_cluster_end]:[pipe_cluster_end]],$B552)*PJ2TWh,"")</f>
        <v>0</v>
      </c>
    </row>
    <row r="553" spans="2:33" x14ac:dyDescent="0.45">
      <c r="B553" s="24" t="s">
        <v>75</v>
      </c>
      <c r="C553" s="51">
        <f>IFERROR(SUMIFS(Infrastructure[2021],
Infrastructure[[variable_type]:[variable_type]],"H2_outflow",
Infrastructure[[cluster]:[cluster]],$B$546,
Infrastructure[[pipe_cluster_end]:[pipe_cluster_end]],$B553)*PJ2TWh,"")</f>
        <v>0</v>
      </c>
      <c r="D553" s="51">
        <f>IFERROR(SUMIFS(Infrastructure[2022],
Infrastructure[[variable_type]:[variable_type]],"H2_outflow",
Infrastructure[[cluster]:[cluster]],$B$546,
Infrastructure[[pipe_cluster_end]:[pipe_cluster_end]],$B553)*PJ2TWh,"")</f>
        <v>0</v>
      </c>
      <c r="E553" s="51">
        <f>IFERROR(SUMIFS(Infrastructure[2023],
Infrastructure[[variable_type]:[variable_type]],"H2_outflow",
Infrastructure[[cluster]:[cluster]],$B$546,
Infrastructure[[pipe_cluster_end]:[pipe_cluster_end]],$B553)*PJ2TWh,"")</f>
        <v>0</v>
      </c>
      <c r="F553" s="51">
        <f>IFERROR(SUMIFS(Infrastructure[2024],
Infrastructure[[variable_type]:[variable_type]],"H2_outflow",
Infrastructure[[cluster]:[cluster]],$B$546,
Infrastructure[[pipe_cluster_end]:[pipe_cluster_end]],$B553)*PJ2TWh,"")</f>
        <v>0</v>
      </c>
      <c r="G553" s="51">
        <f>IFERROR(SUMIFS(Infrastructure[2025],
Infrastructure[[variable_type]:[variable_type]],"H2_outflow",
Infrastructure[[cluster]:[cluster]],$B$546,
Infrastructure[[pipe_cluster_end]:[pipe_cluster_end]],$B553)*PJ2TWh,"")</f>
        <v>0</v>
      </c>
      <c r="H553" s="51">
        <f>IFERROR(SUMIFS(Infrastructure[2026],
Infrastructure[[variable_type]:[variable_type]],"H2_outflow",
Infrastructure[[cluster]:[cluster]],$B$546,
Infrastructure[[pipe_cluster_end]:[pipe_cluster_end]],$B553)*PJ2TWh,"")</f>
        <v>0</v>
      </c>
      <c r="I553" s="51">
        <f>IFERROR(SUMIFS(Infrastructure[2027],
Infrastructure[[variable_type]:[variable_type]],"H2_outflow",
Infrastructure[[cluster]:[cluster]],$B$546,
Infrastructure[[pipe_cluster_end]:[pipe_cluster_end]],$B553)*PJ2TWh,"")</f>
        <v>0</v>
      </c>
      <c r="J553" s="51">
        <f>IFERROR(SUMIFS(Infrastructure[2028],
Infrastructure[[variable_type]:[variable_type]],"H2_outflow",
Infrastructure[[cluster]:[cluster]],$B$546,
Infrastructure[[pipe_cluster_end]:[pipe_cluster_end]],$B553)*PJ2TWh,"")</f>
        <v>0</v>
      </c>
      <c r="K553" s="51">
        <f>IFERROR(SUMIFS(Infrastructure[2029],
Infrastructure[[variable_type]:[variable_type]],"H2_outflow",
Infrastructure[[cluster]:[cluster]],$B$546,
Infrastructure[[pipe_cluster_end]:[pipe_cluster_end]],$B553)*PJ2TWh,"")</f>
        <v>0</v>
      </c>
      <c r="L553" s="51">
        <f>IFERROR(SUMIFS(Infrastructure[2030],
Infrastructure[[variable_type]:[variable_type]],"H2_outflow",
Infrastructure[[cluster]:[cluster]],$B$546,
Infrastructure[[pipe_cluster_end]:[pipe_cluster_end]],$B553)*PJ2TWh,"")</f>
        <v>0</v>
      </c>
      <c r="M553" s="51">
        <f>IFERROR(SUMIFS(Infrastructure[2031],
Infrastructure[[variable_type]:[variable_type]],"H2_outflow",
Infrastructure[[cluster]:[cluster]],$B$546,
Infrastructure[[pipe_cluster_end]:[pipe_cluster_end]],$B553)*PJ2TWh,"")</f>
        <v>0</v>
      </c>
      <c r="N553" s="51">
        <f>IFERROR(SUMIFS(Infrastructure[2032],
Infrastructure[[variable_type]:[variable_type]],"H2_outflow",
Infrastructure[[cluster]:[cluster]],$B$546,
Infrastructure[[pipe_cluster_end]:[pipe_cluster_end]],$B553)*PJ2TWh,"")</f>
        <v>0</v>
      </c>
      <c r="O553" s="51">
        <f>IFERROR(SUMIFS(Infrastructure[2033],
Infrastructure[[variable_type]:[variable_type]],"H2_outflow",
Infrastructure[[cluster]:[cluster]],$B$546,
Infrastructure[[pipe_cluster_end]:[pipe_cluster_end]],$B553)*PJ2TWh,"")</f>
        <v>0</v>
      </c>
      <c r="P553" s="51">
        <f>IFERROR(SUMIFS(Infrastructure[2034],
Infrastructure[[variable_type]:[variable_type]],"H2_outflow",
Infrastructure[[cluster]:[cluster]],$B$546,
Infrastructure[[pipe_cluster_end]:[pipe_cluster_end]],$B553)*PJ2TWh,"")</f>
        <v>0</v>
      </c>
      <c r="Q553" s="51">
        <f>IFERROR(SUMIFS(Infrastructure[2035],
Infrastructure[[variable_type]:[variable_type]],"H2_outflow",
Infrastructure[[cluster]:[cluster]],$B$546,
Infrastructure[[pipe_cluster_end]:[pipe_cluster_end]],$B553)*PJ2TWh,"")</f>
        <v>0</v>
      </c>
      <c r="R553" s="51">
        <f>IFERROR(SUMIFS(Infrastructure[2036],
Infrastructure[[variable_type]:[variable_type]],"H2_outflow",
Infrastructure[[cluster]:[cluster]],$B$546,
Infrastructure[[pipe_cluster_end]:[pipe_cluster_end]],$B553)*PJ2TWh,"")</f>
        <v>0</v>
      </c>
      <c r="S553" s="51">
        <f>IFERROR(SUMIFS(Infrastructure[2037],
Infrastructure[[variable_type]:[variable_type]],"H2_outflow",
Infrastructure[[cluster]:[cluster]],$B$546,
Infrastructure[[pipe_cluster_end]:[pipe_cluster_end]],$B553)*PJ2TWh,"")</f>
        <v>0</v>
      </c>
      <c r="T553" s="51">
        <f>IFERROR(SUMIFS(Infrastructure[2038],
Infrastructure[[variable_type]:[variable_type]],"H2_outflow",
Infrastructure[[cluster]:[cluster]],$B$546,
Infrastructure[[pipe_cluster_end]:[pipe_cluster_end]],$B553)*PJ2TWh,"")</f>
        <v>0</v>
      </c>
      <c r="U553" s="51">
        <f>IFERROR(SUMIFS(Infrastructure[2039],
Infrastructure[[variable_type]:[variable_type]],"H2_outflow",
Infrastructure[[cluster]:[cluster]],$B$546,
Infrastructure[[pipe_cluster_end]:[pipe_cluster_end]],$B553)*PJ2TWh,"")</f>
        <v>0</v>
      </c>
      <c r="V553" s="51">
        <f>IFERROR(SUMIFS(Infrastructure[2040],
Infrastructure[[variable_type]:[variable_type]],"H2_outflow",
Infrastructure[[cluster]:[cluster]],$B$546,
Infrastructure[[pipe_cluster_end]:[pipe_cluster_end]],$B553)*PJ2TWh,"")</f>
        <v>0</v>
      </c>
      <c r="W553" s="51">
        <f>IFERROR(SUMIFS(Infrastructure[2041],
Infrastructure[[variable_type]:[variable_type]],"H2_outflow",
Infrastructure[[cluster]:[cluster]],$B$546,
Infrastructure[[pipe_cluster_end]:[pipe_cluster_end]],$B553)*PJ2TWh,"")</f>
        <v>0</v>
      </c>
      <c r="X553" s="51">
        <f>IFERROR(SUMIFS(Infrastructure[2042],
Infrastructure[[variable_type]:[variable_type]],"H2_outflow",
Infrastructure[[cluster]:[cluster]],$B$546,
Infrastructure[[pipe_cluster_end]:[pipe_cluster_end]],$B553)*PJ2TWh,"")</f>
        <v>0</v>
      </c>
      <c r="Y553" s="51">
        <f>IFERROR(SUMIFS(Infrastructure[2043],
Infrastructure[[variable_type]:[variable_type]],"H2_outflow",
Infrastructure[[cluster]:[cluster]],$B$546,
Infrastructure[[pipe_cluster_end]:[pipe_cluster_end]],$B553)*PJ2TWh,"")</f>
        <v>0</v>
      </c>
      <c r="Z553" s="51">
        <f>IFERROR(SUMIFS(Infrastructure[2044],
Infrastructure[[variable_type]:[variable_type]],"H2_outflow",
Infrastructure[[cluster]:[cluster]],$B$546,
Infrastructure[[pipe_cluster_end]:[pipe_cluster_end]],$B553)*PJ2TWh,"")</f>
        <v>0</v>
      </c>
      <c r="AA553" s="51">
        <f>IFERROR(SUMIFS(Infrastructure[2045],
Infrastructure[[variable_type]:[variable_type]],"H2_outflow",
Infrastructure[[cluster]:[cluster]],$B$546,
Infrastructure[[pipe_cluster_end]:[pipe_cluster_end]],$B553)*PJ2TWh,"")</f>
        <v>0</v>
      </c>
      <c r="AB553" s="51">
        <f>IFERROR(SUMIFS(Infrastructure[2046],
Infrastructure[[variable_type]:[variable_type]],"H2_outflow",
Infrastructure[[cluster]:[cluster]],$B$546,
Infrastructure[[pipe_cluster_end]:[pipe_cluster_end]],$B553)*PJ2TWh,"")</f>
        <v>0</v>
      </c>
      <c r="AC553" s="51">
        <f>IFERROR(SUMIFS(Infrastructure[2047],
Infrastructure[[variable_type]:[variable_type]],"H2_outflow",
Infrastructure[[cluster]:[cluster]],$B$546,
Infrastructure[[pipe_cluster_end]:[pipe_cluster_end]],$B553)*PJ2TWh,"")</f>
        <v>0</v>
      </c>
      <c r="AD553" s="51">
        <f>IFERROR(SUMIFS(Infrastructure[2048],
Infrastructure[[variable_type]:[variable_type]],"H2_outflow",
Infrastructure[[cluster]:[cluster]],$B$546,
Infrastructure[[pipe_cluster_end]:[pipe_cluster_end]],$B553)*PJ2TWh,"")</f>
        <v>0</v>
      </c>
      <c r="AE553" s="51">
        <f>IFERROR(SUMIFS(Infrastructure[2049],
Infrastructure[[variable_type]:[variable_type]],"H2_outflow",
Infrastructure[[cluster]:[cluster]],$B$546,
Infrastructure[[pipe_cluster_end]:[pipe_cluster_end]],$B553)*PJ2TWh,"")</f>
        <v>0</v>
      </c>
      <c r="AF553" s="51">
        <f>IFERROR(SUMIFS(Infrastructure[2050],
Infrastructure[[variable_type]:[variable_type]],"H2_outflow",
Infrastructure[[cluster]:[cluster]],$B$546,
Infrastructure[[pipe_cluster_end]:[pipe_cluster_end]],$B553)*PJ2TWh,"")</f>
        <v>0</v>
      </c>
      <c r="AG553" s="51">
        <f>IFERROR(SUMIFS(Infrastructure[2051],
Infrastructure[[variable_type]:[variable_type]],"H2_outflow",
Infrastructure[[cluster]:[cluster]],$B$546,
Infrastructure[[pipe_cluster_end]:[pipe_cluster_end]],$B553)*PJ2TWh,"")</f>
        <v>0</v>
      </c>
    </row>
    <row r="554" spans="2:33" x14ac:dyDescent="0.45">
      <c r="B554" s="24" t="s">
        <v>76</v>
      </c>
      <c r="C554" s="51">
        <f>IFERROR(SUMIFS(Infrastructure[2021],
Infrastructure[[variable_type]:[variable_type]],"H2_outflow",
Infrastructure[[cluster]:[cluster]],$B$546,
Infrastructure[[pipe_cluster_end]:[pipe_cluster_end]],$B554)*PJ2TWh,"")</f>
        <v>0</v>
      </c>
      <c r="D554" s="51">
        <f>IFERROR(SUMIFS(Infrastructure[2022],
Infrastructure[[variable_type]:[variable_type]],"H2_outflow",
Infrastructure[[cluster]:[cluster]],$B$546,
Infrastructure[[pipe_cluster_end]:[pipe_cluster_end]],$B554)*PJ2TWh,"")</f>
        <v>0</v>
      </c>
      <c r="E554" s="51">
        <f>IFERROR(SUMIFS(Infrastructure[2023],
Infrastructure[[variable_type]:[variable_type]],"H2_outflow",
Infrastructure[[cluster]:[cluster]],$B$546,
Infrastructure[[pipe_cluster_end]:[pipe_cluster_end]],$B554)*PJ2TWh,"")</f>
        <v>0</v>
      </c>
      <c r="F554" s="51">
        <f>IFERROR(SUMIFS(Infrastructure[2024],
Infrastructure[[variable_type]:[variable_type]],"H2_outflow",
Infrastructure[[cluster]:[cluster]],$B$546,
Infrastructure[[pipe_cluster_end]:[pipe_cluster_end]],$B554)*PJ2TWh,"")</f>
        <v>0</v>
      </c>
      <c r="G554" s="51">
        <f>IFERROR(SUMIFS(Infrastructure[2025],
Infrastructure[[variable_type]:[variable_type]],"H2_outflow",
Infrastructure[[cluster]:[cluster]],$B$546,
Infrastructure[[pipe_cluster_end]:[pipe_cluster_end]],$B554)*PJ2TWh,"")</f>
        <v>0</v>
      </c>
      <c r="H554" s="51">
        <f>IFERROR(SUMIFS(Infrastructure[2026],
Infrastructure[[variable_type]:[variable_type]],"H2_outflow",
Infrastructure[[cluster]:[cluster]],$B$546,
Infrastructure[[pipe_cluster_end]:[pipe_cluster_end]],$B554)*PJ2TWh,"")</f>
        <v>0</v>
      </c>
      <c r="I554" s="51">
        <f>IFERROR(SUMIFS(Infrastructure[2027],
Infrastructure[[variable_type]:[variable_type]],"H2_outflow",
Infrastructure[[cluster]:[cluster]],$B$546,
Infrastructure[[pipe_cluster_end]:[pipe_cluster_end]],$B554)*PJ2TWh,"")</f>
        <v>0</v>
      </c>
      <c r="J554" s="51">
        <f>IFERROR(SUMIFS(Infrastructure[2028],
Infrastructure[[variable_type]:[variable_type]],"H2_outflow",
Infrastructure[[cluster]:[cluster]],$B$546,
Infrastructure[[pipe_cluster_end]:[pipe_cluster_end]],$B554)*PJ2TWh,"")</f>
        <v>0</v>
      </c>
      <c r="K554" s="51">
        <f>IFERROR(SUMIFS(Infrastructure[2029],
Infrastructure[[variable_type]:[variable_type]],"H2_outflow",
Infrastructure[[cluster]:[cluster]],$B$546,
Infrastructure[[pipe_cluster_end]:[pipe_cluster_end]],$B554)*PJ2TWh,"")</f>
        <v>0</v>
      </c>
      <c r="L554" s="51">
        <f>IFERROR(SUMIFS(Infrastructure[2030],
Infrastructure[[variable_type]:[variable_type]],"H2_outflow",
Infrastructure[[cluster]:[cluster]],$B$546,
Infrastructure[[pipe_cluster_end]:[pipe_cluster_end]],$B554)*PJ2TWh,"")</f>
        <v>0</v>
      </c>
      <c r="M554" s="51">
        <f>IFERROR(SUMIFS(Infrastructure[2031],
Infrastructure[[variable_type]:[variable_type]],"H2_outflow",
Infrastructure[[cluster]:[cluster]],$B$546,
Infrastructure[[pipe_cluster_end]:[pipe_cluster_end]],$B554)*PJ2TWh,"")</f>
        <v>0</v>
      </c>
      <c r="N554" s="51">
        <f>IFERROR(SUMIFS(Infrastructure[2032],
Infrastructure[[variable_type]:[variable_type]],"H2_outflow",
Infrastructure[[cluster]:[cluster]],$B$546,
Infrastructure[[pipe_cluster_end]:[pipe_cluster_end]],$B554)*PJ2TWh,"")</f>
        <v>0</v>
      </c>
      <c r="O554" s="51">
        <f>IFERROR(SUMIFS(Infrastructure[2033],
Infrastructure[[variable_type]:[variable_type]],"H2_outflow",
Infrastructure[[cluster]:[cluster]],$B$546,
Infrastructure[[pipe_cluster_end]:[pipe_cluster_end]],$B554)*PJ2TWh,"")</f>
        <v>0</v>
      </c>
      <c r="P554" s="51">
        <f>IFERROR(SUMIFS(Infrastructure[2034],
Infrastructure[[variable_type]:[variable_type]],"H2_outflow",
Infrastructure[[cluster]:[cluster]],$B$546,
Infrastructure[[pipe_cluster_end]:[pipe_cluster_end]],$B554)*PJ2TWh,"")</f>
        <v>0</v>
      </c>
      <c r="Q554" s="51">
        <f>IFERROR(SUMIFS(Infrastructure[2035],
Infrastructure[[variable_type]:[variable_type]],"H2_outflow",
Infrastructure[[cluster]:[cluster]],$B$546,
Infrastructure[[pipe_cluster_end]:[pipe_cluster_end]],$B554)*PJ2TWh,"")</f>
        <v>0</v>
      </c>
      <c r="R554" s="51">
        <f>IFERROR(SUMIFS(Infrastructure[2036],
Infrastructure[[variable_type]:[variable_type]],"H2_outflow",
Infrastructure[[cluster]:[cluster]],$B$546,
Infrastructure[[pipe_cluster_end]:[pipe_cluster_end]],$B554)*PJ2TWh,"")</f>
        <v>0</v>
      </c>
      <c r="S554" s="51">
        <f>IFERROR(SUMIFS(Infrastructure[2037],
Infrastructure[[variable_type]:[variable_type]],"H2_outflow",
Infrastructure[[cluster]:[cluster]],$B$546,
Infrastructure[[pipe_cluster_end]:[pipe_cluster_end]],$B554)*PJ2TWh,"")</f>
        <v>0</v>
      </c>
      <c r="T554" s="51">
        <f>IFERROR(SUMIFS(Infrastructure[2038],
Infrastructure[[variable_type]:[variable_type]],"H2_outflow",
Infrastructure[[cluster]:[cluster]],$B$546,
Infrastructure[[pipe_cluster_end]:[pipe_cluster_end]],$B554)*PJ2TWh,"")</f>
        <v>0</v>
      </c>
      <c r="U554" s="51">
        <f>IFERROR(SUMIFS(Infrastructure[2039],
Infrastructure[[variable_type]:[variable_type]],"H2_outflow",
Infrastructure[[cluster]:[cluster]],$B$546,
Infrastructure[[pipe_cluster_end]:[pipe_cluster_end]],$B554)*PJ2TWh,"")</f>
        <v>0</v>
      </c>
      <c r="V554" s="51">
        <f>IFERROR(SUMIFS(Infrastructure[2040],
Infrastructure[[variable_type]:[variable_type]],"H2_outflow",
Infrastructure[[cluster]:[cluster]],$B$546,
Infrastructure[[pipe_cluster_end]:[pipe_cluster_end]],$B554)*PJ2TWh,"")</f>
        <v>0</v>
      </c>
      <c r="W554" s="51">
        <f>IFERROR(SUMIFS(Infrastructure[2041],
Infrastructure[[variable_type]:[variable_type]],"H2_outflow",
Infrastructure[[cluster]:[cluster]],$B$546,
Infrastructure[[pipe_cluster_end]:[pipe_cluster_end]],$B554)*PJ2TWh,"")</f>
        <v>0</v>
      </c>
      <c r="X554" s="51">
        <f>IFERROR(SUMIFS(Infrastructure[2042],
Infrastructure[[variable_type]:[variable_type]],"H2_outflow",
Infrastructure[[cluster]:[cluster]],$B$546,
Infrastructure[[pipe_cluster_end]:[pipe_cluster_end]],$B554)*PJ2TWh,"")</f>
        <v>0</v>
      </c>
      <c r="Y554" s="51">
        <f>IFERROR(SUMIFS(Infrastructure[2043],
Infrastructure[[variable_type]:[variable_type]],"H2_outflow",
Infrastructure[[cluster]:[cluster]],$B$546,
Infrastructure[[pipe_cluster_end]:[pipe_cluster_end]],$B554)*PJ2TWh,"")</f>
        <v>0</v>
      </c>
      <c r="Z554" s="51">
        <f>IFERROR(SUMIFS(Infrastructure[2044],
Infrastructure[[variable_type]:[variable_type]],"H2_outflow",
Infrastructure[[cluster]:[cluster]],$B$546,
Infrastructure[[pipe_cluster_end]:[pipe_cluster_end]],$B554)*PJ2TWh,"")</f>
        <v>0</v>
      </c>
      <c r="AA554" s="51">
        <f>IFERROR(SUMIFS(Infrastructure[2045],
Infrastructure[[variable_type]:[variable_type]],"H2_outflow",
Infrastructure[[cluster]:[cluster]],$B$546,
Infrastructure[[pipe_cluster_end]:[pipe_cluster_end]],$B554)*PJ2TWh,"")</f>
        <v>0</v>
      </c>
      <c r="AB554" s="51">
        <f>IFERROR(SUMIFS(Infrastructure[2046],
Infrastructure[[variable_type]:[variable_type]],"H2_outflow",
Infrastructure[[cluster]:[cluster]],$B$546,
Infrastructure[[pipe_cluster_end]:[pipe_cluster_end]],$B554)*PJ2TWh,"")</f>
        <v>0</v>
      </c>
      <c r="AC554" s="51">
        <f>IFERROR(SUMIFS(Infrastructure[2047],
Infrastructure[[variable_type]:[variable_type]],"H2_outflow",
Infrastructure[[cluster]:[cluster]],$B$546,
Infrastructure[[pipe_cluster_end]:[pipe_cluster_end]],$B554)*PJ2TWh,"")</f>
        <v>0</v>
      </c>
      <c r="AD554" s="51">
        <f>IFERROR(SUMIFS(Infrastructure[2048],
Infrastructure[[variable_type]:[variable_type]],"H2_outflow",
Infrastructure[[cluster]:[cluster]],$B$546,
Infrastructure[[pipe_cluster_end]:[pipe_cluster_end]],$B554)*PJ2TWh,"")</f>
        <v>0</v>
      </c>
      <c r="AE554" s="51">
        <f>IFERROR(SUMIFS(Infrastructure[2049],
Infrastructure[[variable_type]:[variable_type]],"H2_outflow",
Infrastructure[[cluster]:[cluster]],$B$546,
Infrastructure[[pipe_cluster_end]:[pipe_cluster_end]],$B554)*PJ2TWh,"")</f>
        <v>0</v>
      </c>
      <c r="AF554" s="51">
        <f>IFERROR(SUMIFS(Infrastructure[2050],
Infrastructure[[variable_type]:[variable_type]],"H2_outflow",
Infrastructure[[cluster]:[cluster]],$B$546,
Infrastructure[[pipe_cluster_end]:[pipe_cluster_end]],$B554)*PJ2TWh,"")</f>
        <v>0</v>
      </c>
      <c r="AG554" s="51">
        <f>IFERROR(SUMIFS(Infrastructure[2051],
Infrastructure[[variable_type]:[variable_type]],"H2_outflow",
Infrastructure[[cluster]:[cluster]],$B$546,
Infrastructure[[pipe_cluster_end]:[pipe_cluster_end]],$B554)*PJ2TWh,"")</f>
        <v>0</v>
      </c>
    </row>
    <row r="555" spans="2:33" x14ac:dyDescent="0.45">
      <c r="B555" s="24" t="s">
        <v>77</v>
      </c>
      <c r="C555" s="51">
        <f>IFERROR(SUMIFS(Infrastructure[2021],
Infrastructure[[variable_type]:[variable_type]],"H2_outflow",
Infrastructure[[cluster]:[cluster]],$B$546,
Infrastructure[[pipe_cluster_end]:[pipe_cluster_end]],$B555)*PJ2TWh,"")</f>
        <v>0</v>
      </c>
      <c r="D555" s="51">
        <f>IFERROR(SUMIFS(Infrastructure[2022],
Infrastructure[[variable_type]:[variable_type]],"H2_outflow",
Infrastructure[[cluster]:[cluster]],$B$546,
Infrastructure[[pipe_cluster_end]:[pipe_cluster_end]],$B555)*PJ2TWh,"")</f>
        <v>0</v>
      </c>
      <c r="E555" s="51">
        <f>IFERROR(SUMIFS(Infrastructure[2023],
Infrastructure[[variable_type]:[variable_type]],"H2_outflow",
Infrastructure[[cluster]:[cluster]],$B$546,
Infrastructure[[pipe_cluster_end]:[pipe_cluster_end]],$B555)*PJ2TWh,"")</f>
        <v>0</v>
      </c>
      <c r="F555" s="51">
        <f>IFERROR(SUMIFS(Infrastructure[2024],
Infrastructure[[variable_type]:[variable_type]],"H2_outflow",
Infrastructure[[cluster]:[cluster]],$B$546,
Infrastructure[[pipe_cluster_end]:[pipe_cluster_end]],$B555)*PJ2TWh,"")</f>
        <v>0</v>
      </c>
      <c r="G555" s="51">
        <f>IFERROR(SUMIFS(Infrastructure[2025],
Infrastructure[[variable_type]:[variable_type]],"H2_outflow",
Infrastructure[[cluster]:[cluster]],$B$546,
Infrastructure[[pipe_cluster_end]:[pipe_cluster_end]],$B555)*PJ2TWh,"")</f>
        <v>0</v>
      </c>
      <c r="H555" s="51">
        <f>IFERROR(SUMIFS(Infrastructure[2026],
Infrastructure[[variable_type]:[variable_type]],"H2_outflow",
Infrastructure[[cluster]:[cluster]],$B$546,
Infrastructure[[pipe_cluster_end]:[pipe_cluster_end]],$B555)*PJ2TWh,"")</f>
        <v>0</v>
      </c>
      <c r="I555" s="51">
        <f>IFERROR(SUMIFS(Infrastructure[2027],
Infrastructure[[variable_type]:[variable_type]],"H2_outflow",
Infrastructure[[cluster]:[cluster]],$B$546,
Infrastructure[[pipe_cluster_end]:[pipe_cluster_end]],$B555)*PJ2TWh,"")</f>
        <v>0</v>
      </c>
      <c r="J555" s="51">
        <f>IFERROR(SUMIFS(Infrastructure[2028],
Infrastructure[[variable_type]:[variable_type]],"H2_outflow",
Infrastructure[[cluster]:[cluster]],$B$546,
Infrastructure[[pipe_cluster_end]:[pipe_cluster_end]],$B555)*PJ2TWh,"")</f>
        <v>0</v>
      </c>
      <c r="K555" s="51">
        <f>IFERROR(SUMIFS(Infrastructure[2029],
Infrastructure[[variable_type]:[variable_type]],"H2_outflow",
Infrastructure[[cluster]:[cluster]],$B$546,
Infrastructure[[pipe_cluster_end]:[pipe_cluster_end]],$B555)*PJ2TWh,"")</f>
        <v>0</v>
      </c>
      <c r="L555" s="51">
        <f>IFERROR(SUMIFS(Infrastructure[2030],
Infrastructure[[variable_type]:[variable_type]],"H2_outflow",
Infrastructure[[cluster]:[cluster]],$B$546,
Infrastructure[[pipe_cluster_end]:[pipe_cluster_end]],$B555)*PJ2TWh,"")</f>
        <v>0</v>
      </c>
      <c r="M555" s="51">
        <f>IFERROR(SUMIFS(Infrastructure[2031],
Infrastructure[[variable_type]:[variable_type]],"H2_outflow",
Infrastructure[[cluster]:[cluster]],$B$546,
Infrastructure[[pipe_cluster_end]:[pipe_cluster_end]],$B555)*PJ2TWh,"")</f>
        <v>0</v>
      </c>
      <c r="N555" s="51">
        <f>IFERROR(SUMIFS(Infrastructure[2032],
Infrastructure[[variable_type]:[variable_type]],"H2_outflow",
Infrastructure[[cluster]:[cluster]],$B$546,
Infrastructure[[pipe_cluster_end]:[pipe_cluster_end]],$B555)*PJ2TWh,"")</f>
        <v>0</v>
      </c>
      <c r="O555" s="51">
        <f>IFERROR(SUMIFS(Infrastructure[2033],
Infrastructure[[variable_type]:[variable_type]],"H2_outflow",
Infrastructure[[cluster]:[cluster]],$B$546,
Infrastructure[[pipe_cluster_end]:[pipe_cluster_end]],$B555)*PJ2TWh,"")</f>
        <v>0</v>
      </c>
      <c r="P555" s="51">
        <f>IFERROR(SUMIFS(Infrastructure[2034],
Infrastructure[[variable_type]:[variable_type]],"H2_outflow",
Infrastructure[[cluster]:[cluster]],$B$546,
Infrastructure[[pipe_cluster_end]:[pipe_cluster_end]],$B555)*PJ2TWh,"")</f>
        <v>0</v>
      </c>
      <c r="Q555" s="51">
        <f>IFERROR(SUMIFS(Infrastructure[2035],
Infrastructure[[variable_type]:[variable_type]],"H2_outflow",
Infrastructure[[cluster]:[cluster]],$B$546,
Infrastructure[[pipe_cluster_end]:[pipe_cluster_end]],$B555)*PJ2TWh,"")</f>
        <v>0</v>
      </c>
      <c r="R555" s="51">
        <f>IFERROR(SUMIFS(Infrastructure[2036],
Infrastructure[[variable_type]:[variable_type]],"H2_outflow",
Infrastructure[[cluster]:[cluster]],$B$546,
Infrastructure[[pipe_cluster_end]:[pipe_cluster_end]],$B555)*PJ2TWh,"")</f>
        <v>0</v>
      </c>
      <c r="S555" s="51">
        <f>IFERROR(SUMIFS(Infrastructure[2037],
Infrastructure[[variable_type]:[variable_type]],"H2_outflow",
Infrastructure[[cluster]:[cluster]],$B$546,
Infrastructure[[pipe_cluster_end]:[pipe_cluster_end]],$B555)*PJ2TWh,"")</f>
        <v>0</v>
      </c>
      <c r="T555" s="51">
        <f>IFERROR(SUMIFS(Infrastructure[2038],
Infrastructure[[variable_type]:[variable_type]],"H2_outflow",
Infrastructure[[cluster]:[cluster]],$B$546,
Infrastructure[[pipe_cluster_end]:[pipe_cluster_end]],$B555)*PJ2TWh,"")</f>
        <v>0</v>
      </c>
      <c r="U555" s="51">
        <f>IFERROR(SUMIFS(Infrastructure[2039],
Infrastructure[[variable_type]:[variable_type]],"H2_outflow",
Infrastructure[[cluster]:[cluster]],$B$546,
Infrastructure[[pipe_cluster_end]:[pipe_cluster_end]],$B555)*PJ2TWh,"")</f>
        <v>0</v>
      </c>
      <c r="V555" s="51">
        <f>IFERROR(SUMIFS(Infrastructure[2040],
Infrastructure[[variable_type]:[variable_type]],"H2_outflow",
Infrastructure[[cluster]:[cluster]],$B$546,
Infrastructure[[pipe_cluster_end]:[pipe_cluster_end]],$B555)*PJ2TWh,"")</f>
        <v>0</v>
      </c>
      <c r="W555" s="51">
        <f>IFERROR(SUMIFS(Infrastructure[2041],
Infrastructure[[variable_type]:[variable_type]],"H2_outflow",
Infrastructure[[cluster]:[cluster]],$B$546,
Infrastructure[[pipe_cluster_end]:[pipe_cluster_end]],$B555)*PJ2TWh,"")</f>
        <v>0</v>
      </c>
      <c r="X555" s="51">
        <f>IFERROR(SUMIFS(Infrastructure[2042],
Infrastructure[[variable_type]:[variable_type]],"H2_outflow",
Infrastructure[[cluster]:[cluster]],$B$546,
Infrastructure[[pipe_cluster_end]:[pipe_cluster_end]],$B555)*PJ2TWh,"")</f>
        <v>0</v>
      </c>
      <c r="Y555" s="51">
        <f>IFERROR(SUMIFS(Infrastructure[2043],
Infrastructure[[variable_type]:[variable_type]],"H2_outflow",
Infrastructure[[cluster]:[cluster]],$B$546,
Infrastructure[[pipe_cluster_end]:[pipe_cluster_end]],$B555)*PJ2TWh,"")</f>
        <v>0</v>
      </c>
      <c r="Z555" s="51">
        <f>IFERROR(SUMIFS(Infrastructure[2044],
Infrastructure[[variable_type]:[variable_type]],"H2_outflow",
Infrastructure[[cluster]:[cluster]],$B$546,
Infrastructure[[pipe_cluster_end]:[pipe_cluster_end]],$B555)*PJ2TWh,"")</f>
        <v>0</v>
      </c>
      <c r="AA555" s="51">
        <f>IFERROR(SUMIFS(Infrastructure[2045],
Infrastructure[[variable_type]:[variable_type]],"H2_outflow",
Infrastructure[[cluster]:[cluster]],$B$546,
Infrastructure[[pipe_cluster_end]:[pipe_cluster_end]],$B555)*PJ2TWh,"")</f>
        <v>0</v>
      </c>
      <c r="AB555" s="51">
        <f>IFERROR(SUMIFS(Infrastructure[2046],
Infrastructure[[variable_type]:[variable_type]],"H2_outflow",
Infrastructure[[cluster]:[cluster]],$B$546,
Infrastructure[[pipe_cluster_end]:[pipe_cluster_end]],$B555)*PJ2TWh,"")</f>
        <v>0</v>
      </c>
      <c r="AC555" s="51">
        <f>IFERROR(SUMIFS(Infrastructure[2047],
Infrastructure[[variable_type]:[variable_type]],"H2_outflow",
Infrastructure[[cluster]:[cluster]],$B$546,
Infrastructure[[pipe_cluster_end]:[pipe_cluster_end]],$B555)*PJ2TWh,"")</f>
        <v>0</v>
      </c>
      <c r="AD555" s="51">
        <f>IFERROR(SUMIFS(Infrastructure[2048],
Infrastructure[[variable_type]:[variable_type]],"H2_outflow",
Infrastructure[[cluster]:[cluster]],$B$546,
Infrastructure[[pipe_cluster_end]:[pipe_cluster_end]],$B555)*PJ2TWh,"")</f>
        <v>0</v>
      </c>
      <c r="AE555" s="51">
        <f>IFERROR(SUMIFS(Infrastructure[2049],
Infrastructure[[variable_type]:[variable_type]],"H2_outflow",
Infrastructure[[cluster]:[cluster]],$B$546,
Infrastructure[[pipe_cluster_end]:[pipe_cluster_end]],$B555)*PJ2TWh,"")</f>
        <v>0</v>
      </c>
      <c r="AF555" s="51">
        <f>IFERROR(SUMIFS(Infrastructure[2050],
Infrastructure[[variable_type]:[variable_type]],"H2_outflow",
Infrastructure[[cluster]:[cluster]],$B$546,
Infrastructure[[pipe_cluster_end]:[pipe_cluster_end]],$B555)*PJ2TWh,"")</f>
        <v>0</v>
      </c>
      <c r="AG555" s="51">
        <f>IFERROR(SUMIFS(Infrastructure[2051],
Infrastructure[[variable_type]:[variable_type]],"H2_outflow",
Infrastructure[[cluster]:[cluster]],$B$546,
Infrastructure[[pipe_cluster_end]:[pipe_cluster_end]],$B555)*PJ2TWh,"")</f>
        <v>0</v>
      </c>
    </row>
    <row r="556" spans="2:33" x14ac:dyDescent="0.45">
      <c r="B556" s="24" t="s">
        <v>78</v>
      </c>
      <c r="C556" s="51">
        <f>IFERROR(SUMIFS(Infrastructure[2021],
Infrastructure[[variable_type]:[variable_type]],"H2_outflow",
Infrastructure[[cluster]:[cluster]],$B$546,
Infrastructure[[pipe_cluster_end]:[pipe_cluster_end]],$B556)*PJ2TWh,"")</f>
        <v>0</v>
      </c>
      <c r="D556" s="51">
        <f>IFERROR(SUMIFS(Infrastructure[2022],
Infrastructure[[variable_type]:[variable_type]],"H2_outflow",
Infrastructure[[cluster]:[cluster]],$B$546,
Infrastructure[[pipe_cluster_end]:[pipe_cluster_end]],$B556)*PJ2TWh,"")</f>
        <v>0</v>
      </c>
      <c r="E556" s="51">
        <f>IFERROR(SUMIFS(Infrastructure[2023],
Infrastructure[[variable_type]:[variable_type]],"H2_outflow",
Infrastructure[[cluster]:[cluster]],$B$546,
Infrastructure[[pipe_cluster_end]:[pipe_cluster_end]],$B556)*PJ2TWh,"")</f>
        <v>0</v>
      </c>
      <c r="F556" s="51">
        <f>IFERROR(SUMIFS(Infrastructure[2024],
Infrastructure[[variable_type]:[variable_type]],"H2_outflow",
Infrastructure[[cluster]:[cluster]],$B$546,
Infrastructure[[pipe_cluster_end]:[pipe_cluster_end]],$B556)*PJ2TWh,"")</f>
        <v>0</v>
      </c>
      <c r="G556" s="51">
        <f>IFERROR(SUMIFS(Infrastructure[2025],
Infrastructure[[variable_type]:[variable_type]],"H2_outflow",
Infrastructure[[cluster]:[cluster]],$B$546,
Infrastructure[[pipe_cluster_end]:[pipe_cluster_end]],$B556)*PJ2TWh,"")</f>
        <v>0</v>
      </c>
      <c r="H556" s="51">
        <f>IFERROR(SUMIFS(Infrastructure[2026],
Infrastructure[[variable_type]:[variable_type]],"H2_outflow",
Infrastructure[[cluster]:[cluster]],$B$546,
Infrastructure[[pipe_cluster_end]:[pipe_cluster_end]],$B556)*PJ2TWh,"")</f>
        <v>0</v>
      </c>
      <c r="I556" s="51">
        <f>IFERROR(SUMIFS(Infrastructure[2027],
Infrastructure[[variable_type]:[variable_type]],"H2_outflow",
Infrastructure[[cluster]:[cluster]],$B$546,
Infrastructure[[pipe_cluster_end]:[pipe_cluster_end]],$B556)*PJ2TWh,"")</f>
        <v>0</v>
      </c>
      <c r="J556" s="51">
        <f>IFERROR(SUMIFS(Infrastructure[2028],
Infrastructure[[variable_type]:[variable_type]],"H2_outflow",
Infrastructure[[cluster]:[cluster]],$B$546,
Infrastructure[[pipe_cluster_end]:[pipe_cluster_end]],$B556)*PJ2TWh,"")</f>
        <v>0</v>
      </c>
      <c r="K556" s="51">
        <f>IFERROR(SUMIFS(Infrastructure[2029],
Infrastructure[[variable_type]:[variable_type]],"H2_outflow",
Infrastructure[[cluster]:[cluster]],$B$546,
Infrastructure[[pipe_cluster_end]:[pipe_cluster_end]],$B556)*PJ2TWh,"")</f>
        <v>0</v>
      </c>
      <c r="L556" s="51">
        <f>IFERROR(SUMIFS(Infrastructure[2030],
Infrastructure[[variable_type]:[variable_type]],"H2_outflow",
Infrastructure[[cluster]:[cluster]],$B$546,
Infrastructure[[pipe_cluster_end]:[pipe_cluster_end]],$B556)*PJ2TWh,"")</f>
        <v>0</v>
      </c>
      <c r="M556" s="51">
        <f>IFERROR(SUMIFS(Infrastructure[2031],
Infrastructure[[variable_type]:[variable_type]],"H2_outflow",
Infrastructure[[cluster]:[cluster]],$B$546,
Infrastructure[[pipe_cluster_end]:[pipe_cluster_end]],$B556)*PJ2TWh,"")</f>
        <v>0</v>
      </c>
      <c r="N556" s="51">
        <f>IFERROR(SUMIFS(Infrastructure[2032],
Infrastructure[[variable_type]:[variable_type]],"H2_outflow",
Infrastructure[[cluster]:[cluster]],$B$546,
Infrastructure[[pipe_cluster_end]:[pipe_cluster_end]],$B556)*PJ2TWh,"")</f>
        <v>0</v>
      </c>
      <c r="O556" s="51">
        <f>IFERROR(SUMIFS(Infrastructure[2033],
Infrastructure[[variable_type]:[variable_type]],"H2_outflow",
Infrastructure[[cluster]:[cluster]],$B$546,
Infrastructure[[pipe_cluster_end]:[pipe_cluster_end]],$B556)*PJ2TWh,"")</f>
        <v>0</v>
      </c>
      <c r="P556" s="51">
        <f>IFERROR(SUMIFS(Infrastructure[2034],
Infrastructure[[variable_type]:[variable_type]],"H2_outflow",
Infrastructure[[cluster]:[cluster]],$B$546,
Infrastructure[[pipe_cluster_end]:[pipe_cluster_end]],$B556)*PJ2TWh,"")</f>
        <v>0</v>
      </c>
      <c r="Q556" s="51">
        <f>IFERROR(SUMIFS(Infrastructure[2035],
Infrastructure[[variable_type]:[variable_type]],"H2_outflow",
Infrastructure[[cluster]:[cluster]],$B$546,
Infrastructure[[pipe_cluster_end]:[pipe_cluster_end]],$B556)*PJ2TWh,"")</f>
        <v>0</v>
      </c>
      <c r="R556" s="51">
        <f>IFERROR(SUMIFS(Infrastructure[2036],
Infrastructure[[variable_type]:[variable_type]],"H2_outflow",
Infrastructure[[cluster]:[cluster]],$B$546,
Infrastructure[[pipe_cluster_end]:[pipe_cluster_end]],$B556)*PJ2TWh,"")</f>
        <v>0</v>
      </c>
      <c r="S556" s="51">
        <f>IFERROR(SUMIFS(Infrastructure[2037],
Infrastructure[[variable_type]:[variable_type]],"H2_outflow",
Infrastructure[[cluster]:[cluster]],$B$546,
Infrastructure[[pipe_cluster_end]:[pipe_cluster_end]],$B556)*PJ2TWh,"")</f>
        <v>0</v>
      </c>
      <c r="T556" s="51">
        <f>IFERROR(SUMIFS(Infrastructure[2038],
Infrastructure[[variable_type]:[variable_type]],"H2_outflow",
Infrastructure[[cluster]:[cluster]],$B$546,
Infrastructure[[pipe_cluster_end]:[pipe_cluster_end]],$B556)*PJ2TWh,"")</f>
        <v>0</v>
      </c>
      <c r="U556" s="51">
        <f>IFERROR(SUMIFS(Infrastructure[2039],
Infrastructure[[variable_type]:[variable_type]],"H2_outflow",
Infrastructure[[cluster]:[cluster]],$B$546,
Infrastructure[[pipe_cluster_end]:[pipe_cluster_end]],$B556)*PJ2TWh,"")</f>
        <v>0</v>
      </c>
      <c r="V556" s="51">
        <f>IFERROR(SUMIFS(Infrastructure[2040],
Infrastructure[[variable_type]:[variable_type]],"H2_outflow",
Infrastructure[[cluster]:[cluster]],$B$546,
Infrastructure[[pipe_cluster_end]:[pipe_cluster_end]],$B556)*PJ2TWh,"")</f>
        <v>0</v>
      </c>
      <c r="W556" s="51">
        <f>IFERROR(SUMIFS(Infrastructure[2041],
Infrastructure[[variable_type]:[variable_type]],"H2_outflow",
Infrastructure[[cluster]:[cluster]],$B$546,
Infrastructure[[pipe_cluster_end]:[pipe_cluster_end]],$B556)*PJ2TWh,"")</f>
        <v>0</v>
      </c>
      <c r="X556" s="51">
        <f>IFERROR(SUMIFS(Infrastructure[2042],
Infrastructure[[variable_type]:[variable_type]],"H2_outflow",
Infrastructure[[cluster]:[cluster]],$B$546,
Infrastructure[[pipe_cluster_end]:[pipe_cluster_end]],$B556)*PJ2TWh,"")</f>
        <v>0</v>
      </c>
      <c r="Y556" s="51">
        <f>IFERROR(SUMIFS(Infrastructure[2043],
Infrastructure[[variable_type]:[variable_type]],"H2_outflow",
Infrastructure[[cluster]:[cluster]],$B$546,
Infrastructure[[pipe_cluster_end]:[pipe_cluster_end]],$B556)*PJ2TWh,"")</f>
        <v>0</v>
      </c>
      <c r="Z556" s="51">
        <f>IFERROR(SUMIFS(Infrastructure[2044],
Infrastructure[[variable_type]:[variable_type]],"H2_outflow",
Infrastructure[[cluster]:[cluster]],$B$546,
Infrastructure[[pipe_cluster_end]:[pipe_cluster_end]],$B556)*PJ2TWh,"")</f>
        <v>0</v>
      </c>
      <c r="AA556" s="51">
        <f>IFERROR(SUMIFS(Infrastructure[2045],
Infrastructure[[variable_type]:[variable_type]],"H2_outflow",
Infrastructure[[cluster]:[cluster]],$B$546,
Infrastructure[[pipe_cluster_end]:[pipe_cluster_end]],$B556)*PJ2TWh,"")</f>
        <v>0</v>
      </c>
      <c r="AB556" s="51">
        <f>IFERROR(SUMIFS(Infrastructure[2046],
Infrastructure[[variable_type]:[variable_type]],"H2_outflow",
Infrastructure[[cluster]:[cluster]],$B$546,
Infrastructure[[pipe_cluster_end]:[pipe_cluster_end]],$B556)*PJ2TWh,"")</f>
        <v>0</v>
      </c>
      <c r="AC556" s="51">
        <f>IFERROR(SUMIFS(Infrastructure[2047],
Infrastructure[[variable_type]:[variable_type]],"H2_outflow",
Infrastructure[[cluster]:[cluster]],$B$546,
Infrastructure[[pipe_cluster_end]:[pipe_cluster_end]],$B556)*PJ2TWh,"")</f>
        <v>0</v>
      </c>
      <c r="AD556" s="51">
        <f>IFERROR(SUMIFS(Infrastructure[2048],
Infrastructure[[variable_type]:[variable_type]],"H2_outflow",
Infrastructure[[cluster]:[cluster]],$B$546,
Infrastructure[[pipe_cluster_end]:[pipe_cluster_end]],$B556)*PJ2TWh,"")</f>
        <v>0</v>
      </c>
      <c r="AE556" s="51">
        <f>IFERROR(SUMIFS(Infrastructure[2049],
Infrastructure[[variable_type]:[variable_type]],"H2_outflow",
Infrastructure[[cluster]:[cluster]],$B$546,
Infrastructure[[pipe_cluster_end]:[pipe_cluster_end]],$B556)*PJ2TWh,"")</f>
        <v>0</v>
      </c>
      <c r="AF556" s="51">
        <f>IFERROR(SUMIFS(Infrastructure[2050],
Infrastructure[[variable_type]:[variable_type]],"H2_outflow",
Infrastructure[[cluster]:[cluster]],$B$546,
Infrastructure[[pipe_cluster_end]:[pipe_cluster_end]],$B556)*PJ2TWh,"")</f>
        <v>0</v>
      </c>
      <c r="AG556" s="51">
        <f>IFERROR(SUMIFS(Infrastructure[2051],
Infrastructure[[variable_type]:[variable_type]],"H2_outflow",
Infrastructure[[cluster]:[cluster]],$B$546,
Infrastructure[[pipe_cluster_end]:[pipe_cluster_end]],$B556)*PJ2TWh,"")</f>
        <v>0</v>
      </c>
    </row>
    <row r="557" spans="2:33" x14ac:dyDescent="0.45">
      <c r="B557" s="6" t="s">
        <v>78</v>
      </c>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row>
    <row r="558" spans="2:33" x14ac:dyDescent="0.45">
      <c r="B558" s="24" t="s">
        <v>70</v>
      </c>
      <c r="C558" s="51">
        <f>IFERROR(SUMIFS(Infrastructure[2021],
Infrastructure[[variable_type]:[variable_type]],"H2_outflow",
Infrastructure[[cluster]:[cluster]],$B$557,
Infrastructure[[pipe_cluster_end]:[pipe_cluster_end]],$B558)*PJ2TWh,"")</f>
        <v>0</v>
      </c>
      <c r="D558" s="51">
        <f>IFERROR(SUMIFS(Infrastructure[2022],
Infrastructure[[variable_type]:[variable_type]],"H2_outflow",
Infrastructure[[cluster]:[cluster]],$B$557,
Infrastructure[[pipe_cluster_end]:[pipe_cluster_end]],$B558)*PJ2TWh,"")</f>
        <v>0</v>
      </c>
      <c r="E558" s="51">
        <f>IFERROR(SUMIFS(Infrastructure[2023],
Infrastructure[[variable_type]:[variable_type]],"H2_outflow",
Infrastructure[[cluster]:[cluster]],$B$557,
Infrastructure[[pipe_cluster_end]:[pipe_cluster_end]],$B558)*PJ2TWh,"")</f>
        <v>0</v>
      </c>
      <c r="F558" s="51">
        <f>IFERROR(SUMIFS(Infrastructure[2024],
Infrastructure[[variable_type]:[variable_type]],"H2_outflow",
Infrastructure[[cluster]:[cluster]],$B$557,
Infrastructure[[pipe_cluster_end]:[pipe_cluster_end]],$B558)*PJ2TWh,"")</f>
        <v>0</v>
      </c>
      <c r="G558" s="51">
        <f>IFERROR(SUMIFS(Infrastructure[2025],
Infrastructure[[variable_type]:[variable_type]],"H2_outflow",
Infrastructure[[cluster]:[cluster]],$B$557,
Infrastructure[[pipe_cluster_end]:[pipe_cluster_end]],$B558)*PJ2TWh,"")</f>
        <v>0</v>
      </c>
      <c r="H558" s="51">
        <f>IFERROR(SUMIFS(Infrastructure[2026],
Infrastructure[[variable_type]:[variable_type]],"H2_outflow",
Infrastructure[[cluster]:[cluster]],$B$557,
Infrastructure[[pipe_cluster_end]:[pipe_cluster_end]],$B558)*PJ2TWh,"")</f>
        <v>0</v>
      </c>
      <c r="I558" s="51">
        <f>IFERROR(SUMIFS(Infrastructure[2027],
Infrastructure[[variable_type]:[variable_type]],"H2_outflow",
Infrastructure[[cluster]:[cluster]],$B$557,
Infrastructure[[pipe_cluster_end]:[pipe_cluster_end]],$B558)*PJ2TWh,"")</f>
        <v>0</v>
      </c>
      <c r="J558" s="51">
        <f>IFERROR(SUMIFS(Infrastructure[2028],
Infrastructure[[variable_type]:[variable_type]],"H2_outflow",
Infrastructure[[cluster]:[cluster]],$B$557,
Infrastructure[[pipe_cluster_end]:[pipe_cluster_end]],$B558)*PJ2TWh,"")</f>
        <v>0</v>
      </c>
      <c r="K558" s="51">
        <f>IFERROR(SUMIFS(Infrastructure[2029],
Infrastructure[[variable_type]:[variable_type]],"H2_outflow",
Infrastructure[[cluster]:[cluster]],$B$557,
Infrastructure[[pipe_cluster_end]:[pipe_cluster_end]],$B558)*PJ2TWh,"")</f>
        <v>0</v>
      </c>
      <c r="L558" s="51">
        <f>IFERROR(SUMIFS(Infrastructure[2030],
Infrastructure[[variable_type]:[variable_type]],"H2_outflow",
Infrastructure[[cluster]:[cluster]],$B$557,
Infrastructure[[pipe_cluster_end]:[pipe_cluster_end]],$B558)*PJ2TWh,"")</f>
        <v>0</v>
      </c>
      <c r="M558" s="51">
        <f>IFERROR(SUMIFS(Infrastructure[2031],
Infrastructure[[variable_type]:[variable_type]],"H2_outflow",
Infrastructure[[cluster]:[cluster]],$B$557,
Infrastructure[[pipe_cluster_end]:[pipe_cluster_end]],$B558)*PJ2TWh,"")</f>
        <v>0</v>
      </c>
      <c r="N558" s="51">
        <f>IFERROR(SUMIFS(Infrastructure[2032],
Infrastructure[[variable_type]:[variable_type]],"H2_outflow",
Infrastructure[[cluster]:[cluster]],$B$557,
Infrastructure[[pipe_cluster_end]:[pipe_cluster_end]],$B558)*PJ2TWh,"")</f>
        <v>0</v>
      </c>
      <c r="O558" s="51">
        <f>IFERROR(SUMIFS(Infrastructure[2033],
Infrastructure[[variable_type]:[variable_type]],"H2_outflow",
Infrastructure[[cluster]:[cluster]],$B$557,
Infrastructure[[pipe_cluster_end]:[pipe_cluster_end]],$B558)*PJ2TWh,"")</f>
        <v>0</v>
      </c>
      <c r="P558" s="51">
        <f>IFERROR(SUMIFS(Infrastructure[2034],
Infrastructure[[variable_type]:[variable_type]],"H2_outflow",
Infrastructure[[cluster]:[cluster]],$B$557,
Infrastructure[[pipe_cluster_end]:[pipe_cluster_end]],$B558)*PJ2TWh,"")</f>
        <v>0</v>
      </c>
      <c r="Q558" s="51">
        <f>IFERROR(SUMIFS(Infrastructure[2035],
Infrastructure[[variable_type]:[variable_type]],"H2_outflow",
Infrastructure[[cluster]:[cluster]],$B$557,
Infrastructure[[pipe_cluster_end]:[pipe_cluster_end]],$B558)*PJ2TWh,"")</f>
        <v>0</v>
      </c>
      <c r="R558" s="51">
        <f>IFERROR(SUMIFS(Infrastructure[2036],
Infrastructure[[variable_type]:[variable_type]],"H2_outflow",
Infrastructure[[cluster]:[cluster]],$B$557,
Infrastructure[[pipe_cluster_end]:[pipe_cluster_end]],$B558)*PJ2TWh,"")</f>
        <v>0</v>
      </c>
      <c r="S558" s="51">
        <f>IFERROR(SUMIFS(Infrastructure[2037],
Infrastructure[[variable_type]:[variable_type]],"H2_outflow",
Infrastructure[[cluster]:[cluster]],$B$557,
Infrastructure[[pipe_cluster_end]:[pipe_cluster_end]],$B558)*PJ2TWh,"")</f>
        <v>0</v>
      </c>
      <c r="T558" s="51">
        <f>IFERROR(SUMIFS(Infrastructure[2038],
Infrastructure[[variable_type]:[variable_type]],"H2_outflow",
Infrastructure[[cluster]:[cluster]],$B$557,
Infrastructure[[pipe_cluster_end]:[pipe_cluster_end]],$B558)*PJ2TWh,"")</f>
        <v>0</v>
      </c>
      <c r="U558" s="51">
        <f>IFERROR(SUMIFS(Infrastructure[2039],
Infrastructure[[variable_type]:[variable_type]],"H2_outflow",
Infrastructure[[cluster]:[cluster]],$B$557,
Infrastructure[[pipe_cluster_end]:[pipe_cluster_end]],$B558)*PJ2TWh,"")</f>
        <v>0</v>
      </c>
      <c r="V558" s="51">
        <f>IFERROR(SUMIFS(Infrastructure[2040],
Infrastructure[[variable_type]:[variable_type]],"H2_outflow",
Infrastructure[[cluster]:[cluster]],$B$557,
Infrastructure[[pipe_cluster_end]:[pipe_cluster_end]],$B558)*PJ2TWh,"")</f>
        <v>0</v>
      </c>
      <c r="W558" s="51">
        <f>IFERROR(SUMIFS(Infrastructure[2041],
Infrastructure[[variable_type]:[variable_type]],"H2_outflow",
Infrastructure[[cluster]:[cluster]],$B$557,
Infrastructure[[pipe_cluster_end]:[pipe_cluster_end]],$B558)*PJ2TWh,"")</f>
        <v>0</v>
      </c>
      <c r="X558" s="51">
        <f>IFERROR(SUMIFS(Infrastructure[2042],
Infrastructure[[variable_type]:[variable_type]],"H2_outflow",
Infrastructure[[cluster]:[cluster]],$B$557,
Infrastructure[[pipe_cluster_end]:[pipe_cluster_end]],$B558)*PJ2TWh,"")</f>
        <v>0</v>
      </c>
      <c r="Y558" s="51">
        <f>IFERROR(SUMIFS(Infrastructure[2043],
Infrastructure[[variable_type]:[variable_type]],"H2_outflow",
Infrastructure[[cluster]:[cluster]],$B$557,
Infrastructure[[pipe_cluster_end]:[pipe_cluster_end]],$B558)*PJ2TWh,"")</f>
        <v>0</v>
      </c>
      <c r="Z558" s="51">
        <f>IFERROR(SUMIFS(Infrastructure[2044],
Infrastructure[[variable_type]:[variable_type]],"H2_outflow",
Infrastructure[[cluster]:[cluster]],$B$557,
Infrastructure[[pipe_cluster_end]:[pipe_cluster_end]],$B558)*PJ2TWh,"")</f>
        <v>0</v>
      </c>
      <c r="AA558" s="51">
        <f>IFERROR(SUMIFS(Infrastructure[2045],
Infrastructure[[variable_type]:[variable_type]],"H2_outflow",
Infrastructure[[cluster]:[cluster]],$B$557,
Infrastructure[[pipe_cluster_end]:[pipe_cluster_end]],$B558)*PJ2TWh,"")</f>
        <v>0</v>
      </c>
      <c r="AB558" s="51">
        <f>IFERROR(SUMIFS(Infrastructure[2046],
Infrastructure[[variable_type]:[variable_type]],"H2_outflow",
Infrastructure[[cluster]:[cluster]],$B$557,
Infrastructure[[pipe_cluster_end]:[pipe_cluster_end]],$B558)*PJ2TWh,"")</f>
        <v>0</v>
      </c>
      <c r="AC558" s="51">
        <f>IFERROR(SUMIFS(Infrastructure[2047],
Infrastructure[[variable_type]:[variable_type]],"H2_outflow",
Infrastructure[[cluster]:[cluster]],$B$557,
Infrastructure[[pipe_cluster_end]:[pipe_cluster_end]],$B558)*PJ2TWh,"")</f>
        <v>0</v>
      </c>
      <c r="AD558" s="51">
        <f>IFERROR(SUMIFS(Infrastructure[2048],
Infrastructure[[variable_type]:[variable_type]],"H2_outflow",
Infrastructure[[cluster]:[cluster]],$B$557,
Infrastructure[[pipe_cluster_end]:[pipe_cluster_end]],$B558)*PJ2TWh,"")</f>
        <v>0</v>
      </c>
      <c r="AE558" s="51">
        <f>IFERROR(SUMIFS(Infrastructure[2049],
Infrastructure[[variable_type]:[variable_type]],"H2_outflow",
Infrastructure[[cluster]:[cluster]],$B$557,
Infrastructure[[pipe_cluster_end]:[pipe_cluster_end]],$B558)*PJ2TWh,"")</f>
        <v>0</v>
      </c>
      <c r="AF558" s="51">
        <f>IFERROR(SUMIFS(Infrastructure[2050],
Infrastructure[[variable_type]:[variable_type]],"H2_outflow",
Infrastructure[[cluster]:[cluster]],$B$557,
Infrastructure[[pipe_cluster_end]:[pipe_cluster_end]],$B558)*PJ2TWh,"")</f>
        <v>0</v>
      </c>
      <c r="AG558" s="51">
        <f>IFERROR(SUMIFS(Infrastructure[2051],
Infrastructure[[variable_type]:[variable_type]],"H2_outflow",
Infrastructure[[cluster]:[cluster]],$B$557,
Infrastructure[[pipe_cluster_end]:[pipe_cluster_end]],$B558)*PJ2TWh,"")</f>
        <v>0</v>
      </c>
    </row>
    <row r="559" spans="2:33" x14ac:dyDescent="0.45">
      <c r="B559" s="24" t="s">
        <v>52</v>
      </c>
      <c r="C559" s="51">
        <f>IFERROR(SUMIFS(Infrastructure[2021],
Infrastructure[[variable_type]:[variable_type]],"H2_outflow",
Infrastructure[[cluster]:[cluster]],$B$557,
Infrastructure[[pipe_cluster_end]:[pipe_cluster_end]],$B559)*PJ2TWh,"")</f>
        <v>0</v>
      </c>
      <c r="D559" s="51">
        <f>IFERROR(SUMIFS(Infrastructure[2022],
Infrastructure[[variable_type]:[variable_type]],"H2_outflow",
Infrastructure[[cluster]:[cluster]],$B$557,
Infrastructure[[pipe_cluster_end]:[pipe_cluster_end]],$B559)*PJ2TWh,"")</f>
        <v>0</v>
      </c>
      <c r="E559" s="51">
        <f>IFERROR(SUMIFS(Infrastructure[2023],
Infrastructure[[variable_type]:[variable_type]],"H2_outflow",
Infrastructure[[cluster]:[cluster]],$B$557,
Infrastructure[[pipe_cluster_end]:[pipe_cluster_end]],$B559)*PJ2TWh,"")</f>
        <v>0</v>
      </c>
      <c r="F559" s="51">
        <f>IFERROR(SUMIFS(Infrastructure[2024],
Infrastructure[[variable_type]:[variable_type]],"H2_outflow",
Infrastructure[[cluster]:[cluster]],$B$557,
Infrastructure[[pipe_cluster_end]:[pipe_cluster_end]],$B559)*PJ2TWh,"")</f>
        <v>0</v>
      </c>
      <c r="G559" s="51">
        <f>IFERROR(SUMIFS(Infrastructure[2025],
Infrastructure[[variable_type]:[variable_type]],"H2_outflow",
Infrastructure[[cluster]:[cluster]],$B$557,
Infrastructure[[pipe_cluster_end]:[pipe_cluster_end]],$B559)*PJ2TWh,"")</f>
        <v>0</v>
      </c>
      <c r="H559" s="51">
        <f>IFERROR(SUMIFS(Infrastructure[2026],
Infrastructure[[variable_type]:[variable_type]],"H2_outflow",
Infrastructure[[cluster]:[cluster]],$B$557,
Infrastructure[[pipe_cluster_end]:[pipe_cluster_end]],$B559)*PJ2TWh,"")</f>
        <v>0</v>
      </c>
      <c r="I559" s="51">
        <f>IFERROR(SUMIFS(Infrastructure[2027],
Infrastructure[[variable_type]:[variable_type]],"H2_outflow",
Infrastructure[[cluster]:[cluster]],$B$557,
Infrastructure[[pipe_cluster_end]:[pipe_cluster_end]],$B559)*PJ2TWh,"")</f>
        <v>0</v>
      </c>
      <c r="J559" s="51">
        <f>IFERROR(SUMIFS(Infrastructure[2028],
Infrastructure[[variable_type]:[variable_type]],"H2_outflow",
Infrastructure[[cluster]:[cluster]],$B$557,
Infrastructure[[pipe_cluster_end]:[pipe_cluster_end]],$B559)*PJ2TWh,"")</f>
        <v>0</v>
      </c>
      <c r="K559" s="51">
        <f>IFERROR(SUMIFS(Infrastructure[2029],
Infrastructure[[variable_type]:[variable_type]],"H2_outflow",
Infrastructure[[cluster]:[cluster]],$B$557,
Infrastructure[[pipe_cluster_end]:[pipe_cluster_end]],$B559)*PJ2TWh,"")</f>
        <v>0</v>
      </c>
      <c r="L559" s="51">
        <f>IFERROR(SUMIFS(Infrastructure[2030],
Infrastructure[[variable_type]:[variable_type]],"H2_outflow",
Infrastructure[[cluster]:[cluster]],$B$557,
Infrastructure[[pipe_cluster_end]:[pipe_cluster_end]],$B559)*PJ2TWh,"")</f>
        <v>0</v>
      </c>
      <c r="M559" s="51">
        <f>IFERROR(SUMIFS(Infrastructure[2031],
Infrastructure[[variable_type]:[variable_type]],"H2_outflow",
Infrastructure[[cluster]:[cluster]],$B$557,
Infrastructure[[pipe_cluster_end]:[pipe_cluster_end]],$B559)*PJ2TWh,"")</f>
        <v>0</v>
      </c>
      <c r="N559" s="51">
        <f>IFERROR(SUMIFS(Infrastructure[2032],
Infrastructure[[variable_type]:[variable_type]],"H2_outflow",
Infrastructure[[cluster]:[cluster]],$B$557,
Infrastructure[[pipe_cluster_end]:[pipe_cluster_end]],$B559)*PJ2TWh,"")</f>
        <v>0</v>
      </c>
      <c r="O559" s="51">
        <f>IFERROR(SUMIFS(Infrastructure[2033],
Infrastructure[[variable_type]:[variable_type]],"H2_outflow",
Infrastructure[[cluster]:[cluster]],$B$557,
Infrastructure[[pipe_cluster_end]:[pipe_cluster_end]],$B559)*PJ2TWh,"")</f>
        <v>0</v>
      </c>
      <c r="P559" s="51">
        <f>IFERROR(SUMIFS(Infrastructure[2034],
Infrastructure[[variable_type]:[variable_type]],"H2_outflow",
Infrastructure[[cluster]:[cluster]],$B$557,
Infrastructure[[pipe_cluster_end]:[pipe_cluster_end]],$B559)*PJ2TWh,"")</f>
        <v>0</v>
      </c>
      <c r="Q559" s="51">
        <f>IFERROR(SUMIFS(Infrastructure[2035],
Infrastructure[[variable_type]:[variable_type]],"H2_outflow",
Infrastructure[[cluster]:[cluster]],$B$557,
Infrastructure[[pipe_cluster_end]:[pipe_cluster_end]],$B559)*PJ2TWh,"")</f>
        <v>0</v>
      </c>
      <c r="R559" s="51">
        <f>IFERROR(SUMIFS(Infrastructure[2036],
Infrastructure[[variable_type]:[variable_type]],"H2_outflow",
Infrastructure[[cluster]:[cluster]],$B$557,
Infrastructure[[pipe_cluster_end]:[pipe_cluster_end]],$B559)*PJ2TWh,"")</f>
        <v>0</v>
      </c>
      <c r="S559" s="51">
        <f>IFERROR(SUMIFS(Infrastructure[2037],
Infrastructure[[variable_type]:[variable_type]],"H2_outflow",
Infrastructure[[cluster]:[cluster]],$B$557,
Infrastructure[[pipe_cluster_end]:[pipe_cluster_end]],$B559)*PJ2TWh,"")</f>
        <v>0</v>
      </c>
      <c r="T559" s="51">
        <f>IFERROR(SUMIFS(Infrastructure[2038],
Infrastructure[[variable_type]:[variable_type]],"H2_outflow",
Infrastructure[[cluster]:[cluster]],$B$557,
Infrastructure[[pipe_cluster_end]:[pipe_cluster_end]],$B559)*PJ2TWh,"")</f>
        <v>0</v>
      </c>
      <c r="U559" s="51">
        <f>IFERROR(SUMIFS(Infrastructure[2039],
Infrastructure[[variable_type]:[variable_type]],"H2_outflow",
Infrastructure[[cluster]:[cluster]],$B$557,
Infrastructure[[pipe_cluster_end]:[pipe_cluster_end]],$B559)*PJ2TWh,"")</f>
        <v>0</v>
      </c>
      <c r="V559" s="51">
        <f>IFERROR(SUMIFS(Infrastructure[2040],
Infrastructure[[variable_type]:[variable_type]],"H2_outflow",
Infrastructure[[cluster]:[cluster]],$B$557,
Infrastructure[[pipe_cluster_end]:[pipe_cluster_end]],$B559)*PJ2TWh,"")</f>
        <v>0</v>
      </c>
      <c r="W559" s="51">
        <f>IFERROR(SUMIFS(Infrastructure[2041],
Infrastructure[[variable_type]:[variable_type]],"H2_outflow",
Infrastructure[[cluster]:[cluster]],$B$557,
Infrastructure[[pipe_cluster_end]:[pipe_cluster_end]],$B559)*PJ2TWh,"")</f>
        <v>0</v>
      </c>
      <c r="X559" s="51">
        <f>IFERROR(SUMIFS(Infrastructure[2042],
Infrastructure[[variable_type]:[variable_type]],"H2_outflow",
Infrastructure[[cluster]:[cluster]],$B$557,
Infrastructure[[pipe_cluster_end]:[pipe_cluster_end]],$B559)*PJ2TWh,"")</f>
        <v>0</v>
      </c>
      <c r="Y559" s="51">
        <f>IFERROR(SUMIFS(Infrastructure[2043],
Infrastructure[[variable_type]:[variable_type]],"H2_outflow",
Infrastructure[[cluster]:[cluster]],$B$557,
Infrastructure[[pipe_cluster_end]:[pipe_cluster_end]],$B559)*PJ2TWh,"")</f>
        <v>0</v>
      </c>
      <c r="Z559" s="51">
        <f>IFERROR(SUMIFS(Infrastructure[2044],
Infrastructure[[variable_type]:[variable_type]],"H2_outflow",
Infrastructure[[cluster]:[cluster]],$B$557,
Infrastructure[[pipe_cluster_end]:[pipe_cluster_end]],$B559)*PJ2TWh,"")</f>
        <v>0</v>
      </c>
      <c r="AA559" s="51">
        <f>IFERROR(SUMIFS(Infrastructure[2045],
Infrastructure[[variable_type]:[variable_type]],"H2_outflow",
Infrastructure[[cluster]:[cluster]],$B$557,
Infrastructure[[pipe_cluster_end]:[pipe_cluster_end]],$B559)*PJ2TWh,"")</f>
        <v>0</v>
      </c>
      <c r="AB559" s="51">
        <f>IFERROR(SUMIFS(Infrastructure[2046],
Infrastructure[[variable_type]:[variable_type]],"H2_outflow",
Infrastructure[[cluster]:[cluster]],$B$557,
Infrastructure[[pipe_cluster_end]:[pipe_cluster_end]],$B559)*PJ2TWh,"")</f>
        <v>0</v>
      </c>
      <c r="AC559" s="51">
        <f>IFERROR(SUMIFS(Infrastructure[2047],
Infrastructure[[variable_type]:[variable_type]],"H2_outflow",
Infrastructure[[cluster]:[cluster]],$B$557,
Infrastructure[[pipe_cluster_end]:[pipe_cluster_end]],$B559)*PJ2TWh,"")</f>
        <v>0</v>
      </c>
      <c r="AD559" s="51">
        <f>IFERROR(SUMIFS(Infrastructure[2048],
Infrastructure[[variable_type]:[variable_type]],"H2_outflow",
Infrastructure[[cluster]:[cluster]],$B$557,
Infrastructure[[pipe_cluster_end]:[pipe_cluster_end]],$B559)*PJ2TWh,"")</f>
        <v>0</v>
      </c>
      <c r="AE559" s="51">
        <f>IFERROR(SUMIFS(Infrastructure[2049],
Infrastructure[[variable_type]:[variable_type]],"H2_outflow",
Infrastructure[[cluster]:[cluster]],$B$557,
Infrastructure[[pipe_cluster_end]:[pipe_cluster_end]],$B559)*PJ2TWh,"")</f>
        <v>0</v>
      </c>
      <c r="AF559" s="51">
        <f>IFERROR(SUMIFS(Infrastructure[2050],
Infrastructure[[variable_type]:[variable_type]],"H2_outflow",
Infrastructure[[cluster]:[cluster]],$B$557,
Infrastructure[[pipe_cluster_end]:[pipe_cluster_end]],$B559)*PJ2TWh,"")</f>
        <v>0</v>
      </c>
      <c r="AG559" s="51">
        <f>IFERROR(SUMIFS(Infrastructure[2051],
Infrastructure[[variable_type]:[variable_type]],"H2_outflow",
Infrastructure[[cluster]:[cluster]],$B$557,
Infrastructure[[pipe_cluster_end]:[pipe_cluster_end]],$B559)*PJ2TWh,"")</f>
        <v>0</v>
      </c>
    </row>
    <row r="560" spans="2:33" x14ac:dyDescent="0.45">
      <c r="B560" s="24" t="s">
        <v>71</v>
      </c>
      <c r="C560" s="51">
        <f>IFERROR(SUMIFS(Infrastructure[2021],
Infrastructure[[variable_type]:[variable_type]],"H2_outflow",
Infrastructure[[cluster]:[cluster]],$B$557,
Infrastructure[[pipe_cluster_end]:[pipe_cluster_end]],$B560)*PJ2TWh,"")</f>
        <v>0</v>
      </c>
      <c r="D560" s="51">
        <f>IFERROR(SUMIFS(Infrastructure[2022],
Infrastructure[[variable_type]:[variable_type]],"H2_outflow",
Infrastructure[[cluster]:[cluster]],$B$557,
Infrastructure[[pipe_cluster_end]:[pipe_cluster_end]],$B560)*PJ2TWh,"")</f>
        <v>0</v>
      </c>
      <c r="E560" s="51">
        <f>IFERROR(SUMIFS(Infrastructure[2023],
Infrastructure[[variable_type]:[variable_type]],"H2_outflow",
Infrastructure[[cluster]:[cluster]],$B$557,
Infrastructure[[pipe_cluster_end]:[pipe_cluster_end]],$B560)*PJ2TWh,"")</f>
        <v>0</v>
      </c>
      <c r="F560" s="51">
        <f>IFERROR(SUMIFS(Infrastructure[2024],
Infrastructure[[variable_type]:[variable_type]],"H2_outflow",
Infrastructure[[cluster]:[cluster]],$B$557,
Infrastructure[[pipe_cluster_end]:[pipe_cluster_end]],$B560)*PJ2TWh,"")</f>
        <v>0</v>
      </c>
      <c r="G560" s="51">
        <f>IFERROR(SUMIFS(Infrastructure[2025],
Infrastructure[[variable_type]:[variable_type]],"H2_outflow",
Infrastructure[[cluster]:[cluster]],$B$557,
Infrastructure[[pipe_cluster_end]:[pipe_cluster_end]],$B560)*PJ2TWh,"")</f>
        <v>0</v>
      </c>
      <c r="H560" s="51">
        <f>IFERROR(SUMIFS(Infrastructure[2026],
Infrastructure[[variable_type]:[variable_type]],"H2_outflow",
Infrastructure[[cluster]:[cluster]],$B$557,
Infrastructure[[pipe_cluster_end]:[pipe_cluster_end]],$B560)*PJ2TWh,"")</f>
        <v>0</v>
      </c>
      <c r="I560" s="51">
        <f>IFERROR(SUMIFS(Infrastructure[2027],
Infrastructure[[variable_type]:[variable_type]],"H2_outflow",
Infrastructure[[cluster]:[cluster]],$B$557,
Infrastructure[[pipe_cluster_end]:[pipe_cluster_end]],$B560)*PJ2TWh,"")</f>
        <v>0</v>
      </c>
      <c r="J560" s="51">
        <f>IFERROR(SUMIFS(Infrastructure[2028],
Infrastructure[[variable_type]:[variable_type]],"H2_outflow",
Infrastructure[[cluster]:[cluster]],$B$557,
Infrastructure[[pipe_cluster_end]:[pipe_cluster_end]],$B560)*PJ2TWh,"")</f>
        <v>0</v>
      </c>
      <c r="K560" s="51">
        <f>IFERROR(SUMIFS(Infrastructure[2029],
Infrastructure[[variable_type]:[variable_type]],"H2_outflow",
Infrastructure[[cluster]:[cluster]],$B$557,
Infrastructure[[pipe_cluster_end]:[pipe_cluster_end]],$B560)*PJ2TWh,"")</f>
        <v>0</v>
      </c>
      <c r="L560" s="51">
        <f>IFERROR(SUMIFS(Infrastructure[2030],
Infrastructure[[variable_type]:[variable_type]],"H2_outflow",
Infrastructure[[cluster]:[cluster]],$B$557,
Infrastructure[[pipe_cluster_end]:[pipe_cluster_end]],$B560)*PJ2TWh,"")</f>
        <v>0</v>
      </c>
      <c r="M560" s="51">
        <f>IFERROR(SUMIFS(Infrastructure[2031],
Infrastructure[[variable_type]:[variable_type]],"H2_outflow",
Infrastructure[[cluster]:[cluster]],$B$557,
Infrastructure[[pipe_cluster_end]:[pipe_cluster_end]],$B560)*PJ2TWh,"")</f>
        <v>0</v>
      </c>
      <c r="N560" s="51">
        <f>IFERROR(SUMIFS(Infrastructure[2032],
Infrastructure[[variable_type]:[variable_type]],"H2_outflow",
Infrastructure[[cluster]:[cluster]],$B$557,
Infrastructure[[pipe_cluster_end]:[pipe_cluster_end]],$B560)*PJ2TWh,"")</f>
        <v>0</v>
      </c>
      <c r="O560" s="51">
        <f>IFERROR(SUMIFS(Infrastructure[2033],
Infrastructure[[variable_type]:[variable_type]],"H2_outflow",
Infrastructure[[cluster]:[cluster]],$B$557,
Infrastructure[[pipe_cluster_end]:[pipe_cluster_end]],$B560)*PJ2TWh,"")</f>
        <v>0</v>
      </c>
      <c r="P560" s="51">
        <f>IFERROR(SUMIFS(Infrastructure[2034],
Infrastructure[[variable_type]:[variable_type]],"H2_outflow",
Infrastructure[[cluster]:[cluster]],$B$557,
Infrastructure[[pipe_cluster_end]:[pipe_cluster_end]],$B560)*PJ2TWh,"")</f>
        <v>0</v>
      </c>
      <c r="Q560" s="51">
        <f>IFERROR(SUMIFS(Infrastructure[2035],
Infrastructure[[variable_type]:[variable_type]],"H2_outflow",
Infrastructure[[cluster]:[cluster]],$B$557,
Infrastructure[[pipe_cluster_end]:[pipe_cluster_end]],$B560)*PJ2TWh,"")</f>
        <v>0</v>
      </c>
      <c r="R560" s="51">
        <f>IFERROR(SUMIFS(Infrastructure[2036],
Infrastructure[[variable_type]:[variable_type]],"H2_outflow",
Infrastructure[[cluster]:[cluster]],$B$557,
Infrastructure[[pipe_cluster_end]:[pipe_cluster_end]],$B560)*PJ2TWh,"")</f>
        <v>0</v>
      </c>
      <c r="S560" s="51">
        <f>IFERROR(SUMIFS(Infrastructure[2037],
Infrastructure[[variable_type]:[variable_type]],"H2_outflow",
Infrastructure[[cluster]:[cluster]],$B$557,
Infrastructure[[pipe_cluster_end]:[pipe_cluster_end]],$B560)*PJ2TWh,"")</f>
        <v>0</v>
      </c>
      <c r="T560" s="51">
        <f>IFERROR(SUMIFS(Infrastructure[2038],
Infrastructure[[variable_type]:[variable_type]],"H2_outflow",
Infrastructure[[cluster]:[cluster]],$B$557,
Infrastructure[[pipe_cluster_end]:[pipe_cluster_end]],$B560)*PJ2TWh,"")</f>
        <v>0</v>
      </c>
      <c r="U560" s="51">
        <f>IFERROR(SUMIFS(Infrastructure[2039],
Infrastructure[[variable_type]:[variable_type]],"H2_outflow",
Infrastructure[[cluster]:[cluster]],$B$557,
Infrastructure[[pipe_cluster_end]:[pipe_cluster_end]],$B560)*PJ2TWh,"")</f>
        <v>0</v>
      </c>
      <c r="V560" s="51">
        <f>IFERROR(SUMIFS(Infrastructure[2040],
Infrastructure[[variable_type]:[variable_type]],"H2_outflow",
Infrastructure[[cluster]:[cluster]],$B$557,
Infrastructure[[pipe_cluster_end]:[pipe_cluster_end]],$B560)*PJ2TWh,"")</f>
        <v>0</v>
      </c>
      <c r="W560" s="51">
        <f>IFERROR(SUMIFS(Infrastructure[2041],
Infrastructure[[variable_type]:[variable_type]],"H2_outflow",
Infrastructure[[cluster]:[cluster]],$B$557,
Infrastructure[[pipe_cluster_end]:[pipe_cluster_end]],$B560)*PJ2TWh,"")</f>
        <v>0</v>
      </c>
      <c r="X560" s="51">
        <f>IFERROR(SUMIFS(Infrastructure[2042],
Infrastructure[[variable_type]:[variable_type]],"H2_outflow",
Infrastructure[[cluster]:[cluster]],$B$557,
Infrastructure[[pipe_cluster_end]:[pipe_cluster_end]],$B560)*PJ2TWh,"")</f>
        <v>0</v>
      </c>
      <c r="Y560" s="51">
        <f>IFERROR(SUMIFS(Infrastructure[2043],
Infrastructure[[variable_type]:[variable_type]],"H2_outflow",
Infrastructure[[cluster]:[cluster]],$B$557,
Infrastructure[[pipe_cluster_end]:[pipe_cluster_end]],$B560)*PJ2TWh,"")</f>
        <v>0</v>
      </c>
      <c r="Z560" s="51">
        <f>IFERROR(SUMIFS(Infrastructure[2044],
Infrastructure[[variable_type]:[variable_type]],"H2_outflow",
Infrastructure[[cluster]:[cluster]],$B$557,
Infrastructure[[pipe_cluster_end]:[pipe_cluster_end]],$B560)*PJ2TWh,"")</f>
        <v>0</v>
      </c>
      <c r="AA560" s="51">
        <f>IFERROR(SUMIFS(Infrastructure[2045],
Infrastructure[[variable_type]:[variable_type]],"H2_outflow",
Infrastructure[[cluster]:[cluster]],$B$557,
Infrastructure[[pipe_cluster_end]:[pipe_cluster_end]],$B560)*PJ2TWh,"")</f>
        <v>0</v>
      </c>
      <c r="AB560" s="51">
        <f>IFERROR(SUMIFS(Infrastructure[2046],
Infrastructure[[variable_type]:[variable_type]],"H2_outflow",
Infrastructure[[cluster]:[cluster]],$B$557,
Infrastructure[[pipe_cluster_end]:[pipe_cluster_end]],$B560)*PJ2TWh,"")</f>
        <v>0</v>
      </c>
      <c r="AC560" s="51">
        <f>IFERROR(SUMIFS(Infrastructure[2047],
Infrastructure[[variable_type]:[variable_type]],"H2_outflow",
Infrastructure[[cluster]:[cluster]],$B$557,
Infrastructure[[pipe_cluster_end]:[pipe_cluster_end]],$B560)*PJ2TWh,"")</f>
        <v>0</v>
      </c>
      <c r="AD560" s="51">
        <f>IFERROR(SUMIFS(Infrastructure[2048],
Infrastructure[[variable_type]:[variable_type]],"H2_outflow",
Infrastructure[[cluster]:[cluster]],$B$557,
Infrastructure[[pipe_cluster_end]:[pipe_cluster_end]],$B560)*PJ2TWh,"")</f>
        <v>0</v>
      </c>
      <c r="AE560" s="51">
        <f>IFERROR(SUMIFS(Infrastructure[2049],
Infrastructure[[variable_type]:[variable_type]],"H2_outflow",
Infrastructure[[cluster]:[cluster]],$B$557,
Infrastructure[[pipe_cluster_end]:[pipe_cluster_end]],$B560)*PJ2TWh,"")</f>
        <v>0</v>
      </c>
      <c r="AF560" s="51">
        <f>IFERROR(SUMIFS(Infrastructure[2050],
Infrastructure[[variable_type]:[variable_type]],"H2_outflow",
Infrastructure[[cluster]:[cluster]],$B$557,
Infrastructure[[pipe_cluster_end]:[pipe_cluster_end]],$B560)*PJ2TWh,"")</f>
        <v>0</v>
      </c>
      <c r="AG560" s="51">
        <f>IFERROR(SUMIFS(Infrastructure[2051],
Infrastructure[[variable_type]:[variable_type]],"H2_outflow",
Infrastructure[[cluster]:[cluster]],$B$557,
Infrastructure[[pipe_cluster_end]:[pipe_cluster_end]],$B560)*PJ2TWh,"")</f>
        <v>0</v>
      </c>
    </row>
    <row r="561" spans="1:33" x14ac:dyDescent="0.45">
      <c r="B561" s="24" t="s">
        <v>72</v>
      </c>
      <c r="C561" s="51">
        <f>IFERROR(SUMIFS(Infrastructure[2021],
Infrastructure[[variable_type]:[variable_type]],"H2_outflow",
Infrastructure[[cluster]:[cluster]],$B$557,
Infrastructure[[pipe_cluster_end]:[pipe_cluster_end]],$B561)*PJ2TWh,"")</f>
        <v>0</v>
      </c>
      <c r="D561" s="51">
        <f>IFERROR(SUMIFS(Infrastructure[2022],
Infrastructure[[variable_type]:[variable_type]],"H2_outflow",
Infrastructure[[cluster]:[cluster]],$B$557,
Infrastructure[[pipe_cluster_end]:[pipe_cluster_end]],$B561)*PJ2TWh,"")</f>
        <v>0</v>
      </c>
      <c r="E561" s="51">
        <f>IFERROR(SUMIFS(Infrastructure[2023],
Infrastructure[[variable_type]:[variable_type]],"H2_outflow",
Infrastructure[[cluster]:[cluster]],$B$557,
Infrastructure[[pipe_cluster_end]:[pipe_cluster_end]],$B561)*PJ2TWh,"")</f>
        <v>0</v>
      </c>
      <c r="F561" s="51">
        <f>IFERROR(SUMIFS(Infrastructure[2024],
Infrastructure[[variable_type]:[variable_type]],"H2_outflow",
Infrastructure[[cluster]:[cluster]],$B$557,
Infrastructure[[pipe_cluster_end]:[pipe_cluster_end]],$B561)*PJ2TWh,"")</f>
        <v>0</v>
      </c>
      <c r="G561" s="51">
        <f>IFERROR(SUMIFS(Infrastructure[2025],
Infrastructure[[variable_type]:[variable_type]],"H2_outflow",
Infrastructure[[cluster]:[cluster]],$B$557,
Infrastructure[[pipe_cluster_end]:[pipe_cluster_end]],$B561)*PJ2TWh,"")</f>
        <v>0</v>
      </c>
      <c r="H561" s="51">
        <f>IFERROR(SUMIFS(Infrastructure[2026],
Infrastructure[[variable_type]:[variable_type]],"H2_outflow",
Infrastructure[[cluster]:[cluster]],$B$557,
Infrastructure[[pipe_cluster_end]:[pipe_cluster_end]],$B561)*PJ2TWh,"")</f>
        <v>0</v>
      </c>
      <c r="I561" s="51">
        <f>IFERROR(SUMIFS(Infrastructure[2027],
Infrastructure[[variable_type]:[variable_type]],"H2_outflow",
Infrastructure[[cluster]:[cluster]],$B$557,
Infrastructure[[pipe_cluster_end]:[pipe_cluster_end]],$B561)*PJ2TWh,"")</f>
        <v>0</v>
      </c>
      <c r="J561" s="51">
        <f>IFERROR(SUMIFS(Infrastructure[2028],
Infrastructure[[variable_type]:[variable_type]],"H2_outflow",
Infrastructure[[cluster]:[cluster]],$B$557,
Infrastructure[[pipe_cluster_end]:[pipe_cluster_end]],$B561)*PJ2TWh,"")</f>
        <v>0</v>
      </c>
      <c r="K561" s="51">
        <f>IFERROR(SUMIFS(Infrastructure[2029],
Infrastructure[[variable_type]:[variable_type]],"H2_outflow",
Infrastructure[[cluster]:[cluster]],$B$557,
Infrastructure[[pipe_cluster_end]:[pipe_cluster_end]],$B561)*PJ2TWh,"")</f>
        <v>0</v>
      </c>
      <c r="L561" s="51">
        <f>IFERROR(SUMIFS(Infrastructure[2030],
Infrastructure[[variable_type]:[variable_type]],"H2_outflow",
Infrastructure[[cluster]:[cluster]],$B$557,
Infrastructure[[pipe_cluster_end]:[pipe_cluster_end]],$B561)*PJ2TWh,"")</f>
        <v>0</v>
      </c>
      <c r="M561" s="51">
        <f>IFERROR(SUMIFS(Infrastructure[2031],
Infrastructure[[variable_type]:[variable_type]],"H2_outflow",
Infrastructure[[cluster]:[cluster]],$B$557,
Infrastructure[[pipe_cluster_end]:[pipe_cluster_end]],$B561)*PJ2TWh,"")</f>
        <v>0</v>
      </c>
      <c r="N561" s="51">
        <f>IFERROR(SUMIFS(Infrastructure[2032],
Infrastructure[[variable_type]:[variable_type]],"H2_outflow",
Infrastructure[[cluster]:[cluster]],$B$557,
Infrastructure[[pipe_cluster_end]:[pipe_cluster_end]],$B561)*PJ2TWh,"")</f>
        <v>0</v>
      </c>
      <c r="O561" s="51">
        <f>IFERROR(SUMIFS(Infrastructure[2033],
Infrastructure[[variable_type]:[variable_type]],"H2_outflow",
Infrastructure[[cluster]:[cluster]],$B$557,
Infrastructure[[pipe_cluster_end]:[pipe_cluster_end]],$B561)*PJ2TWh,"")</f>
        <v>0</v>
      </c>
      <c r="P561" s="51">
        <f>IFERROR(SUMIFS(Infrastructure[2034],
Infrastructure[[variable_type]:[variable_type]],"H2_outflow",
Infrastructure[[cluster]:[cluster]],$B$557,
Infrastructure[[pipe_cluster_end]:[pipe_cluster_end]],$B561)*PJ2TWh,"")</f>
        <v>0</v>
      </c>
      <c r="Q561" s="51">
        <f>IFERROR(SUMIFS(Infrastructure[2035],
Infrastructure[[variable_type]:[variable_type]],"H2_outflow",
Infrastructure[[cluster]:[cluster]],$B$557,
Infrastructure[[pipe_cluster_end]:[pipe_cluster_end]],$B561)*PJ2TWh,"")</f>
        <v>0</v>
      </c>
      <c r="R561" s="51">
        <f>IFERROR(SUMIFS(Infrastructure[2036],
Infrastructure[[variable_type]:[variable_type]],"H2_outflow",
Infrastructure[[cluster]:[cluster]],$B$557,
Infrastructure[[pipe_cluster_end]:[pipe_cluster_end]],$B561)*PJ2TWh,"")</f>
        <v>0</v>
      </c>
      <c r="S561" s="51">
        <f>IFERROR(SUMIFS(Infrastructure[2037],
Infrastructure[[variable_type]:[variable_type]],"H2_outflow",
Infrastructure[[cluster]:[cluster]],$B$557,
Infrastructure[[pipe_cluster_end]:[pipe_cluster_end]],$B561)*PJ2TWh,"")</f>
        <v>0</v>
      </c>
      <c r="T561" s="51">
        <f>IFERROR(SUMIFS(Infrastructure[2038],
Infrastructure[[variable_type]:[variable_type]],"H2_outflow",
Infrastructure[[cluster]:[cluster]],$B$557,
Infrastructure[[pipe_cluster_end]:[pipe_cluster_end]],$B561)*PJ2TWh,"")</f>
        <v>0</v>
      </c>
      <c r="U561" s="51">
        <f>IFERROR(SUMIFS(Infrastructure[2039],
Infrastructure[[variable_type]:[variable_type]],"H2_outflow",
Infrastructure[[cluster]:[cluster]],$B$557,
Infrastructure[[pipe_cluster_end]:[pipe_cluster_end]],$B561)*PJ2TWh,"")</f>
        <v>0</v>
      </c>
      <c r="V561" s="51">
        <f>IFERROR(SUMIFS(Infrastructure[2040],
Infrastructure[[variable_type]:[variable_type]],"H2_outflow",
Infrastructure[[cluster]:[cluster]],$B$557,
Infrastructure[[pipe_cluster_end]:[pipe_cluster_end]],$B561)*PJ2TWh,"")</f>
        <v>0</v>
      </c>
      <c r="W561" s="51">
        <f>IFERROR(SUMIFS(Infrastructure[2041],
Infrastructure[[variable_type]:[variable_type]],"H2_outflow",
Infrastructure[[cluster]:[cluster]],$B$557,
Infrastructure[[pipe_cluster_end]:[pipe_cluster_end]],$B561)*PJ2TWh,"")</f>
        <v>0</v>
      </c>
      <c r="X561" s="51">
        <f>IFERROR(SUMIFS(Infrastructure[2042],
Infrastructure[[variable_type]:[variable_type]],"H2_outflow",
Infrastructure[[cluster]:[cluster]],$B$557,
Infrastructure[[pipe_cluster_end]:[pipe_cluster_end]],$B561)*PJ2TWh,"")</f>
        <v>0</v>
      </c>
      <c r="Y561" s="51">
        <f>IFERROR(SUMIFS(Infrastructure[2043],
Infrastructure[[variable_type]:[variable_type]],"H2_outflow",
Infrastructure[[cluster]:[cluster]],$B$557,
Infrastructure[[pipe_cluster_end]:[pipe_cluster_end]],$B561)*PJ2TWh,"")</f>
        <v>0</v>
      </c>
      <c r="Z561" s="51">
        <f>IFERROR(SUMIFS(Infrastructure[2044],
Infrastructure[[variable_type]:[variable_type]],"H2_outflow",
Infrastructure[[cluster]:[cluster]],$B$557,
Infrastructure[[pipe_cluster_end]:[pipe_cluster_end]],$B561)*PJ2TWh,"")</f>
        <v>0</v>
      </c>
      <c r="AA561" s="51">
        <f>IFERROR(SUMIFS(Infrastructure[2045],
Infrastructure[[variable_type]:[variable_type]],"H2_outflow",
Infrastructure[[cluster]:[cluster]],$B$557,
Infrastructure[[pipe_cluster_end]:[pipe_cluster_end]],$B561)*PJ2TWh,"")</f>
        <v>0</v>
      </c>
      <c r="AB561" s="51">
        <f>IFERROR(SUMIFS(Infrastructure[2046],
Infrastructure[[variable_type]:[variable_type]],"H2_outflow",
Infrastructure[[cluster]:[cluster]],$B$557,
Infrastructure[[pipe_cluster_end]:[pipe_cluster_end]],$B561)*PJ2TWh,"")</f>
        <v>0</v>
      </c>
      <c r="AC561" s="51">
        <f>IFERROR(SUMIFS(Infrastructure[2047],
Infrastructure[[variable_type]:[variable_type]],"H2_outflow",
Infrastructure[[cluster]:[cluster]],$B$557,
Infrastructure[[pipe_cluster_end]:[pipe_cluster_end]],$B561)*PJ2TWh,"")</f>
        <v>0</v>
      </c>
      <c r="AD561" s="51">
        <f>IFERROR(SUMIFS(Infrastructure[2048],
Infrastructure[[variable_type]:[variable_type]],"H2_outflow",
Infrastructure[[cluster]:[cluster]],$B$557,
Infrastructure[[pipe_cluster_end]:[pipe_cluster_end]],$B561)*PJ2TWh,"")</f>
        <v>0</v>
      </c>
      <c r="AE561" s="51">
        <f>IFERROR(SUMIFS(Infrastructure[2049],
Infrastructure[[variable_type]:[variable_type]],"H2_outflow",
Infrastructure[[cluster]:[cluster]],$B$557,
Infrastructure[[pipe_cluster_end]:[pipe_cluster_end]],$B561)*PJ2TWh,"")</f>
        <v>0</v>
      </c>
      <c r="AF561" s="51">
        <f>IFERROR(SUMIFS(Infrastructure[2050],
Infrastructure[[variable_type]:[variable_type]],"H2_outflow",
Infrastructure[[cluster]:[cluster]],$B$557,
Infrastructure[[pipe_cluster_end]:[pipe_cluster_end]],$B561)*PJ2TWh,"")</f>
        <v>0</v>
      </c>
      <c r="AG561" s="51">
        <f>IFERROR(SUMIFS(Infrastructure[2051],
Infrastructure[[variable_type]:[variable_type]],"H2_outflow",
Infrastructure[[cluster]:[cluster]],$B$557,
Infrastructure[[pipe_cluster_end]:[pipe_cluster_end]],$B561)*PJ2TWh,"")</f>
        <v>0</v>
      </c>
    </row>
    <row r="562" spans="1:33" x14ac:dyDescent="0.45">
      <c r="B562" s="24" t="s">
        <v>73</v>
      </c>
      <c r="C562" s="51">
        <f>IFERROR(SUMIFS(Infrastructure[2021],
Infrastructure[[variable_type]:[variable_type]],"H2_outflow",
Infrastructure[[cluster]:[cluster]],$B$557,
Infrastructure[[pipe_cluster_end]:[pipe_cluster_end]],$B562)*PJ2TWh,"")</f>
        <v>0</v>
      </c>
      <c r="D562" s="51">
        <f>IFERROR(SUMIFS(Infrastructure[2022],
Infrastructure[[variable_type]:[variable_type]],"H2_outflow",
Infrastructure[[cluster]:[cluster]],$B$557,
Infrastructure[[pipe_cluster_end]:[pipe_cluster_end]],$B562)*PJ2TWh,"")</f>
        <v>0</v>
      </c>
      <c r="E562" s="51">
        <f>IFERROR(SUMIFS(Infrastructure[2023],
Infrastructure[[variable_type]:[variable_type]],"H2_outflow",
Infrastructure[[cluster]:[cluster]],$B$557,
Infrastructure[[pipe_cluster_end]:[pipe_cluster_end]],$B562)*PJ2TWh,"")</f>
        <v>0</v>
      </c>
      <c r="F562" s="51">
        <f>IFERROR(SUMIFS(Infrastructure[2024],
Infrastructure[[variable_type]:[variable_type]],"H2_outflow",
Infrastructure[[cluster]:[cluster]],$B$557,
Infrastructure[[pipe_cluster_end]:[pipe_cluster_end]],$B562)*PJ2TWh,"")</f>
        <v>0</v>
      </c>
      <c r="G562" s="51">
        <f>IFERROR(SUMIFS(Infrastructure[2025],
Infrastructure[[variable_type]:[variable_type]],"H2_outflow",
Infrastructure[[cluster]:[cluster]],$B$557,
Infrastructure[[pipe_cluster_end]:[pipe_cluster_end]],$B562)*PJ2TWh,"")</f>
        <v>0</v>
      </c>
      <c r="H562" s="51">
        <f>IFERROR(SUMIFS(Infrastructure[2026],
Infrastructure[[variable_type]:[variable_type]],"H2_outflow",
Infrastructure[[cluster]:[cluster]],$B$557,
Infrastructure[[pipe_cluster_end]:[pipe_cluster_end]],$B562)*PJ2TWh,"")</f>
        <v>0</v>
      </c>
      <c r="I562" s="51">
        <f>IFERROR(SUMIFS(Infrastructure[2027],
Infrastructure[[variable_type]:[variable_type]],"H2_outflow",
Infrastructure[[cluster]:[cluster]],$B$557,
Infrastructure[[pipe_cluster_end]:[pipe_cluster_end]],$B562)*PJ2TWh,"")</f>
        <v>0</v>
      </c>
      <c r="J562" s="51">
        <f>IFERROR(SUMIFS(Infrastructure[2028],
Infrastructure[[variable_type]:[variable_type]],"H2_outflow",
Infrastructure[[cluster]:[cluster]],$B$557,
Infrastructure[[pipe_cluster_end]:[pipe_cluster_end]],$B562)*PJ2TWh,"")</f>
        <v>0</v>
      </c>
      <c r="K562" s="51">
        <f>IFERROR(SUMIFS(Infrastructure[2029],
Infrastructure[[variable_type]:[variable_type]],"H2_outflow",
Infrastructure[[cluster]:[cluster]],$B$557,
Infrastructure[[pipe_cluster_end]:[pipe_cluster_end]],$B562)*PJ2TWh,"")</f>
        <v>0</v>
      </c>
      <c r="L562" s="51">
        <f>IFERROR(SUMIFS(Infrastructure[2030],
Infrastructure[[variable_type]:[variable_type]],"H2_outflow",
Infrastructure[[cluster]:[cluster]],$B$557,
Infrastructure[[pipe_cluster_end]:[pipe_cluster_end]],$B562)*PJ2TWh,"")</f>
        <v>0</v>
      </c>
      <c r="M562" s="51">
        <f>IFERROR(SUMIFS(Infrastructure[2031],
Infrastructure[[variable_type]:[variable_type]],"H2_outflow",
Infrastructure[[cluster]:[cluster]],$B$557,
Infrastructure[[pipe_cluster_end]:[pipe_cluster_end]],$B562)*PJ2TWh,"")</f>
        <v>0</v>
      </c>
      <c r="N562" s="51">
        <f>IFERROR(SUMIFS(Infrastructure[2032],
Infrastructure[[variable_type]:[variable_type]],"H2_outflow",
Infrastructure[[cluster]:[cluster]],$B$557,
Infrastructure[[pipe_cluster_end]:[pipe_cluster_end]],$B562)*PJ2TWh,"")</f>
        <v>0</v>
      </c>
      <c r="O562" s="51">
        <f>IFERROR(SUMIFS(Infrastructure[2033],
Infrastructure[[variable_type]:[variable_type]],"H2_outflow",
Infrastructure[[cluster]:[cluster]],$B$557,
Infrastructure[[pipe_cluster_end]:[pipe_cluster_end]],$B562)*PJ2TWh,"")</f>
        <v>0</v>
      </c>
      <c r="P562" s="51">
        <f>IFERROR(SUMIFS(Infrastructure[2034],
Infrastructure[[variable_type]:[variable_type]],"H2_outflow",
Infrastructure[[cluster]:[cluster]],$B$557,
Infrastructure[[pipe_cluster_end]:[pipe_cluster_end]],$B562)*PJ2TWh,"")</f>
        <v>0</v>
      </c>
      <c r="Q562" s="51">
        <f>IFERROR(SUMIFS(Infrastructure[2035],
Infrastructure[[variable_type]:[variable_type]],"H2_outflow",
Infrastructure[[cluster]:[cluster]],$B$557,
Infrastructure[[pipe_cluster_end]:[pipe_cluster_end]],$B562)*PJ2TWh,"")</f>
        <v>0</v>
      </c>
      <c r="R562" s="51">
        <f>IFERROR(SUMIFS(Infrastructure[2036],
Infrastructure[[variable_type]:[variable_type]],"H2_outflow",
Infrastructure[[cluster]:[cluster]],$B$557,
Infrastructure[[pipe_cluster_end]:[pipe_cluster_end]],$B562)*PJ2TWh,"")</f>
        <v>0</v>
      </c>
      <c r="S562" s="51">
        <f>IFERROR(SUMIFS(Infrastructure[2037],
Infrastructure[[variable_type]:[variable_type]],"H2_outflow",
Infrastructure[[cluster]:[cluster]],$B$557,
Infrastructure[[pipe_cluster_end]:[pipe_cluster_end]],$B562)*PJ2TWh,"")</f>
        <v>0</v>
      </c>
      <c r="T562" s="51">
        <f>IFERROR(SUMIFS(Infrastructure[2038],
Infrastructure[[variable_type]:[variable_type]],"H2_outflow",
Infrastructure[[cluster]:[cluster]],$B$557,
Infrastructure[[pipe_cluster_end]:[pipe_cluster_end]],$B562)*PJ2TWh,"")</f>
        <v>0</v>
      </c>
      <c r="U562" s="51">
        <f>IFERROR(SUMIFS(Infrastructure[2039],
Infrastructure[[variable_type]:[variable_type]],"H2_outflow",
Infrastructure[[cluster]:[cluster]],$B$557,
Infrastructure[[pipe_cluster_end]:[pipe_cluster_end]],$B562)*PJ2TWh,"")</f>
        <v>0</v>
      </c>
      <c r="V562" s="51">
        <f>IFERROR(SUMIFS(Infrastructure[2040],
Infrastructure[[variable_type]:[variable_type]],"H2_outflow",
Infrastructure[[cluster]:[cluster]],$B$557,
Infrastructure[[pipe_cluster_end]:[pipe_cluster_end]],$B562)*PJ2TWh,"")</f>
        <v>0</v>
      </c>
      <c r="W562" s="51">
        <f>IFERROR(SUMIFS(Infrastructure[2041],
Infrastructure[[variable_type]:[variable_type]],"H2_outflow",
Infrastructure[[cluster]:[cluster]],$B$557,
Infrastructure[[pipe_cluster_end]:[pipe_cluster_end]],$B562)*PJ2TWh,"")</f>
        <v>0</v>
      </c>
      <c r="X562" s="51">
        <f>IFERROR(SUMIFS(Infrastructure[2042],
Infrastructure[[variable_type]:[variable_type]],"H2_outflow",
Infrastructure[[cluster]:[cluster]],$B$557,
Infrastructure[[pipe_cluster_end]:[pipe_cluster_end]],$B562)*PJ2TWh,"")</f>
        <v>0</v>
      </c>
      <c r="Y562" s="51">
        <f>IFERROR(SUMIFS(Infrastructure[2043],
Infrastructure[[variable_type]:[variable_type]],"H2_outflow",
Infrastructure[[cluster]:[cluster]],$B$557,
Infrastructure[[pipe_cluster_end]:[pipe_cluster_end]],$B562)*PJ2TWh,"")</f>
        <v>0</v>
      </c>
      <c r="Z562" s="51">
        <f>IFERROR(SUMIFS(Infrastructure[2044],
Infrastructure[[variable_type]:[variable_type]],"H2_outflow",
Infrastructure[[cluster]:[cluster]],$B$557,
Infrastructure[[pipe_cluster_end]:[pipe_cluster_end]],$B562)*PJ2TWh,"")</f>
        <v>0</v>
      </c>
      <c r="AA562" s="51">
        <f>IFERROR(SUMIFS(Infrastructure[2045],
Infrastructure[[variable_type]:[variable_type]],"H2_outflow",
Infrastructure[[cluster]:[cluster]],$B$557,
Infrastructure[[pipe_cluster_end]:[pipe_cluster_end]],$B562)*PJ2TWh,"")</f>
        <v>0</v>
      </c>
      <c r="AB562" s="51">
        <f>IFERROR(SUMIFS(Infrastructure[2046],
Infrastructure[[variable_type]:[variable_type]],"H2_outflow",
Infrastructure[[cluster]:[cluster]],$B$557,
Infrastructure[[pipe_cluster_end]:[pipe_cluster_end]],$B562)*PJ2TWh,"")</f>
        <v>0</v>
      </c>
      <c r="AC562" s="51">
        <f>IFERROR(SUMIFS(Infrastructure[2047],
Infrastructure[[variable_type]:[variable_type]],"H2_outflow",
Infrastructure[[cluster]:[cluster]],$B$557,
Infrastructure[[pipe_cluster_end]:[pipe_cluster_end]],$B562)*PJ2TWh,"")</f>
        <v>0</v>
      </c>
      <c r="AD562" s="51">
        <f>IFERROR(SUMIFS(Infrastructure[2048],
Infrastructure[[variable_type]:[variable_type]],"H2_outflow",
Infrastructure[[cluster]:[cluster]],$B$557,
Infrastructure[[pipe_cluster_end]:[pipe_cluster_end]],$B562)*PJ2TWh,"")</f>
        <v>0</v>
      </c>
      <c r="AE562" s="51">
        <f>IFERROR(SUMIFS(Infrastructure[2049],
Infrastructure[[variable_type]:[variable_type]],"H2_outflow",
Infrastructure[[cluster]:[cluster]],$B$557,
Infrastructure[[pipe_cluster_end]:[pipe_cluster_end]],$B562)*PJ2TWh,"")</f>
        <v>0</v>
      </c>
      <c r="AF562" s="51">
        <f>IFERROR(SUMIFS(Infrastructure[2050],
Infrastructure[[variable_type]:[variable_type]],"H2_outflow",
Infrastructure[[cluster]:[cluster]],$B$557,
Infrastructure[[pipe_cluster_end]:[pipe_cluster_end]],$B562)*PJ2TWh,"")</f>
        <v>0</v>
      </c>
      <c r="AG562" s="51">
        <f>IFERROR(SUMIFS(Infrastructure[2051],
Infrastructure[[variable_type]:[variable_type]],"H2_outflow",
Infrastructure[[cluster]:[cluster]],$B$557,
Infrastructure[[pipe_cluster_end]:[pipe_cluster_end]],$B562)*PJ2TWh,"")</f>
        <v>0</v>
      </c>
    </row>
    <row r="563" spans="1:33" x14ac:dyDescent="0.45">
      <c r="B563" s="24" t="s">
        <v>74</v>
      </c>
      <c r="C563" s="51">
        <f>IFERROR(SUMIFS(Infrastructure[2021],
Infrastructure[[variable_type]:[variable_type]],"H2_outflow",
Infrastructure[[cluster]:[cluster]],$B$557,
Infrastructure[[pipe_cluster_end]:[pipe_cluster_end]],$B563)*PJ2TWh,"")</f>
        <v>0</v>
      </c>
      <c r="D563" s="51">
        <f>IFERROR(SUMIFS(Infrastructure[2022],
Infrastructure[[variable_type]:[variable_type]],"H2_outflow",
Infrastructure[[cluster]:[cluster]],$B$557,
Infrastructure[[pipe_cluster_end]:[pipe_cluster_end]],$B563)*PJ2TWh,"")</f>
        <v>0</v>
      </c>
      <c r="E563" s="51">
        <f>IFERROR(SUMIFS(Infrastructure[2023],
Infrastructure[[variable_type]:[variable_type]],"H2_outflow",
Infrastructure[[cluster]:[cluster]],$B$557,
Infrastructure[[pipe_cluster_end]:[pipe_cluster_end]],$B563)*PJ2TWh,"")</f>
        <v>0</v>
      </c>
      <c r="F563" s="51">
        <f>IFERROR(SUMIFS(Infrastructure[2024],
Infrastructure[[variable_type]:[variable_type]],"H2_outflow",
Infrastructure[[cluster]:[cluster]],$B$557,
Infrastructure[[pipe_cluster_end]:[pipe_cluster_end]],$B563)*PJ2TWh,"")</f>
        <v>0</v>
      </c>
      <c r="G563" s="51">
        <f>IFERROR(SUMIFS(Infrastructure[2025],
Infrastructure[[variable_type]:[variable_type]],"H2_outflow",
Infrastructure[[cluster]:[cluster]],$B$557,
Infrastructure[[pipe_cluster_end]:[pipe_cluster_end]],$B563)*PJ2TWh,"")</f>
        <v>0</v>
      </c>
      <c r="H563" s="51">
        <f>IFERROR(SUMIFS(Infrastructure[2026],
Infrastructure[[variable_type]:[variable_type]],"H2_outflow",
Infrastructure[[cluster]:[cluster]],$B$557,
Infrastructure[[pipe_cluster_end]:[pipe_cluster_end]],$B563)*PJ2TWh,"")</f>
        <v>0</v>
      </c>
      <c r="I563" s="51">
        <f>IFERROR(SUMIFS(Infrastructure[2027],
Infrastructure[[variable_type]:[variable_type]],"H2_outflow",
Infrastructure[[cluster]:[cluster]],$B$557,
Infrastructure[[pipe_cluster_end]:[pipe_cluster_end]],$B563)*PJ2TWh,"")</f>
        <v>0</v>
      </c>
      <c r="J563" s="51">
        <f>IFERROR(SUMIFS(Infrastructure[2028],
Infrastructure[[variable_type]:[variable_type]],"H2_outflow",
Infrastructure[[cluster]:[cluster]],$B$557,
Infrastructure[[pipe_cluster_end]:[pipe_cluster_end]],$B563)*PJ2TWh,"")</f>
        <v>0</v>
      </c>
      <c r="K563" s="51">
        <f>IFERROR(SUMIFS(Infrastructure[2029],
Infrastructure[[variable_type]:[variable_type]],"H2_outflow",
Infrastructure[[cluster]:[cluster]],$B$557,
Infrastructure[[pipe_cluster_end]:[pipe_cluster_end]],$B563)*PJ2TWh,"")</f>
        <v>0</v>
      </c>
      <c r="L563" s="51">
        <f>IFERROR(SUMIFS(Infrastructure[2030],
Infrastructure[[variable_type]:[variable_type]],"H2_outflow",
Infrastructure[[cluster]:[cluster]],$B$557,
Infrastructure[[pipe_cluster_end]:[pipe_cluster_end]],$B563)*PJ2TWh,"")</f>
        <v>0</v>
      </c>
      <c r="M563" s="51">
        <f>IFERROR(SUMIFS(Infrastructure[2031],
Infrastructure[[variable_type]:[variable_type]],"H2_outflow",
Infrastructure[[cluster]:[cluster]],$B$557,
Infrastructure[[pipe_cluster_end]:[pipe_cluster_end]],$B563)*PJ2TWh,"")</f>
        <v>0</v>
      </c>
      <c r="N563" s="51">
        <f>IFERROR(SUMIFS(Infrastructure[2032],
Infrastructure[[variable_type]:[variable_type]],"H2_outflow",
Infrastructure[[cluster]:[cluster]],$B$557,
Infrastructure[[pipe_cluster_end]:[pipe_cluster_end]],$B563)*PJ2TWh,"")</f>
        <v>0</v>
      </c>
      <c r="O563" s="51">
        <f>IFERROR(SUMIFS(Infrastructure[2033],
Infrastructure[[variable_type]:[variable_type]],"H2_outflow",
Infrastructure[[cluster]:[cluster]],$B$557,
Infrastructure[[pipe_cluster_end]:[pipe_cluster_end]],$B563)*PJ2TWh,"")</f>
        <v>0</v>
      </c>
      <c r="P563" s="51">
        <f>IFERROR(SUMIFS(Infrastructure[2034],
Infrastructure[[variable_type]:[variable_type]],"H2_outflow",
Infrastructure[[cluster]:[cluster]],$B$557,
Infrastructure[[pipe_cluster_end]:[pipe_cluster_end]],$B563)*PJ2TWh,"")</f>
        <v>0</v>
      </c>
      <c r="Q563" s="51">
        <f>IFERROR(SUMIFS(Infrastructure[2035],
Infrastructure[[variable_type]:[variable_type]],"H2_outflow",
Infrastructure[[cluster]:[cluster]],$B$557,
Infrastructure[[pipe_cluster_end]:[pipe_cluster_end]],$B563)*PJ2TWh,"")</f>
        <v>0</v>
      </c>
      <c r="R563" s="51">
        <f>IFERROR(SUMIFS(Infrastructure[2036],
Infrastructure[[variable_type]:[variable_type]],"H2_outflow",
Infrastructure[[cluster]:[cluster]],$B$557,
Infrastructure[[pipe_cluster_end]:[pipe_cluster_end]],$B563)*PJ2TWh,"")</f>
        <v>0</v>
      </c>
      <c r="S563" s="51">
        <f>IFERROR(SUMIFS(Infrastructure[2037],
Infrastructure[[variable_type]:[variable_type]],"H2_outflow",
Infrastructure[[cluster]:[cluster]],$B$557,
Infrastructure[[pipe_cluster_end]:[pipe_cluster_end]],$B563)*PJ2TWh,"")</f>
        <v>0</v>
      </c>
      <c r="T563" s="51">
        <f>IFERROR(SUMIFS(Infrastructure[2038],
Infrastructure[[variable_type]:[variable_type]],"H2_outflow",
Infrastructure[[cluster]:[cluster]],$B$557,
Infrastructure[[pipe_cluster_end]:[pipe_cluster_end]],$B563)*PJ2TWh,"")</f>
        <v>0</v>
      </c>
      <c r="U563" s="51">
        <f>IFERROR(SUMIFS(Infrastructure[2039],
Infrastructure[[variable_type]:[variable_type]],"H2_outflow",
Infrastructure[[cluster]:[cluster]],$B$557,
Infrastructure[[pipe_cluster_end]:[pipe_cluster_end]],$B563)*PJ2TWh,"")</f>
        <v>0</v>
      </c>
      <c r="V563" s="51">
        <f>IFERROR(SUMIFS(Infrastructure[2040],
Infrastructure[[variable_type]:[variable_type]],"H2_outflow",
Infrastructure[[cluster]:[cluster]],$B$557,
Infrastructure[[pipe_cluster_end]:[pipe_cluster_end]],$B563)*PJ2TWh,"")</f>
        <v>0</v>
      </c>
      <c r="W563" s="51">
        <f>IFERROR(SUMIFS(Infrastructure[2041],
Infrastructure[[variable_type]:[variable_type]],"H2_outflow",
Infrastructure[[cluster]:[cluster]],$B$557,
Infrastructure[[pipe_cluster_end]:[pipe_cluster_end]],$B563)*PJ2TWh,"")</f>
        <v>0</v>
      </c>
      <c r="X563" s="51">
        <f>IFERROR(SUMIFS(Infrastructure[2042],
Infrastructure[[variable_type]:[variable_type]],"H2_outflow",
Infrastructure[[cluster]:[cluster]],$B$557,
Infrastructure[[pipe_cluster_end]:[pipe_cluster_end]],$B563)*PJ2TWh,"")</f>
        <v>0</v>
      </c>
      <c r="Y563" s="51">
        <f>IFERROR(SUMIFS(Infrastructure[2043],
Infrastructure[[variable_type]:[variable_type]],"H2_outflow",
Infrastructure[[cluster]:[cluster]],$B$557,
Infrastructure[[pipe_cluster_end]:[pipe_cluster_end]],$B563)*PJ2TWh,"")</f>
        <v>0</v>
      </c>
      <c r="Z563" s="51">
        <f>IFERROR(SUMIFS(Infrastructure[2044],
Infrastructure[[variable_type]:[variable_type]],"H2_outflow",
Infrastructure[[cluster]:[cluster]],$B$557,
Infrastructure[[pipe_cluster_end]:[pipe_cluster_end]],$B563)*PJ2TWh,"")</f>
        <v>0</v>
      </c>
      <c r="AA563" s="51">
        <f>IFERROR(SUMIFS(Infrastructure[2045],
Infrastructure[[variable_type]:[variable_type]],"H2_outflow",
Infrastructure[[cluster]:[cluster]],$B$557,
Infrastructure[[pipe_cluster_end]:[pipe_cluster_end]],$B563)*PJ2TWh,"")</f>
        <v>0</v>
      </c>
      <c r="AB563" s="51">
        <f>IFERROR(SUMIFS(Infrastructure[2046],
Infrastructure[[variable_type]:[variable_type]],"H2_outflow",
Infrastructure[[cluster]:[cluster]],$B$557,
Infrastructure[[pipe_cluster_end]:[pipe_cluster_end]],$B563)*PJ2TWh,"")</f>
        <v>0</v>
      </c>
      <c r="AC563" s="51">
        <f>IFERROR(SUMIFS(Infrastructure[2047],
Infrastructure[[variable_type]:[variable_type]],"H2_outflow",
Infrastructure[[cluster]:[cluster]],$B$557,
Infrastructure[[pipe_cluster_end]:[pipe_cluster_end]],$B563)*PJ2TWh,"")</f>
        <v>0</v>
      </c>
      <c r="AD563" s="51">
        <f>IFERROR(SUMIFS(Infrastructure[2048],
Infrastructure[[variable_type]:[variable_type]],"H2_outflow",
Infrastructure[[cluster]:[cluster]],$B$557,
Infrastructure[[pipe_cluster_end]:[pipe_cluster_end]],$B563)*PJ2TWh,"")</f>
        <v>0</v>
      </c>
      <c r="AE563" s="51">
        <f>IFERROR(SUMIFS(Infrastructure[2049],
Infrastructure[[variable_type]:[variable_type]],"H2_outflow",
Infrastructure[[cluster]:[cluster]],$B$557,
Infrastructure[[pipe_cluster_end]:[pipe_cluster_end]],$B563)*PJ2TWh,"")</f>
        <v>0</v>
      </c>
      <c r="AF563" s="51">
        <f>IFERROR(SUMIFS(Infrastructure[2050],
Infrastructure[[variable_type]:[variable_type]],"H2_outflow",
Infrastructure[[cluster]:[cluster]],$B$557,
Infrastructure[[pipe_cluster_end]:[pipe_cluster_end]],$B563)*PJ2TWh,"")</f>
        <v>0</v>
      </c>
      <c r="AG563" s="51">
        <f>IFERROR(SUMIFS(Infrastructure[2051],
Infrastructure[[variable_type]:[variable_type]],"H2_outflow",
Infrastructure[[cluster]:[cluster]],$B$557,
Infrastructure[[pipe_cluster_end]:[pipe_cluster_end]],$B563)*PJ2TWh,"")</f>
        <v>0</v>
      </c>
    </row>
    <row r="564" spans="1:33" x14ac:dyDescent="0.45">
      <c r="B564" s="24" t="s">
        <v>75</v>
      </c>
      <c r="C564" s="51">
        <f>IFERROR(SUMIFS(Infrastructure[2021],
Infrastructure[[variable_type]:[variable_type]],"H2_outflow",
Infrastructure[[cluster]:[cluster]],$B$557,
Infrastructure[[pipe_cluster_end]:[pipe_cluster_end]],$B564)*PJ2TWh,"")</f>
        <v>0</v>
      </c>
      <c r="D564" s="51">
        <f>IFERROR(SUMIFS(Infrastructure[2022],
Infrastructure[[variable_type]:[variable_type]],"H2_outflow",
Infrastructure[[cluster]:[cluster]],$B$557,
Infrastructure[[pipe_cluster_end]:[pipe_cluster_end]],$B564)*PJ2TWh,"")</f>
        <v>0</v>
      </c>
      <c r="E564" s="51">
        <f>IFERROR(SUMIFS(Infrastructure[2023],
Infrastructure[[variable_type]:[variable_type]],"H2_outflow",
Infrastructure[[cluster]:[cluster]],$B$557,
Infrastructure[[pipe_cluster_end]:[pipe_cluster_end]],$B564)*PJ2TWh,"")</f>
        <v>0</v>
      </c>
      <c r="F564" s="51">
        <f>IFERROR(SUMIFS(Infrastructure[2024],
Infrastructure[[variable_type]:[variable_type]],"H2_outflow",
Infrastructure[[cluster]:[cluster]],$B$557,
Infrastructure[[pipe_cluster_end]:[pipe_cluster_end]],$B564)*PJ2TWh,"")</f>
        <v>0</v>
      </c>
      <c r="G564" s="51">
        <f>IFERROR(SUMIFS(Infrastructure[2025],
Infrastructure[[variable_type]:[variable_type]],"H2_outflow",
Infrastructure[[cluster]:[cluster]],$B$557,
Infrastructure[[pipe_cluster_end]:[pipe_cluster_end]],$B564)*PJ2TWh,"")</f>
        <v>0</v>
      </c>
      <c r="H564" s="51">
        <f>IFERROR(SUMIFS(Infrastructure[2026],
Infrastructure[[variable_type]:[variable_type]],"H2_outflow",
Infrastructure[[cluster]:[cluster]],$B$557,
Infrastructure[[pipe_cluster_end]:[pipe_cluster_end]],$B564)*PJ2TWh,"")</f>
        <v>0</v>
      </c>
      <c r="I564" s="51">
        <f>IFERROR(SUMIFS(Infrastructure[2027],
Infrastructure[[variable_type]:[variable_type]],"H2_outflow",
Infrastructure[[cluster]:[cluster]],$B$557,
Infrastructure[[pipe_cluster_end]:[pipe_cluster_end]],$B564)*PJ2TWh,"")</f>
        <v>0</v>
      </c>
      <c r="J564" s="51">
        <f>IFERROR(SUMIFS(Infrastructure[2028],
Infrastructure[[variable_type]:[variable_type]],"H2_outflow",
Infrastructure[[cluster]:[cluster]],$B$557,
Infrastructure[[pipe_cluster_end]:[pipe_cluster_end]],$B564)*PJ2TWh,"")</f>
        <v>0</v>
      </c>
      <c r="K564" s="51">
        <f>IFERROR(SUMIFS(Infrastructure[2029],
Infrastructure[[variable_type]:[variable_type]],"H2_outflow",
Infrastructure[[cluster]:[cluster]],$B$557,
Infrastructure[[pipe_cluster_end]:[pipe_cluster_end]],$B564)*PJ2TWh,"")</f>
        <v>0</v>
      </c>
      <c r="L564" s="51">
        <f>IFERROR(SUMIFS(Infrastructure[2030],
Infrastructure[[variable_type]:[variable_type]],"H2_outflow",
Infrastructure[[cluster]:[cluster]],$B$557,
Infrastructure[[pipe_cluster_end]:[pipe_cluster_end]],$B564)*PJ2TWh,"")</f>
        <v>0</v>
      </c>
      <c r="M564" s="51">
        <f>IFERROR(SUMIFS(Infrastructure[2031],
Infrastructure[[variable_type]:[variable_type]],"H2_outflow",
Infrastructure[[cluster]:[cluster]],$B$557,
Infrastructure[[pipe_cluster_end]:[pipe_cluster_end]],$B564)*PJ2TWh,"")</f>
        <v>0</v>
      </c>
      <c r="N564" s="51">
        <f>IFERROR(SUMIFS(Infrastructure[2032],
Infrastructure[[variable_type]:[variable_type]],"H2_outflow",
Infrastructure[[cluster]:[cluster]],$B$557,
Infrastructure[[pipe_cluster_end]:[pipe_cluster_end]],$B564)*PJ2TWh,"")</f>
        <v>0</v>
      </c>
      <c r="O564" s="51">
        <f>IFERROR(SUMIFS(Infrastructure[2033],
Infrastructure[[variable_type]:[variable_type]],"H2_outflow",
Infrastructure[[cluster]:[cluster]],$B$557,
Infrastructure[[pipe_cluster_end]:[pipe_cluster_end]],$B564)*PJ2TWh,"")</f>
        <v>0</v>
      </c>
      <c r="P564" s="51">
        <f>IFERROR(SUMIFS(Infrastructure[2034],
Infrastructure[[variable_type]:[variable_type]],"H2_outflow",
Infrastructure[[cluster]:[cluster]],$B$557,
Infrastructure[[pipe_cluster_end]:[pipe_cluster_end]],$B564)*PJ2TWh,"")</f>
        <v>0</v>
      </c>
      <c r="Q564" s="51">
        <f>IFERROR(SUMIFS(Infrastructure[2035],
Infrastructure[[variable_type]:[variable_type]],"H2_outflow",
Infrastructure[[cluster]:[cluster]],$B$557,
Infrastructure[[pipe_cluster_end]:[pipe_cluster_end]],$B564)*PJ2TWh,"")</f>
        <v>0</v>
      </c>
      <c r="R564" s="51">
        <f>IFERROR(SUMIFS(Infrastructure[2036],
Infrastructure[[variable_type]:[variable_type]],"H2_outflow",
Infrastructure[[cluster]:[cluster]],$B$557,
Infrastructure[[pipe_cluster_end]:[pipe_cluster_end]],$B564)*PJ2TWh,"")</f>
        <v>0</v>
      </c>
      <c r="S564" s="51">
        <f>IFERROR(SUMIFS(Infrastructure[2037],
Infrastructure[[variable_type]:[variable_type]],"H2_outflow",
Infrastructure[[cluster]:[cluster]],$B$557,
Infrastructure[[pipe_cluster_end]:[pipe_cluster_end]],$B564)*PJ2TWh,"")</f>
        <v>0</v>
      </c>
      <c r="T564" s="51">
        <f>IFERROR(SUMIFS(Infrastructure[2038],
Infrastructure[[variable_type]:[variable_type]],"H2_outflow",
Infrastructure[[cluster]:[cluster]],$B$557,
Infrastructure[[pipe_cluster_end]:[pipe_cluster_end]],$B564)*PJ2TWh,"")</f>
        <v>0</v>
      </c>
      <c r="U564" s="51">
        <f>IFERROR(SUMIFS(Infrastructure[2039],
Infrastructure[[variable_type]:[variable_type]],"H2_outflow",
Infrastructure[[cluster]:[cluster]],$B$557,
Infrastructure[[pipe_cluster_end]:[pipe_cluster_end]],$B564)*PJ2TWh,"")</f>
        <v>0</v>
      </c>
      <c r="V564" s="51">
        <f>IFERROR(SUMIFS(Infrastructure[2040],
Infrastructure[[variable_type]:[variable_type]],"H2_outflow",
Infrastructure[[cluster]:[cluster]],$B$557,
Infrastructure[[pipe_cluster_end]:[pipe_cluster_end]],$B564)*PJ2TWh,"")</f>
        <v>0</v>
      </c>
      <c r="W564" s="51">
        <f>IFERROR(SUMIFS(Infrastructure[2041],
Infrastructure[[variable_type]:[variable_type]],"H2_outflow",
Infrastructure[[cluster]:[cluster]],$B$557,
Infrastructure[[pipe_cluster_end]:[pipe_cluster_end]],$B564)*PJ2TWh,"")</f>
        <v>0</v>
      </c>
      <c r="X564" s="51">
        <f>IFERROR(SUMIFS(Infrastructure[2042],
Infrastructure[[variable_type]:[variable_type]],"H2_outflow",
Infrastructure[[cluster]:[cluster]],$B$557,
Infrastructure[[pipe_cluster_end]:[pipe_cluster_end]],$B564)*PJ2TWh,"")</f>
        <v>0</v>
      </c>
      <c r="Y564" s="51">
        <f>IFERROR(SUMIFS(Infrastructure[2043],
Infrastructure[[variable_type]:[variable_type]],"H2_outflow",
Infrastructure[[cluster]:[cluster]],$B$557,
Infrastructure[[pipe_cluster_end]:[pipe_cluster_end]],$B564)*PJ2TWh,"")</f>
        <v>0</v>
      </c>
      <c r="Z564" s="51">
        <f>IFERROR(SUMIFS(Infrastructure[2044],
Infrastructure[[variable_type]:[variable_type]],"H2_outflow",
Infrastructure[[cluster]:[cluster]],$B$557,
Infrastructure[[pipe_cluster_end]:[pipe_cluster_end]],$B564)*PJ2TWh,"")</f>
        <v>0</v>
      </c>
      <c r="AA564" s="51">
        <f>IFERROR(SUMIFS(Infrastructure[2045],
Infrastructure[[variable_type]:[variable_type]],"H2_outflow",
Infrastructure[[cluster]:[cluster]],$B$557,
Infrastructure[[pipe_cluster_end]:[pipe_cluster_end]],$B564)*PJ2TWh,"")</f>
        <v>0</v>
      </c>
      <c r="AB564" s="51">
        <f>IFERROR(SUMIFS(Infrastructure[2046],
Infrastructure[[variable_type]:[variable_type]],"H2_outflow",
Infrastructure[[cluster]:[cluster]],$B$557,
Infrastructure[[pipe_cluster_end]:[pipe_cluster_end]],$B564)*PJ2TWh,"")</f>
        <v>0</v>
      </c>
      <c r="AC564" s="51">
        <f>IFERROR(SUMIFS(Infrastructure[2047],
Infrastructure[[variable_type]:[variable_type]],"H2_outflow",
Infrastructure[[cluster]:[cluster]],$B$557,
Infrastructure[[pipe_cluster_end]:[pipe_cluster_end]],$B564)*PJ2TWh,"")</f>
        <v>0</v>
      </c>
      <c r="AD564" s="51">
        <f>IFERROR(SUMIFS(Infrastructure[2048],
Infrastructure[[variable_type]:[variable_type]],"H2_outflow",
Infrastructure[[cluster]:[cluster]],$B$557,
Infrastructure[[pipe_cluster_end]:[pipe_cluster_end]],$B564)*PJ2TWh,"")</f>
        <v>0</v>
      </c>
      <c r="AE564" s="51">
        <f>IFERROR(SUMIFS(Infrastructure[2049],
Infrastructure[[variable_type]:[variable_type]],"H2_outflow",
Infrastructure[[cluster]:[cluster]],$B$557,
Infrastructure[[pipe_cluster_end]:[pipe_cluster_end]],$B564)*PJ2TWh,"")</f>
        <v>0</v>
      </c>
      <c r="AF564" s="51">
        <f>IFERROR(SUMIFS(Infrastructure[2050],
Infrastructure[[variable_type]:[variable_type]],"H2_outflow",
Infrastructure[[cluster]:[cluster]],$B$557,
Infrastructure[[pipe_cluster_end]:[pipe_cluster_end]],$B564)*PJ2TWh,"")</f>
        <v>0</v>
      </c>
      <c r="AG564" s="51">
        <f>IFERROR(SUMIFS(Infrastructure[2051],
Infrastructure[[variable_type]:[variable_type]],"H2_outflow",
Infrastructure[[cluster]:[cluster]],$B$557,
Infrastructure[[pipe_cluster_end]:[pipe_cluster_end]],$B564)*PJ2TWh,"")</f>
        <v>0</v>
      </c>
    </row>
    <row r="565" spans="1:33" x14ac:dyDescent="0.45">
      <c r="B565" s="24" t="s">
        <v>76</v>
      </c>
      <c r="C565" s="51">
        <f>IFERROR(SUMIFS(Infrastructure[2021],
Infrastructure[[variable_type]:[variable_type]],"H2_outflow",
Infrastructure[[cluster]:[cluster]],$B$557,
Infrastructure[[pipe_cluster_end]:[pipe_cluster_end]],$B565)*PJ2TWh,"")</f>
        <v>0</v>
      </c>
      <c r="D565" s="51">
        <f>IFERROR(SUMIFS(Infrastructure[2022],
Infrastructure[[variable_type]:[variable_type]],"H2_outflow",
Infrastructure[[cluster]:[cluster]],$B$557,
Infrastructure[[pipe_cluster_end]:[pipe_cluster_end]],$B565)*PJ2TWh,"")</f>
        <v>0</v>
      </c>
      <c r="E565" s="51">
        <f>IFERROR(SUMIFS(Infrastructure[2023],
Infrastructure[[variable_type]:[variable_type]],"H2_outflow",
Infrastructure[[cluster]:[cluster]],$B$557,
Infrastructure[[pipe_cluster_end]:[pipe_cluster_end]],$B565)*PJ2TWh,"")</f>
        <v>0</v>
      </c>
      <c r="F565" s="51">
        <f>IFERROR(SUMIFS(Infrastructure[2024],
Infrastructure[[variable_type]:[variable_type]],"H2_outflow",
Infrastructure[[cluster]:[cluster]],$B$557,
Infrastructure[[pipe_cluster_end]:[pipe_cluster_end]],$B565)*PJ2TWh,"")</f>
        <v>0</v>
      </c>
      <c r="G565" s="51">
        <f>IFERROR(SUMIFS(Infrastructure[2025],
Infrastructure[[variable_type]:[variable_type]],"H2_outflow",
Infrastructure[[cluster]:[cluster]],$B$557,
Infrastructure[[pipe_cluster_end]:[pipe_cluster_end]],$B565)*PJ2TWh,"")</f>
        <v>0</v>
      </c>
      <c r="H565" s="51">
        <f>IFERROR(SUMIFS(Infrastructure[2026],
Infrastructure[[variable_type]:[variable_type]],"H2_outflow",
Infrastructure[[cluster]:[cluster]],$B$557,
Infrastructure[[pipe_cluster_end]:[pipe_cluster_end]],$B565)*PJ2TWh,"")</f>
        <v>0</v>
      </c>
      <c r="I565" s="51">
        <f>IFERROR(SUMIFS(Infrastructure[2027],
Infrastructure[[variable_type]:[variable_type]],"H2_outflow",
Infrastructure[[cluster]:[cluster]],$B$557,
Infrastructure[[pipe_cluster_end]:[pipe_cluster_end]],$B565)*PJ2TWh,"")</f>
        <v>0</v>
      </c>
      <c r="J565" s="51">
        <f>IFERROR(SUMIFS(Infrastructure[2028],
Infrastructure[[variable_type]:[variable_type]],"H2_outflow",
Infrastructure[[cluster]:[cluster]],$B$557,
Infrastructure[[pipe_cluster_end]:[pipe_cluster_end]],$B565)*PJ2TWh,"")</f>
        <v>0</v>
      </c>
      <c r="K565" s="51">
        <f>IFERROR(SUMIFS(Infrastructure[2029],
Infrastructure[[variable_type]:[variable_type]],"H2_outflow",
Infrastructure[[cluster]:[cluster]],$B$557,
Infrastructure[[pipe_cluster_end]:[pipe_cluster_end]],$B565)*PJ2TWh,"")</f>
        <v>0</v>
      </c>
      <c r="L565" s="51">
        <f>IFERROR(SUMIFS(Infrastructure[2030],
Infrastructure[[variable_type]:[variable_type]],"H2_outflow",
Infrastructure[[cluster]:[cluster]],$B$557,
Infrastructure[[pipe_cluster_end]:[pipe_cluster_end]],$B565)*PJ2TWh,"")</f>
        <v>0</v>
      </c>
      <c r="M565" s="51">
        <f>IFERROR(SUMIFS(Infrastructure[2031],
Infrastructure[[variable_type]:[variable_type]],"H2_outflow",
Infrastructure[[cluster]:[cluster]],$B$557,
Infrastructure[[pipe_cluster_end]:[pipe_cluster_end]],$B565)*PJ2TWh,"")</f>
        <v>0</v>
      </c>
      <c r="N565" s="51">
        <f>IFERROR(SUMIFS(Infrastructure[2032],
Infrastructure[[variable_type]:[variable_type]],"H2_outflow",
Infrastructure[[cluster]:[cluster]],$B$557,
Infrastructure[[pipe_cluster_end]:[pipe_cluster_end]],$B565)*PJ2TWh,"")</f>
        <v>0</v>
      </c>
      <c r="O565" s="51">
        <f>IFERROR(SUMIFS(Infrastructure[2033],
Infrastructure[[variable_type]:[variable_type]],"H2_outflow",
Infrastructure[[cluster]:[cluster]],$B$557,
Infrastructure[[pipe_cluster_end]:[pipe_cluster_end]],$B565)*PJ2TWh,"")</f>
        <v>0</v>
      </c>
      <c r="P565" s="51">
        <f>IFERROR(SUMIFS(Infrastructure[2034],
Infrastructure[[variable_type]:[variable_type]],"H2_outflow",
Infrastructure[[cluster]:[cluster]],$B$557,
Infrastructure[[pipe_cluster_end]:[pipe_cluster_end]],$B565)*PJ2TWh,"")</f>
        <v>0</v>
      </c>
      <c r="Q565" s="51">
        <f>IFERROR(SUMIFS(Infrastructure[2035],
Infrastructure[[variable_type]:[variable_type]],"H2_outflow",
Infrastructure[[cluster]:[cluster]],$B$557,
Infrastructure[[pipe_cluster_end]:[pipe_cluster_end]],$B565)*PJ2TWh,"")</f>
        <v>0</v>
      </c>
      <c r="R565" s="51">
        <f>IFERROR(SUMIFS(Infrastructure[2036],
Infrastructure[[variable_type]:[variable_type]],"H2_outflow",
Infrastructure[[cluster]:[cluster]],$B$557,
Infrastructure[[pipe_cluster_end]:[pipe_cluster_end]],$B565)*PJ2TWh,"")</f>
        <v>0</v>
      </c>
      <c r="S565" s="51">
        <f>IFERROR(SUMIFS(Infrastructure[2037],
Infrastructure[[variable_type]:[variable_type]],"H2_outflow",
Infrastructure[[cluster]:[cluster]],$B$557,
Infrastructure[[pipe_cluster_end]:[pipe_cluster_end]],$B565)*PJ2TWh,"")</f>
        <v>0</v>
      </c>
      <c r="T565" s="51">
        <f>IFERROR(SUMIFS(Infrastructure[2038],
Infrastructure[[variable_type]:[variable_type]],"H2_outflow",
Infrastructure[[cluster]:[cluster]],$B$557,
Infrastructure[[pipe_cluster_end]:[pipe_cluster_end]],$B565)*PJ2TWh,"")</f>
        <v>0</v>
      </c>
      <c r="U565" s="51">
        <f>IFERROR(SUMIFS(Infrastructure[2039],
Infrastructure[[variable_type]:[variable_type]],"H2_outflow",
Infrastructure[[cluster]:[cluster]],$B$557,
Infrastructure[[pipe_cluster_end]:[pipe_cluster_end]],$B565)*PJ2TWh,"")</f>
        <v>0</v>
      </c>
      <c r="V565" s="51">
        <f>IFERROR(SUMIFS(Infrastructure[2040],
Infrastructure[[variable_type]:[variable_type]],"H2_outflow",
Infrastructure[[cluster]:[cluster]],$B$557,
Infrastructure[[pipe_cluster_end]:[pipe_cluster_end]],$B565)*PJ2TWh,"")</f>
        <v>0</v>
      </c>
      <c r="W565" s="51">
        <f>IFERROR(SUMIFS(Infrastructure[2041],
Infrastructure[[variable_type]:[variable_type]],"H2_outflow",
Infrastructure[[cluster]:[cluster]],$B$557,
Infrastructure[[pipe_cluster_end]:[pipe_cluster_end]],$B565)*PJ2TWh,"")</f>
        <v>0</v>
      </c>
      <c r="X565" s="51">
        <f>IFERROR(SUMIFS(Infrastructure[2042],
Infrastructure[[variable_type]:[variable_type]],"H2_outflow",
Infrastructure[[cluster]:[cluster]],$B$557,
Infrastructure[[pipe_cluster_end]:[pipe_cluster_end]],$B565)*PJ2TWh,"")</f>
        <v>0</v>
      </c>
      <c r="Y565" s="51">
        <f>IFERROR(SUMIFS(Infrastructure[2043],
Infrastructure[[variable_type]:[variable_type]],"H2_outflow",
Infrastructure[[cluster]:[cluster]],$B$557,
Infrastructure[[pipe_cluster_end]:[pipe_cluster_end]],$B565)*PJ2TWh,"")</f>
        <v>0</v>
      </c>
      <c r="Z565" s="51">
        <f>IFERROR(SUMIFS(Infrastructure[2044],
Infrastructure[[variable_type]:[variable_type]],"H2_outflow",
Infrastructure[[cluster]:[cluster]],$B$557,
Infrastructure[[pipe_cluster_end]:[pipe_cluster_end]],$B565)*PJ2TWh,"")</f>
        <v>0</v>
      </c>
      <c r="AA565" s="51">
        <f>IFERROR(SUMIFS(Infrastructure[2045],
Infrastructure[[variable_type]:[variable_type]],"H2_outflow",
Infrastructure[[cluster]:[cluster]],$B$557,
Infrastructure[[pipe_cluster_end]:[pipe_cluster_end]],$B565)*PJ2TWh,"")</f>
        <v>0</v>
      </c>
      <c r="AB565" s="51">
        <f>IFERROR(SUMIFS(Infrastructure[2046],
Infrastructure[[variable_type]:[variable_type]],"H2_outflow",
Infrastructure[[cluster]:[cluster]],$B$557,
Infrastructure[[pipe_cluster_end]:[pipe_cluster_end]],$B565)*PJ2TWh,"")</f>
        <v>0</v>
      </c>
      <c r="AC565" s="51">
        <f>IFERROR(SUMIFS(Infrastructure[2047],
Infrastructure[[variable_type]:[variable_type]],"H2_outflow",
Infrastructure[[cluster]:[cluster]],$B$557,
Infrastructure[[pipe_cluster_end]:[pipe_cluster_end]],$B565)*PJ2TWh,"")</f>
        <v>0</v>
      </c>
      <c r="AD565" s="51">
        <f>IFERROR(SUMIFS(Infrastructure[2048],
Infrastructure[[variable_type]:[variable_type]],"H2_outflow",
Infrastructure[[cluster]:[cluster]],$B$557,
Infrastructure[[pipe_cluster_end]:[pipe_cluster_end]],$B565)*PJ2TWh,"")</f>
        <v>0</v>
      </c>
      <c r="AE565" s="51">
        <f>IFERROR(SUMIFS(Infrastructure[2049],
Infrastructure[[variable_type]:[variable_type]],"H2_outflow",
Infrastructure[[cluster]:[cluster]],$B$557,
Infrastructure[[pipe_cluster_end]:[pipe_cluster_end]],$B565)*PJ2TWh,"")</f>
        <v>0</v>
      </c>
      <c r="AF565" s="51">
        <f>IFERROR(SUMIFS(Infrastructure[2050],
Infrastructure[[variable_type]:[variable_type]],"H2_outflow",
Infrastructure[[cluster]:[cluster]],$B$557,
Infrastructure[[pipe_cluster_end]:[pipe_cluster_end]],$B565)*PJ2TWh,"")</f>
        <v>0</v>
      </c>
      <c r="AG565" s="51">
        <f>IFERROR(SUMIFS(Infrastructure[2051],
Infrastructure[[variable_type]:[variable_type]],"H2_outflow",
Infrastructure[[cluster]:[cluster]],$B$557,
Infrastructure[[pipe_cluster_end]:[pipe_cluster_end]],$B565)*PJ2TWh,"")</f>
        <v>0</v>
      </c>
    </row>
    <row r="566" spans="1:33" x14ac:dyDescent="0.45">
      <c r="B566" s="24" t="s">
        <v>77</v>
      </c>
      <c r="C566" s="51">
        <f>IFERROR(SUMIFS(Infrastructure[2021],
Infrastructure[[variable_type]:[variable_type]],"H2_outflow",
Infrastructure[[cluster]:[cluster]],$B$557,
Infrastructure[[pipe_cluster_end]:[pipe_cluster_end]],$B566)*PJ2TWh,"")</f>
        <v>0</v>
      </c>
      <c r="D566" s="51">
        <f>IFERROR(SUMIFS(Infrastructure[2022],
Infrastructure[[variable_type]:[variable_type]],"H2_outflow",
Infrastructure[[cluster]:[cluster]],$B$557,
Infrastructure[[pipe_cluster_end]:[pipe_cluster_end]],$B566)*PJ2TWh,"")</f>
        <v>0</v>
      </c>
      <c r="E566" s="51">
        <f>IFERROR(SUMIFS(Infrastructure[2023],
Infrastructure[[variable_type]:[variable_type]],"H2_outflow",
Infrastructure[[cluster]:[cluster]],$B$557,
Infrastructure[[pipe_cluster_end]:[pipe_cluster_end]],$B566)*PJ2TWh,"")</f>
        <v>0</v>
      </c>
      <c r="F566" s="51">
        <f>IFERROR(SUMIFS(Infrastructure[2024],
Infrastructure[[variable_type]:[variable_type]],"H2_outflow",
Infrastructure[[cluster]:[cluster]],$B$557,
Infrastructure[[pipe_cluster_end]:[pipe_cluster_end]],$B566)*PJ2TWh,"")</f>
        <v>0</v>
      </c>
      <c r="G566" s="51">
        <f>IFERROR(SUMIFS(Infrastructure[2025],
Infrastructure[[variable_type]:[variable_type]],"H2_outflow",
Infrastructure[[cluster]:[cluster]],$B$557,
Infrastructure[[pipe_cluster_end]:[pipe_cluster_end]],$B566)*PJ2TWh,"")</f>
        <v>0</v>
      </c>
      <c r="H566" s="51">
        <f>IFERROR(SUMIFS(Infrastructure[2026],
Infrastructure[[variable_type]:[variable_type]],"H2_outflow",
Infrastructure[[cluster]:[cluster]],$B$557,
Infrastructure[[pipe_cluster_end]:[pipe_cluster_end]],$B566)*PJ2TWh,"")</f>
        <v>0</v>
      </c>
      <c r="I566" s="51">
        <f>IFERROR(SUMIFS(Infrastructure[2027],
Infrastructure[[variable_type]:[variable_type]],"H2_outflow",
Infrastructure[[cluster]:[cluster]],$B$557,
Infrastructure[[pipe_cluster_end]:[pipe_cluster_end]],$B566)*PJ2TWh,"")</f>
        <v>0</v>
      </c>
      <c r="J566" s="51">
        <f>IFERROR(SUMIFS(Infrastructure[2028],
Infrastructure[[variable_type]:[variable_type]],"H2_outflow",
Infrastructure[[cluster]:[cluster]],$B$557,
Infrastructure[[pipe_cluster_end]:[pipe_cluster_end]],$B566)*PJ2TWh,"")</f>
        <v>0</v>
      </c>
      <c r="K566" s="51">
        <f>IFERROR(SUMIFS(Infrastructure[2029],
Infrastructure[[variable_type]:[variable_type]],"H2_outflow",
Infrastructure[[cluster]:[cluster]],$B$557,
Infrastructure[[pipe_cluster_end]:[pipe_cluster_end]],$B566)*PJ2TWh,"")</f>
        <v>0</v>
      </c>
      <c r="L566" s="51">
        <f>IFERROR(SUMIFS(Infrastructure[2030],
Infrastructure[[variable_type]:[variable_type]],"H2_outflow",
Infrastructure[[cluster]:[cluster]],$B$557,
Infrastructure[[pipe_cluster_end]:[pipe_cluster_end]],$B566)*PJ2TWh,"")</f>
        <v>0</v>
      </c>
      <c r="M566" s="51">
        <f>IFERROR(SUMIFS(Infrastructure[2031],
Infrastructure[[variable_type]:[variable_type]],"H2_outflow",
Infrastructure[[cluster]:[cluster]],$B$557,
Infrastructure[[pipe_cluster_end]:[pipe_cluster_end]],$B566)*PJ2TWh,"")</f>
        <v>0</v>
      </c>
      <c r="N566" s="51">
        <f>IFERROR(SUMIFS(Infrastructure[2032],
Infrastructure[[variable_type]:[variable_type]],"H2_outflow",
Infrastructure[[cluster]:[cluster]],$B$557,
Infrastructure[[pipe_cluster_end]:[pipe_cluster_end]],$B566)*PJ2TWh,"")</f>
        <v>0</v>
      </c>
      <c r="O566" s="51">
        <f>IFERROR(SUMIFS(Infrastructure[2033],
Infrastructure[[variable_type]:[variable_type]],"H2_outflow",
Infrastructure[[cluster]:[cluster]],$B$557,
Infrastructure[[pipe_cluster_end]:[pipe_cluster_end]],$B566)*PJ2TWh,"")</f>
        <v>0</v>
      </c>
      <c r="P566" s="51">
        <f>IFERROR(SUMIFS(Infrastructure[2034],
Infrastructure[[variable_type]:[variable_type]],"H2_outflow",
Infrastructure[[cluster]:[cluster]],$B$557,
Infrastructure[[pipe_cluster_end]:[pipe_cluster_end]],$B566)*PJ2TWh,"")</f>
        <v>0</v>
      </c>
      <c r="Q566" s="51">
        <f>IFERROR(SUMIFS(Infrastructure[2035],
Infrastructure[[variable_type]:[variable_type]],"H2_outflow",
Infrastructure[[cluster]:[cluster]],$B$557,
Infrastructure[[pipe_cluster_end]:[pipe_cluster_end]],$B566)*PJ2TWh,"")</f>
        <v>0</v>
      </c>
      <c r="R566" s="51">
        <f>IFERROR(SUMIFS(Infrastructure[2036],
Infrastructure[[variable_type]:[variable_type]],"H2_outflow",
Infrastructure[[cluster]:[cluster]],$B$557,
Infrastructure[[pipe_cluster_end]:[pipe_cluster_end]],$B566)*PJ2TWh,"")</f>
        <v>0</v>
      </c>
      <c r="S566" s="51">
        <f>IFERROR(SUMIFS(Infrastructure[2037],
Infrastructure[[variable_type]:[variable_type]],"H2_outflow",
Infrastructure[[cluster]:[cluster]],$B$557,
Infrastructure[[pipe_cluster_end]:[pipe_cluster_end]],$B566)*PJ2TWh,"")</f>
        <v>0</v>
      </c>
      <c r="T566" s="51">
        <f>IFERROR(SUMIFS(Infrastructure[2038],
Infrastructure[[variable_type]:[variable_type]],"H2_outflow",
Infrastructure[[cluster]:[cluster]],$B$557,
Infrastructure[[pipe_cluster_end]:[pipe_cluster_end]],$B566)*PJ2TWh,"")</f>
        <v>0</v>
      </c>
      <c r="U566" s="51">
        <f>IFERROR(SUMIFS(Infrastructure[2039],
Infrastructure[[variable_type]:[variable_type]],"H2_outflow",
Infrastructure[[cluster]:[cluster]],$B$557,
Infrastructure[[pipe_cluster_end]:[pipe_cluster_end]],$B566)*PJ2TWh,"")</f>
        <v>0</v>
      </c>
      <c r="V566" s="51">
        <f>IFERROR(SUMIFS(Infrastructure[2040],
Infrastructure[[variable_type]:[variable_type]],"H2_outflow",
Infrastructure[[cluster]:[cluster]],$B$557,
Infrastructure[[pipe_cluster_end]:[pipe_cluster_end]],$B566)*PJ2TWh,"")</f>
        <v>0</v>
      </c>
      <c r="W566" s="51">
        <f>IFERROR(SUMIFS(Infrastructure[2041],
Infrastructure[[variable_type]:[variable_type]],"H2_outflow",
Infrastructure[[cluster]:[cluster]],$B$557,
Infrastructure[[pipe_cluster_end]:[pipe_cluster_end]],$B566)*PJ2TWh,"")</f>
        <v>0</v>
      </c>
      <c r="X566" s="51">
        <f>IFERROR(SUMIFS(Infrastructure[2042],
Infrastructure[[variable_type]:[variable_type]],"H2_outflow",
Infrastructure[[cluster]:[cluster]],$B$557,
Infrastructure[[pipe_cluster_end]:[pipe_cluster_end]],$B566)*PJ2TWh,"")</f>
        <v>0</v>
      </c>
      <c r="Y566" s="51">
        <f>IFERROR(SUMIFS(Infrastructure[2043],
Infrastructure[[variable_type]:[variable_type]],"H2_outflow",
Infrastructure[[cluster]:[cluster]],$B$557,
Infrastructure[[pipe_cluster_end]:[pipe_cluster_end]],$B566)*PJ2TWh,"")</f>
        <v>0</v>
      </c>
      <c r="Z566" s="51">
        <f>IFERROR(SUMIFS(Infrastructure[2044],
Infrastructure[[variable_type]:[variable_type]],"H2_outflow",
Infrastructure[[cluster]:[cluster]],$B$557,
Infrastructure[[pipe_cluster_end]:[pipe_cluster_end]],$B566)*PJ2TWh,"")</f>
        <v>0</v>
      </c>
      <c r="AA566" s="51">
        <f>IFERROR(SUMIFS(Infrastructure[2045],
Infrastructure[[variable_type]:[variable_type]],"H2_outflow",
Infrastructure[[cluster]:[cluster]],$B$557,
Infrastructure[[pipe_cluster_end]:[pipe_cluster_end]],$B566)*PJ2TWh,"")</f>
        <v>0</v>
      </c>
      <c r="AB566" s="51">
        <f>IFERROR(SUMIFS(Infrastructure[2046],
Infrastructure[[variable_type]:[variable_type]],"H2_outflow",
Infrastructure[[cluster]:[cluster]],$B$557,
Infrastructure[[pipe_cluster_end]:[pipe_cluster_end]],$B566)*PJ2TWh,"")</f>
        <v>0</v>
      </c>
      <c r="AC566" s="51">
        <f>IFERROR(SUMIFS(Infrastructure[2047],
Infrastructure[[variable_type]:[variable_type]],"H2_outflow",
Infrastructure[[cluster]:[cluster]],$B$557,
Infrastructure[[pipe_cluster_end]:[pipe_cluster_end]],$B566)*PJ2TWh,"")</f>
        <v>0</v>
      </c>
      <c r="AD566" s="51">
        <f>IFERROR(SUMIFS(Infrastructure[2048],
Infrastructure[[variable_type]:[variable_type]],"H2_outflow",
Infrastructure[[cluster]:[cluster]],$B$557,
Infrastructure[[pipe_cluster_end]:[pipe_cluster_end]],$B566)*PJ2TWh,"")</f>
        <v>0</v>
      </c>
      <c r="AE566" s="51">
        <f>IFERROR(SUMIFS(Infrastructure[2049],
Infrastructure[[variable_type]:[variable_type]],"H2_outflow",
Infrastructure[[cluster]:[cluster]],$B$557,
Infrastructure[[pipe_cluster_end]:[pipe_cluster_end]],$B566)*PJ2TWh,"")</f>
        <v>0</v>
      </c>
      <c r="AF566" s="51">
        <f>IFERROR(SUMIFS(Infrastructure[2050],
Infrastructure[[variable_type]:[variable_type]],"H2_outflow",
Infrastructure[[cluster]:[cluster]],$B$557,
Infrastructure[[pipe_cluster_end]:[pipe_cluster_end]],$B566)*PJ2TWh,"")</f>
        <v>0</v>
      </c>
      <c r="AG566" s="51">
        <f>IFERROR(SUMIFS(Infrastructure[2051],
Infrastructure[[variable_type]:[variable_type]],"H2_outflow",
Infrastructure[[cluster]:[cluster]],$B$557,
Infrastructure[[pipe_cluster_end]:[pipe_cluster_end]],$B566)*PJ2TWh,"")</f>
        <v>0</v>
      </c>
    </row>
    <row r="567" spans="1:33" x14ac:dyDescent="0.45">
      <c r="B567" s="24" t="s">
        <v>78</v>
      </c>
      <c r="C567" s="51">
        <f>IFERROR(SUMIFS(Infrastructure[2021],
Infrastructure[[variable_type]:[variable_type]],"H2_outflow",
Infrastructure[[cluster]:[cluster]],$B$557,
Infrastructure[[pipe_cluster_end]:[pipe_cluster_end]],$B567)*PJ2TWh,"")</f>
        <v>0</v>
      </c>
      <c r="D567" s="51">
        <f>IFERROR(SUMIFS(Infrastructure[2022],
Infrastructure[[variable_type]:[variable_type]],"H2_outflow",
Infrastructure[[cluster]:[cluster]],$B$557,
Infrastructure[[pipe_cluster_end]:[pipe_cluster_end]],$B567)*PJ2TWh,"")</f>
        <v>0</v>
      </c>
      <c r="E567" s="51">
        <f>IFERROR(SUMIFS(Infrastructure[2023],
Infrastructure[[variable_type]:[variable_type]],"H2_outflow",
Infrastructure[[cluster]:[cluster]],$B$557,
Infrastructure[[pipe_cluster_end]:[pipe_cluster_end]],$B567)*PJ2TWh,"")</f>
        <v>0</v>
      </c>
      <c r="F567" s="51">
        <f>IFERROR(SUMIFS(Infrastructure[2024],
Infrastructure[[variable_type]:[variable_type]],"H2_outflow",
Infrastructure[[cluster]:[cluster]],$B$557,
Infrastructure[[pipe_cluster_end]:[pipe_cluster_end]],$B567)*PJ2TWh,"")</f>
        <v>0</v>
      </c>
      <c r="G567" s="51">
        <f>IFERROR(SUMIFS(Infrastructure[2025],
Infrastructure[[variable_type]:[variable_type]],"H2_outflow",
Infrastructure[[cluster]:[cluster]],$B$557,
Infrastructure[[pipe_cluster_end]:[pipe_cluster_end]],$B567)*PJ2TWh,"")</f>
        <v>0</v>
      </c>
      <c r="H567" s="51">
        <f>IFERROR(SUMIFS(Infrastructure[2026],
Infrastructure[[variable_type]:[variable_type]],"H2_outflow",
Infrastructure[[cluster]:[cluster]],$B$557,
Infrastructure[[pipe_cluster_end]:[pipe_cluster_end]],$B567)*PJ2TWh,"")</f>
        <v>0</v>
      </c>
      <c r="I567" s="51">
        <f>IFERROR(SUMIFS(Infrastructure[2027],
Infrastructure[[variable_type]:[variable_type]],"H2_outflow",
Infrastructure[[cluster]:[cluster]],$B$557,
Infrastructure[[pipe_cluster_end]:[pipe_cluster_end]],$B567)*PJ2TWh,"")</f>
        <v>0</v>
      </c>
      <c r="J567" s="51">
        <f>IFERROR(SUMIFS(Infrastructure[2028],
Infrastructure[[variable_type]:[variable_type]],"H2_outflow",
Infrastructure[[cluster]:[cluster]],$B$557,
Infrastructure[[pipe_cluster_end]:[pipe_cluster_end]],$B567)*PJ2TWh,"")</f>
        <v>0</v>
      </c>
      <c r="K567" s="51">
        <f>IFERROR(SUMIFS(Infrastructure[2029],
Infrastructure[[variable_type]:[variable_type]],"H2_outflow",
Infrastructure[[cluster]:[cluster]],$B$557,
Infrastructure[[pipe_cluster_end]:[pipe_cluster_end]],$B567)*PJ2TWh,"")</f>
        <v>0</v>
      </c>
      <c r="L567" s="51">
        <f>IFERROR(SUMIFS(Infrastructure[2030],
Infrastructure[[variable_type]:[variable_type]],"H2_outflow",
Infrastructure[[cluster]:[cluster]],$B$557,
Infrastructure[[pipe_cluster_end]:[pipe_cluster_end]],$B567)*PJ2TWh,"")</f>
        <v>0</v>
      </c>
      <c r="M567" s="51">
        <f>IFERROR(SUMIFS(Infrastructure[2031],
Infrastructure[[variable_type]:[variable_type]],"H2_outflow",
Infrastructure[[cluster]:[cluster]],$B$557,
Infrastructure[[pipe_cluster_end]:[pipe_cluster_end]],$B567)*PJ2TWh,"")</f>
        <v>0</v>
      </c>
      <c r="N567" s="51">
        <f>IFERROR(SUMIFS(Infrastructure[2032],
Infrastructure[[variable_type]:[variable_type]],"H2_outflow",
Infrastructure[[cluster]:[cluster]],$B$557,
Infrastructure[[pipe_cluster_end]:[pipe_cluster_end]],$B567)*PJ2TWh,"")</f>
        <v>0</v>
      </c>
      <c r="O567" s="51">
        <f>IFERROR(SUMIFS(Infrastructure[2033],
Infrastructure[[variable_type]:[variable_type]],"H2_outflow",
Infrastructure[[cluster]:[cluster]],$B$557,
Infrastructure[[pipe_cluster_end]:[pipe_cluster_end]],$B567)*PJ2TWh,"")</f>
        <v>0</v>
      </c>
      <c r="P567" s="51">
        <f>IFERROR(SUMIFS(Infrastructure[2034],
Infrastructure[[variable_type]:[variable_type]],"H2_outflow",
Infrastructure[[cluster]:[cluster]],$B$557,
Infrastructure[[pipe_cluster_end]:[pipe_cluster_end]],$B567)*PJ2TWh,"")</f>
        <v>0</v>
      </c>
      <c r="Q567" s="51">
        <f>IFERROR(SUMIFS(Infrastructure[2035],
Infrastructure[[variable_type]:[variable_type]],"H2_outflow",
Infrastructure[[cluster]:[cluster]],$B$557,
Infrastructure[[pipe_cluster_end]:[pipe_cluster_end]],$B567)*PJ2TWh,"")</f>
        <v>0</v>
      </c>
      <c r="R567" s="51">
        <f>IFERROR(SUMIFS(Infrastructure[2036],
Infrastructure[[variable_type]:[variable_type]],"H2_outflow",
Infrastructure[[cluster]:[cluster]],$B$557,
Infrastructure[[pipe_cluster_end]:[pipe_cluster_end]],$B567)*PJ2TWh,"")</f>
        <v>0</v>
      </c>
      <c r="S567" s="51">
        <f>IFERROR(SUMIFS(Infrastructure[2037],
Infrastructure[[variable_type]:[variable_type]],"H2_outflow",
Infrastructure[[cluster]:[cluster]],$B$557,
Infrastructure[[pipe_cluster_end]:[pipe_cluster_end]],$B567)*PJ2TWh,"")</f>
        <v>0</v>
      </c>
      <c r="T567" s="51">
        <f>IFERROR(SUMIFS(Infrastructure[2038],
Infrastructure[[variable_type]:[variable_type]],"H2_outflow",
Infrastructure[[cluster]:[cluster]],$B$557,
Infrastructure[[pipe_cluster_end]:[pipe_cluster_end]],$B567)*PJ2TWh,"")</f>
        <v>0</v>
      </c>
      <c r="U567" s="51">
        <f>IFERROR(SUMIFS(Infrastructure[2039],
Infrastructure[[variable_type]:[variable_type]],"H2_outflow",
Infrastructure[[cluster]:[cluster]],$B$557,
Infrastructure[[pipe_cluster_end]:[pipe_cluster_end]],$B567)*PJ2TWh,"")</f>
        <v>0</v>
      </c>
      <c r="V567" s="51">
        <f>IFERROR(SUMIFS(Infrastructure[2040],
Infrastructure[[variable_type]:[variable_type]],"H2_outflow",
Infrastructure[[cluster]:[cluster]],$B$557,
Infrastructure[[pipe_cluster_end]:[pipe_cluster_end]],$B567)*PJ2TWh,"")</f>
        <v>0</v>
      </c>
      <c r="W567" s="51">
        <f>IFERROR(SUMIFS(Infrastructure[2041],
Infrastructure[[variable_type]:[variable_type]],"H2_outflow",
Infrastructure[[cluster]:[cluster]],$B$557,
Infrastructure[[pipe_cluster_end]:[pipe_cluster_end]],$B567)*PJ2TWh,"")</f>
        <v>0</v>
      </c>
      <c r="X567" s="51">
        <f>IFERROR(SUMIFS(Infrastructure[2042],
Infrastructure[[variable_type]:[variable_type]],"H2_outflow",
Infrastructure[[cluster]:[cluster]],$B$557,
Infrastructure[[pipe_cluster_end]:[pipe_cluster_end]],$B567)*PJ2TWh,"")</f>
        <v>0</v>
      </c>
      <c r="Y567" s="51">
        <f>IFERROR(SUMIFS(Infrastructure[2043],
Infrastructure[[variable_type]:[variable_type]],"H2_outflow",
Infrastructure[[cluster]:[cluster]],$B$557,
Infrastructure[[pipe_cluster_end]:[pipe_cluster_end]],$B567)*PJ2TWh,"")</f>
        <v>0</v>
      </c>
      <c r="Z567" s="51">
        <f>IFERROR(SUMIFS(Infrastructure[2044],
Infrastructure[[variable_type]:[variable_type]],"H2_outflow",
Infrastructure[[cluster]:[cluster]],$B$557,
Infrastructure[[pipe_cluster_end]:[pipe_cluster_end]],$B567)*PJ2TWh,"")</f>
        <v>0</v>
      </c>
      <c r="AA567" s="51">
        <f>IFERROR(SUMIFS(Infrastructure[2045],
Infrastructure[[variable_type]:[variable_type]],"H2_outflow",
Infrastructure[[cluster]:[cluster]],$B$557,
Infrastructure[[pipe_cluster_end]:[pipe_cluster_end]],$B567)*PJ2TWh,"")</f>
        <v>0</v>
      </c>
      <c r="AB567" s="51">
        <f>IFERROR(SUMIFS(Infrastructure[2046],
Infrastructure[[variable_type]:[variable_type]],"H2_outflow",
Infrastructure[[cluster]:[cluster]],$B$557,
Infrastructure[[pipe_cluster_end]:[pipe_cluster_end]],$B567)*PJ2TWh,"")</f>
        <v>0</v>
      </c>
      <c r="AC567" s="51">
        <f>IFERROR(SUMIFS(Infrastructure[2047],
Infrastructure[[variable_type]:[variable_type]],"H2_outflow",
Infrastructure[[cluster]:[cluster]],$B$557,
Infrastructure[[pipe_cluster_end]:[pipe_cluster_end]],$B567)*PJ2TWh,"")</f>
        <v>0</v>
      </c>
      <c r="AD567" s="51">
        <f>IFERROR(SUMIFS(Infrastructure[2048],
Infrastructure[[variable_type]:[variable_type]],"H2_outflow",
Infrastructure[[cluster]:[cluster]],$B$557,
Infrastructure[[pipe_cluster_end]:[pipe_cluster_end]],$B567)*PJ2TWh,"")</f>
        <v>0</v>
      </c>
      <c r="AE567" s="51">
        <f>IFERROR(SUMIFS(Infrastructure[2049],
Infrastructure[[variable_type]:[variable_type]],"H2_outflow",
Infrastructure[[cluster]:[cluster]],$B$557,
Infrastructure[[pipe_cluster_end]:[pipe_cluster_end]],$B567)*PJ2TWh,"")</f>
        <v>0</v>
      </c>
      <c r="AF567" s="51">
        <f>IFERROR(SUMIFS(Infrastructure[2050],
Infrastructure[[variable_type]:[variable_type]],"H2_outflow",
Infrastructure[[cluster]:[cluster]],$B$557,
Infrastructure[[pipe_cluster_end]:[pipe_cluster_end]],$B567)*PJ2TWh,"")</f>
        <v>0</v>
      </c>
      <c r="AG567" s="51">
        <f>IFERROR(SUMIFS(Infrastructure[2051],
Infrastructure[[variable_type]:[variable_type]],"H2_outflow",
Infrastructure[[cluster]:[cluster]],$B$557,
Infrastructure[[pipe_cluster_end]:[pipe_cluster_end]],$B567)*PJ2TWh,"")</f>
        <v>0</v>
      </c>
    </row>
    <row r="570" spans="1:33" x14ac:dyDescent="0.45">
      <c r="A570" s="6" t="s">
        <v>140</v>
      </c>
    </row>
    <row r="571" spans="1:33" x14ac:dyDescent="0.45">
      <c r="A571" t="s">
        <v>296</v>
      </c>
    </row>
    <row r="572" spans="1:33" x14ac:dyDescent="0.45">
      <c r="A572" t="s">
        <v>141</v>
      </c>
    </row>
  </sheetData>
  <phoneticPr fontId="13" type="noConversion"/>
  <conditionalFormatting sqref="C458:AG567">
    <cfRule type="expression" dxfId="73" priority="2">
      <formula>SUM($C458:$AG458)=0</formula>
    </cfRule>
  </conditionalFormatting>
  <dataValidations count="1">
    <dataValidation type="list" allowBlank="1" showInputMessage="1" showErrorMessage="1" sqref="B21" xr:uid="{2F0E3C68-75F6-404E-AA26-18D005B50CD1}">
      <formula1>$A$571:$A$572</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242F2-9F2E-4D3E-B0CA-D5244DD5E7BF}">
  <sheetPr>
    <tabColor theme="4" tint="0.59999389629810485"/>
  </sheetPr>
  <dimension ref="A1:H2"/>
  <sheetViews>
    <sheetView zoomScaleNormal="100" workbookViewId="0"/>
  </sheetViews>
  <sheetFormatPr defaultColWidth="14.73046875" defaultRowHeight="14.25" x14ac:dyDescent="0.45"/>
  <cols>
    <col min="1" max="1" width="14.73046875" customWidth="1"/>
    <col min="2" max="2" width="20.3984375" bestFit="1" customWidth="1"/>
    <col min="3" max="8" width="14.73046875" customWidth="1"/>
  </cols>
  <sheetData>
    <row r="1" spans="1:8" x14ac:dyDescent="0.45">
      <c r="A1" s="87" t="s">
        <v>293</v>
      </c>
      <c r="B1" s="87" t="s">
        <v>294</v>
      </c>
      <c r="C1" s="87" t="s">
        <v>91</v>
      </c>
      <c r="D1" s="87" t="s">
        <v>289</v>
      </c>
      <c r="E1" s="87" t="s">
        <v>290</v>
      </c>
      <c r="F1" s="87" t="s">
        <v>291</v>
      </c>
      <c r="G1" s="87" t="s">
        <v>292</v>
      </c>
      <c r="H1" s="87" t="s">
        <v>136</v>
      </c>
    </row>
    <row r="2" spans="1:8" x14ac:dyDescent="0.45">
      <c r="A2" s="87"/>
      <c r="B2" s="87"/>
      <c r="C2" s="87"/>
      <c r="D2" s="87"/>
      <c r="E2" s="87"/>
      <c r="F2" s="87"/>
      <c r="G2" s="87"/>
      <c r="H2" s="87"/>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8357E-1870-43DB-96BA-1962953238C9}">
  <sheetPr>
    <tabColor theme="4" tint="0.59999389629810485"/>
  </sheetPr>
  <dimension ref="A1:AK1"/>
  <sheetViews>
    <sheetView zoomScaleNormal="100" workbookViewId="0">
      <pane ySplit="1" topLeftCell="A2" activePane="bottomLeft" state="frozen"/>
      <selection pane="bottomLeft"/>
    </sheetView>
  </sheetViews>
  <sheetFormatPr defaultColWidth="14.73046875" defaultRowHeight="14.25" x14ac:dyDescent="0.45"/>
  <cols>
    <col min="1" max="1" width="22.265625" bestFit="1" customWidth="1"/>
    <col min="2" max="37" width="14.73046875" customWidth="1"/>
  </cols>
  <sheetData>
    <row r="1" spans="1:37" ht="15" customHeight="1" x14ac:dyDescent="0.45">
      <c r="A1" t="s">
        <v>41</v>
      </c>
      <c r="B1" t="s">
        <v>42</v>
      </c>
      <c r="C1" t="s">
        <v>68</v>
      </c>
      <c r="D1" t="s">
        <v>43</v>
      </c>
      <c r="E1" t="s">
        <v>45</v>
      </c>
      <c r="F1" t="s">
        <v>148</v>
      </c>
      <c r="G1" t="s">
        <v>149</v>
      </c>
      <c r="H1" t="s">
        <v>150</v>
      </c>
      <c r="I1" t="s">
        <v>151</v>
      </c>
      <c r="J1" t="s">
        <v>46</v>
      </c>
      <c r="K1" t="s">
        <v>152</v>
      </c>
      <c r="L1" t="s">
        <v>153</v>
      </c>
      <c r="M1" t="s">
        <v>154</v>
      </c>
      <c r="N1" t="s">
        <v>155</v>
      </c>
      <c r="O1" t="s">
        <v>47</v>
      </c>
      <c r="P1" t="s">
        <v>156</v>
      </c>
      <c r="Q1" t="s">
        <v>157</v>
      </c>
      <c r="R1" t="s">
        <v>158</v>
      </c>
      <c r="S1" t="s">
        <v>159</v>
      </c>
      <c r="T1" t="s">
        <v>48</v>
      </c>
      <c r="U1" t="s">
        <v>160</v>
      </c>
      <c r="V1" t="s">
        <v>161</v>
      </c>
      <c r="W1" t="s">
        <v>162</v>
      </c>
      <c r="X1" t="s">
        <v>163</v>
      </c>
      <c r="Y1" t="s">
        <v>49</v>
      </c>
      <c r="Z1" t="s">
        <v>168</v>
      </c>
      <c r="AA1" t="s">
        <v>169</v>
      </c>
      <c r="AB1" t="s">
        <v>170</v>
      </c>
      <c r="AC1" t="s">
        <v>171</v>
      </c>
      <c r="AD1" t="s">
        <v>50</v>
      </c>
      <c r="AE1" t="s">
        <v>164</v>
      </c>
      <c r="AF1" t="s">
        <v>165</v>
      </c>
      <c r="AG1" t="s">
        <v>166</v>
      </c>
      <c r="AH1" t="s">
        <v>167</v>
      </c>
      <c r="AI1" t="s">
        <v>51</v>
      </c>
      <c r="AJ1" t="s">
        <v>288</v>
      </c>
      <c r="AK1" t="s">
        <v>88</v>
      </c>
    </row>
  </sheetData>
  <phoneticPr fontId="13" type="noConversion"/>
  <pageMargins left="0.7" right="0.7" top="0.75" bottom="0.75" header="0.3" footer="0.3"/>
  <pageSetup paperSize="9" orientation="portrait" horizontalDpi="300" verticalDpi="300"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C0D30-0D3A-4A3D-B0F4-F3878E91254D}">
  <sheetPr>
    <tabColor theme="4" tint="0.59999389629810485"/>
  </sheetPr>
  <dimension ref="A1:AU2"/>
  <sheetViews>
    <sheetView zoomScaleNormal="100" workbookViewId="0"/>
  </sheetViews>
  <sheetFormatPr defaultColWidth="14.73046875" defaultRowHeight="14.25" x14ac:dyDescent="0.45"/>
  <cols>
    <col min="1" max="1" width="20.86328125" bestFit="1" customWidth="1"/>
    <col min="4" max="4" width="26" bestFit="1" customWidth="1"/>
    <col min="6" max="6" width="20" bestFit="1" customWidth="1"/>
    <col min="7" max="7" width="17.265625" bestFit="1" customWidth="1"/>
    <col min="8" max="8" width="20.86328125" bestFit="1" customWidth="1"/>
    <col min="9" max="9" width="18.86328125" bestFit="1" customWidth="1"/>
    <col min="10" max="10" width="24.86328125" bestFit="1" customWidth="1"/>
    <col min="11" max="11" width="22.265625" bestFit="1" customWidth="1"/>
    <col min="12" max="12" width="15.1328125" bestFit="1" customWidth="1"/>
    <col min="13" max="13" width="16.265625" bestFit="1" customWidth="1"/>
  </cols>
  <sheetData>
    <row r="1" spans="1:47" s="60" customFormat="1" ht="22.5" customHeight="1" x14ac:dyDescent="0.45">
      <c r="A1" s="88" t="s">
        <v>295</v>
      </c>
      <c r="B1" s="88" t="s">
        <v>53</v>
      </c>
      <c r="C1" s="88" t="s">
        <v>42</v>
      </c>
      <c r="D1" s="89" t="s">
        <v>279</v>
      </c>
      <c r="E1" s="88" t="s">
        <v>138</v>
      </c>
      <c r="F1" s="89" t="s">
        <v>281</v>
      </c>
      <c r="G1" s="88" t="s">
        <v>54</v>
      </c>
      <c r="H1" s="88" t="s">
        <v>55</v>
      </c>
      <c r="I1" s="88" t="s">
        <v>56</v>
      </c>
      <c r="J1" s="88" t="s">
        <v>139</v>
      </c>
      <c r="K1" s="88" t="s">
        <v>58</v>
      </c>
      <c r="L1" s="88" t="s">
        <v>61</v>
      </c>
      <c r="M1" s="88" t="s">
        <v>60</v>
      </c>
      <c r="N1" s="90" t="s">
        <v>280</v>
      </c>
      <c r="O1" s="91" t="s">
        <v>45</v>
      </c>
      <c r="P1" s="91" t="s">
        <v>148</v>
      </c>
      <c r="Q1" s="91" t="s">
        <v>149</v>
      </c>
      <c r="R1" s="91" t="s">
        <v>150</v>
      </c>
      <c r="S1" s="91" t="s">
        <v>151</v>
      </c>
      <c r="T1" s="88" t="s">
        <v>46</v>
      </c>
      <c r="U1" s="88" t="s">
        <v>152</v>
      </c>
      <c r="V1" s="88" t="s">
        <v>153</v>
      </c>
      <c r="W1" s="88" t="s">
        <v>154</v>
      </c>
      <c r="X1" s="88" t="s">
        <v>155</v>
      </c>
      <c r="Y1" s="88" t="s">
        <v>47</v>
      </c>
      <c r="Z1" s="88" t="s">
        <v>156</v>
      </c>
      <c r="AA1" s="88" t="s">
        <v>157</v>
      </c>
      <c r="AB1" s="88" t="s">
        <v>158</v>
      </c>
      <c r="AC1" s="88" t="s">
        <v>159</v>
      </c>
      <c r="AD1" s="88" t="s">
        <v>48</v>
      </c>
      <c r="AE1" s="88" t="s">
        <v>160</v>
      </c>
      <c r="AF1" s="88" t="s">
        <v>161</v>
      </c>
      <c r="AG1" s="88" t="s">
        <v>162</v>
      </c>
      <c r="AH1" s="88" t="s">
        <v>163</v>
      </c>
      <c r="AI1" s="88" t="s">
        <v>49</v>
      </c>
      <c r="AJ1" s="88" t="s">
        <v>168</v>
      </c>
      <c r="AK1" s="88" t="s">
        <v>169</v>
      </c>
      <c r="AL1" s="88" t="s">
        <v>170</v>
      </c>
      <c r="AM1" s="88" t="s">
        <v>171</v>
      </c>
      <c r="AN1" s="88" t="s">
        <v>50</v>
      </c>
      <c r="AO1" s="88" t="s">
        <v>164</v>
      </c>
      <c r="AP1" s="88" t="s">
        <v>165</v>
      </c>
      <c r="AQ1" s="88" t="s">
        <v>166</v>
      </c>
      <c r="AR1" s="88" t="s">
        <v>167</v>
      </c>
      <c r="AS1" s="88" t="s">
        <v>51</v>
      </c>
      <c r="AT1" s="88" t="s">
        <v>288</v>
      </c>
      <c r="AU1" s="88" t="s">
        <v>88</v>
      </c>
    </row>
    <row r="2" spans="1:47" x14ac:dyDescent="0.45">
      <c r="A2" s="87"/>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72"/>
      <c r="AM2" s="72"/>
      <c r="AN2" s="72"/>
      <c r="AO2" s="72"/>
      <c r="AP2" s="72"/>
      <c r="AQ2" s="72"/>
      <c r="AR2" s="72"/>
      <c r="AS2" s="72"/>
      <c r="AT2" s="72"/>
      <c r="AU2" s="72"/>
    </row>
  </sheetData>
  <phoneticPr fontId="13" type="noConversion"/>
  <pageMargins left="0.7" right="0.7" top="0.75" bottom="0.75" header="0.3" footer="0.3"/>
  <pageSetup paperSize="9" orientation="portrait" horizontalDpi="300" verticalDpi="300"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6D8B-CC48-4312-BD08-02F04E6DAA1E}">
  <sheetPr>
    <tabColor theme="4" tint="0.59999389629810485"/>
  </sheetPr>
  <dimension ref="A1:AO1"/>
  <sheetViews>
    <sheetView zoomScaleNormal="100" workbookViewId="0">
      <selection sqref="A1:AO1"/>
    </sheetView>
  </sheetViews>
  <sheetFormatPr defaultColWidth="14.73046875" defaultRowHeight="14.25" x14ac:dyDescent="0.45"/>
  <cols>
    <col min="1" max="2" width="14.73046875" customWidth="1"/>
    <col min="3" max="3" width="17.265625" bestFit="1" customWidth="1"/>
    <col min="4" max="4" width="20.86328125" bestFit="1" customWidth="1"/>
    <col min="5" max="5" width="18.86328125" bestFit="1" customWidth="1"/>
    <col min="6" max="6" width="24.86328125" bestFit="1" customWidth="1"/>
    <col min="7" max="7" width="22.265625" bestFit="1" customWidth="1"/>
    <col min="8" max="40" width="14.73046875" customWidth="1"/>
  </cols>
  <sheetData>
    <row r="1" spans="1:41" ht="13.5" customHeight="1" x14ac:dyDescent="0.45">
      <c r="A1" t="s">
        <v>53</v>
      </c>
      <c r="B1" t="s">
        <v>42</v>
      </c>
      <c r="C1" t="s">
        <v>54</v>
      </c>
      <c r="D1" t="s">
        <v>55</v>
      </c>
      <c r="E1" t="s">
        <v>56</v>
      </c>
      <c r="F1" t="s">
        <v>57</v>
      </c>
      <c r="G1" t="s">
        <v>58</v>
      </c>
      <c r="H1" t="s">
        <v>59</v>
      </c>
      <c r="I1" t="s">
        <v>44</v>
      </c>
      <c r="J1" t="s">
        <v>45</v>
      </c>
      <c r="K1" t="s">
        <v>148</v>
      </c>
      <c r="L1" t="s">
        <v>149</v>
      </c>
      <c r="M1" t="s">
        <v>150</v>
      </c>
      <c r="N1" t="s">
        <v>151</v>
      </c>
      <c r="O1" t="s">
        <v>46</v>
      </c>
      <c r="P1" t="s">
        <v>152</v>
      </c>
      <c r="Q1" t="s">
        <v>153</v>
      </c>
      <c r="R1" t="s">
        <v>154</v>
      </c>
      <c r="S1" t="s">
        <v>155</v>
      </c>
      <c r="T1" t="s">
        <v>47</v>
      </c>
      <c r="U1" t="s">
        <v>156</v>
      </c>
      <c r="V1" t="s">
        <v>157</v>
      </c>
      <c r="W1" t="s">
        <v>158</v>
      </c>
      <c r="X1" t="s">
        <v>159</v>
      </c>
      <c r="Y1" t="s">
        <v>48</v>
      </c>
      <c r="Z1" t="s">
        <v>160</v>
      </c>
      <c r="AA1" t="s">
        <v>161</v>
      </c>
      <c r="AB1" t="s">
        <v>162</v>
      </c>
      <c r="AC1" t="s">
        <v>163</v>
      </c>
      <c r="AD1" t="s">
        <v>49</v>
      </c>
      <c r="AE1" t="s">
        <v>168</v>
      </c>
      <c r="AF1" t="s">
        <v>169</v>
      </c>
      <c r="AG1" t="s">
        <v>170</v>
      </c>
      <c r="AH1" t="s">
        <v>171</v>
      </c>
      <c r="AI1" t="s">
        <v>50</v>
      </c>
      <c r="AJ1" t="s">
        <v>164</v>
      </c>
      <c r="AK1" t="s">
        <v>165</v>
      </c>
      <c r="AL1" t="s">
        <v>166</v>
      </c>
      <c r="AM1" t="s">
        <v>167</v>
      </c>
      <c r="AN1" t="s">
        <v>51</v>
      </c>
      <c r="AO1" t="s">
        <v>288</v>
      </c>
    </row>
  </sheetData>
  <phoneticPr fontId="13" type="noConversion"/>
  <pageMargins left="0.7" right="0.7" top="0.75" bottom="0.75" header="0.3" footer="0.3"/>
  <pageSetup paperSize="9" orientation="portrait" horizontalDpi="300" vertic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3DF3F-D2C1-4EC6-8D1B-CD5CFF620C13}">
  <sheetPr>
    <tabColor theme="4" tint="0.59999389629810485"/>
  </sheetPr>
  <dimension ref="A1:AJ1"/>
  <sheetViews>
    <sheetView zoomScaleNormal="100" workbookViewId="0"/>
  </sheetViews>
  <sheetFormatPr defaultColWidth="14.73046875" defaultRowHeight="14.25" x14ac:dyDescent="0.45"/>
  <cols>
    <col min="1" max="2" width="14.73046875" customWidth="1"/>
    <col min="3" max="3" width="19.1328125" bestFit="1" customWidth="1"/>
    <col min="4" max="4" width="15.86328125" bestFit="1" customWidth="1"/>
    <col min="5" max="5" width="21.86328125" bestFit="1" customWidth="1"/>
    <col min="6" max="36" width="14.73046875" customWidth="1"/>
  </cols>
  <sheetData>
    <row r="1" spans="1:36" ht="16.5" customHeight="1" x14ac:dyDescent="0.45">
      <c r="A1" t="s">
        <v>53</v>
      </c>
      <c r="B1" t="s">
        <v>42</v>
      </c>
      <c r="C1" t="s">
        <v>66</v>
      </c>
      <c r="D1" t="s">
        <v>86</v>
      </c>
      <c r="E1" t="s">
        <v>87</v>
      </c>
      <c r="F1" t="s">
        <v>172</v>
      </c>
      <c r="G1" t="s">
        <v>173</v>
      </c>
      <c r="H1" t="s">
        <v>174</v>
      </c>
      <c r="I1" t="s">
        <v>175</v>
      </c>
      <c r="J1" t="s">
        <v>147</v>
      </c>
      <c r="K1" t="s">
        <v>176</v>
      </c>
      <c r="L1" t="s">
        <v>177</v>
      </c>
      <c r="M1" t="s">
        <v>178</v>
      </c>
      <c r="N1" t="s">
        <v>179</v>
      </c>
      <c r="O1" t="s">
        <v>146</v>
      </c>
      <c r="P1" t="s">
        <v>181</v>
      </c>
      <c r="Q1" t="s">
        <v>182</v>
      </c>
      <c r="R1" t="s">
        <v>183</v>
      </c>
      <c r="S1" t="s">
        <v>184</v>
      </c>
      <c r="T1" t="s">
        <v>145</v>
      </c>
      <c r="U1" t="s">
        <v>185</v>
      </c>
      <c r="V1" t="s">
        <v>186</v>
      </c>
      <c r="W1" t="s">
        <v>187</v>
      </c>
      <c r="X1" t="s">
        <v>188</v>
      </c>
      <c r="Y1" t="s">
        <v>144</v>
      </c>
      <c r="Z1" t="s">
        <v>189</v>
      </c>
      <c r="AA1" t="s">
        <v>190</v>
      </c>
      <c r="AB1" t="s">
        <v>191</v>
      </c>
      <c r="AC1" t="s">
        <v>192</v>
      </c>
      <c r="AD1" t="s">
        <v>143</v>
      </c>
      <c r="AE1" t="s">
        <v>180</v>
      </c>
      <c r="AF1" t="s">
        <v>193</v>
      </c>
      <c r="AG1" t="s">
        <v>194</v>
      </c>
      <c r="AH1" t="s">
        <v>195</v>
      </c>
      <c r="AI1" t="s">
        <v>142</v>
      </c>
      <c r="AJ1" t="s">
        <v>298</v>
      </c>
    </row>
  </sheetData>
  <phoneticPr fontId="13" type="noConversion"/>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67853-2822-4DB4-AF89-F82A16428E7A}">
  <sheetPr>
    <tabColor theme="4" tint="0.59999389629810485"/>
  </sheetPr>
  <dimension ref="A1:AK2"/>
  <sheetViews>
    <sheetView zoomScaleNormal="100" workbookViewId="0">
      <pane ySplit="1" topLeftCell="A2" activePane="bottomLeft" state="frozen"/>
      <selection pane="bottomLeft"/>
    </sheetView>
  </sheetViews>
  <sheetFormatPr defaultColWidth="8.86328125" defaultRowHeight="14.25" x14ac:dyDescent="0.45"/>
  <cols>
    <col min="1" max="37" width="14.73046875" style="23" customWidth="1"/>
    <col min="38" max="16384" width="8.86328125" style="23"/>
  </cols>
  <sheetData>
    <row r="1" spans="1:37" x14ac:dyDescent="0.45">
      <c r="A1" t="s">
        <v>91</v>
      </c>
      <c r="B1" t="s">
        <v>90</v>
      </c>
      <c r="C1" t="s">
        <v>101</v>
      </c>
      <c r="D1" t="s">
        <v>102</v>
      </c>
      <c r="E1" t="s">
        <v>120</v>
      </c>
      <c r="F1" t="s">
        <v>45</v>
      </c>
      <c r="G1" t="s">
        <v>148</v>
      </c>
      <c r="H1" t="s">
        <v>149</v>
      </c>
      <c r="I1" t="s">
        <v>150</v>
      </c>
      <c r="J1" t="s">
        <v>151</v>
      </c>
      <c r="K1" t="s">
        <v>46</v>
      </c>
      <c r="L1" t="s">
        <v>152</v>
      </c>
      <c r="M1" t="s">
        <v>153</v>
      </c>
      <c r="N1" t="s">
        <v>154</v>
      </c>
      <c r="O1" t="s">
        <v>155</v>
      </c>
      <c r="P1" t="s">
        <v>47</v>
      </c>
      <c r="Q1" t="s">
        <v>156</v>
      </c>
      <c r="R1" t="s">
        <v>157</v>
      </c>
      <c r="S1" t="s">
        <v>158</v>
      </c>
      <c r="T1" t="s">
        <v>159</v>
      </c>
      <c r="U1" t="s">
        <v>48</v>
      </c>
      <c r="V1" t="s">
        <v>160</v>
      </c>
      <c r="W1" t="s">
        <v>161</v>
      </c>
      <c r="X1" t="s">
        <v>162</v>
      </c>
      <c r="Y1" t="s">
        <v>163</v>
      </c>
      <c r="Z1" t="s">
        <v>49</v>
      </c>
      <c r="AA1" t="s">
        <v>168</v>
      </c>
      <c r="AB1" t="s">
        <v>169</v>
      </c>
      <c r="AC1" t="s">
        <v>170</v>
      </c>
      <c r="AD1" t="s">
        <v>171</v>
      </c>
      <c r="AE1" t="s">
        <v>50</v>
      </c>
      <c r="AF1" t="s">
        <v>164</v>
      </c>
      <c r="AG1" t="s">
        <v>165</v>
      </c>
      <c r="AH1" t="s">
        <v>166</v>
      </c>
      <c r="AI1" t="s">
        <v>167</v>
      </c>
      <c r="AJ1" t="s">
        <v>51</v>
      </c>
      <c r="AK1" t="s">
        <v>288</v>
      </c>
    </row>
    <row r="2" spans="1:37" x14ac:dyDescent="0.45">
      <c r="A2"/>
      <c r="B2"/>
      <c r="C2"/>
      <c r="D2"/>
      <c r="E2"/>
      <c r="F2"/>
      <c r="G2"/>
      <c r="H2"/>
      <c r="I2"/>
      <c r="J2"/>
      <c r="K2"/>
      <c r="L2"/>
      <c r="M2"/>
      <c r="N2"/>
      <c r="O2"/>
      <c r="P2"/>
      <c r="Q2"/>
      <c r="R2"/>
      <c r="S2"/>
      <c r="T2"/>
      <c r="U2"/>
      <c r="V2"/>
      <c r="W2"/>
      <c r="X2"/>
      <c r="Y2"/>
      <c r="Z2"/>
      <c r="AA2"/>
      <c r="AB2"/>
      <c r="AC2"/>
      <c r="AD2"/>
      <c r="AE2"/>
      <c r="AF2"/>
      <c r="AG2"/>
      <c r="AH2"/>
      <c r="AI2"/>
      <c r="AJ2"/>
      <c r="AK2" s="77"/>
    </row>
  </sheetData>
  <phoneticPr fontId="13" type="noConversion"/>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C4F6648EF2B845996BAA9797D0D031" ma:contentTypeVersion="18" ma:contentTypeDescription="Create a new document." ma:contentTypeScope="" ma:versionID="26dfe2627a061fc7a6db7e71305af491">
  <xsd:schema xmlns:xsd="http://www.w3.org/2001/XMLSchema" xmlns:xs="http://www.w3.org/2001/XMLSchema" xmlns:p="http://schemas.microsoft.com/office/2006/metadata/properties" xmlns:ns2="0063f72e-ace3-48fb-9c1f-5b513408b31f" xmlns:ns3="060a0d5c-40de-4c3c-9e9c-a4568712a94d" xmlns:ns4="b413c3fd-5a3b-4239-b985-69032e371c04" xmlns:ns5="a8f60570-4bd3-4f2b-950b-a996de8ab151" xmlns:ns6="aaacb922-5235-4a66-b188-303b9b46fbd7" xmlns:ns7="14ebeab6-4853-498f-af1f-01c91b538b34" targetNamespace="http://schemas.microsoft.com/office/2006/metadata/properties" ma:root="true" ma:fieldsID="e89b55216af3c09b6296fd7d0a0cd294" ns2:_="" ns3:_="" ns4:_="" ns5:_="" ns6:_="" ns7:_="">
    <xsd:import namespace="0063f72e-ace3-48fb-9c1f-5b513408b31f"/>
    <xsd:import namespace="060a0d5c-40de-4c3c-9e9c-a4568712a94d"/>
    <xsd:import namespace="b413c3fd-5a3b-4239-b985-69032e371c04"/>
    <xsd:import namespace="a8f60570-4bd3-4f2b-950b-a996de8ab151"/>
    <xsd:import namespace="aaacb922-5235-4a66-b188-303b9b46fbd7"/>
    <xsd:import namespace="14ebeab6-4853-498f-af1f-01c91b538b34"/>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3:_dlc_DocId" minOccurs="0"/>
                <xsd:element ref="ns3:_dlc_DocIdUrl" minOccurs="0"/>
                <xsd:element ref="ns3:_dlc_DocIdPersistId" minOccurs="0"/>
                <xsd:element ref="ns7:MediaServiceAutoKeyPoints" minOccurs="0"/>
                <xsd:element ref="ns7:MediaServiceKeyPoints" minOccurs="0"/>
                <xsd:element ref="ns7:MediaServiceAutoTags" minOccurs="0"/>
                <xsd:element ref="ns7:MediaServiceOCR" minOccurs="0"/>
                <xsd:element ref="ns7:MediaServiceGenerationTime" minOccurs="0"/>
                <xsd:element ref="ns7: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060a0d5c-40de-4c3c-9e9c-a4568712a94d"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Modelling|b4c514d1-f964-4639-a13d-cdd835d85258"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a19d21b-083c-4c5d-8ccc-a040f2937805}" ma:internalName="TaxCatchAll" ma:showField="CatchAllData" ma:web="060a0d5c-40de-4c3c-9e9c-a4568712a94d">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a19d21b-083c-4c5d-8ccc-a040f2937805}" ma:internalName="TaxCatchAllLabel" ma:readOnly="true" ma:showField="CatchAllDataLabel" ma:web="060a0d5c-40de-4c3c-9e9c-a4568712a94d">
      <xsd:complexType>
        <xsd:complexContent>
          <xsd:extension base="dms:MultiChoiceLookup">
            <xsd:sequence>
              <xsd:element name="Value" type="dms:Lookup" maxOccurs="unbounded" minOccurs="0" nillable="true"/>
            </xsd:sequence>
          </xsd:extension>
        </xsd:complexContent>
      </xsd:complexType>
    </xsd:element>
    <xsd:element name="_dlc_DocId" ma:index="21" nillable="true" ma:displayName="Document ID Value" ma:description="The value of the document ID assigned to this item."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ebeab6-4853-498f-af1f-01c91b538b34"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6" nillable="true" ma:displayName="Tags" ma:internalName="MediaServiceAutoTags"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2020-09-02T12:27:15+00:00</Date_x0020_Opened>
    <LegacyData xmlns="aaacb922-5235-4a66-b188-303b9b46fbd7" xsi:nil="true"/>
    <Descriptor xmlns="0063f72e-ace3-48fb-9c1f-5b513408b31f" xsi:nil="true"/>
    <m975189f4ba442ecbf67d4147307b177 xmlns="060a0d5c-40de-4c3c-9e9c-a4568712a94d">
      <Terms xmlns="http://schemas.microsoft.com/office/infopath/2007/PartnerControls">
        <TermInfo xmlns="http://schemas.microsoft.com/office/infopath/2007/PartnerControls">
          <TermName xmlns="http://schemas.microsoft.com/office/infopath/2007/PartnerControls">BEIS:Trade, Europe and Analysis:Analysis:Modelling</TermName>
          <TermId xmlns="http://schemas.microsoft.com/office/infopath/2007/PartnerControls">b4c514d1-f964-4639-a13d-cdd835d85258</TermId>
        </TermInfo>
      </Terms>
    </m975189f4ba442ecbf67d4147307b177>
    <Security_x0020_Classification xmlns="0063f72e-ace3-48fb-9c1f-5b513408b31f">OFFICIAL</Security_x0020_Classification>
    <TaxCatchAll xmlns="060a0d5c-40de-4c3c-9e9c-a4568712a94d">
      <Value>1</Value>
    </TaxCatchAll>
    <Retention_x0020_Label xmlns="a8f60570-4bd3-4f2b-950b-a996de8ab151" xsi:nil="true"/>
    <Date_x0020_Closed xmlns="b413c3fd-5a3b-4239-b985-69032e371c04" xsi:nil="true"/>
    <_dlc_DocId xmlns="060a0d5c-40de-4c3c-9e9c-a4568712a94d">4K2WH2VCSAD7-1865059758-4845</_dlc_DocId>
    <_dlc_DocIdUrl xmlns="060a0d5c-40de-4c3c-9e9c-a4568712a94d">
      <Url>https://beisgov.sharepoint.com/sites/nondombuildings/_layouts/15/DocIdRedir.aspx?ID=4K2WH2VCSAD7-1865059758-4845</Url>
      <Description>4K2WH2VCSAD7-1865059758-4845</Description>
    </_dlc_DocIdUrl>
  </documentManagement>
</p:properties>
</file>

<file path=customXml/itemProps1.xml><?xml version="1.0" encoding="utf-8"?>
<ds:datastoreItem xmlns:ds="http://schemas.openxmlformats.org/officeDocument/2006/customXml" ds:itemID="{CD3EB413-3494-4A63-9028-34E67674B3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060a0d5c-40de-4c3c-9e9c-a4568712a94d"/>
    <ds:schemaRef ds:uri="b413c3fd-5a3b-4239-b985-69032e371c04"/>
    <ds:schemaRef ds:uri="a8f60570-4bd3-4f2b-950b-a996de8ab151"/>
    <ds:schemaRef ds:uri="aaacb922-5235-4a66-b188-303b9b46fbd7"/>
    <ds:schemaRef ds:uri="14ebeab6-4853-498f-af1f-01c91b538b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72A167-A0B8-4716-9C01-A98B27D3701A}">
  <ds:schemaRefs>
    <ds:schemaRef ds:uri="http://schemas.microsoft.com/sharepoint/events"/>
  </ds:schemaRefs>
</ds:datastoreItem>
</file>

<file path=customXml/itemProps3.xml><?xml version="1.0" encoding="utf-8"?>
<ds:datastoreItem xmlns:ds="http://schemas.openxmlformats.org/officeDocument/2006/customXml" ds:itemID="{23B8F70F-766B-483D-AD8E-6EEB8FE97635}">
  <ds:schemaRefs>
    <ds:schemaRef ds:uri="http://schemas.microsoft.com/sharepoint/v3/contenttype/forms"/>
  </ds:schemaRefs>
</ds:datastoreItem>
</file>

<file path=customXml/itemProps4.xml><?xml version="1.0" encoding="utf-8"?>
<ds:datastoreItem xmlns:ds="http://schemas.openxmlformats.org/officeDocument/2006/customXml" ds:itemID="{5399F9E5-CFA1-475C-8DB0-8837CD9E2469}">
  <ds:schemaRefs>
    <ds:schemaRef ds:uri="b413c3fd-5a3b-4239-b985-69032e371c04"/>
    <ds:schemaRef ds:uri="http://purl.org/dc/elements/1.1/"/>
    <ds:schemaRef ds:uri="http://purl.org/dc/dcmitype/"/>
    <ds:schemaRef ds:uri="http://schemas.microsoft.com/office/infopath/2007/PartnerControls"/>
    <ds:schemaRef ds:uri="http://schemas.microsoft.com/office/2006/documentManagement/types"/>
    <ds:schemaRef ds:uri="0063f72e-ace3-48fb-9c1f-5b513408b31f"/>
    <ds:schemaRef ds:uri="aaacb922-5235-4a66-b188-303b9b46fbd7"/>
    <ds:schemaRef ds:uri="060a0d5c-40de-4c3c-9e9c-a4568712a94d"/>
    <ds:schemaRef ds:uri="http://schemas.openxmlformats.org/package/2006/metadata/core-properties"/>
    <ds:schemaRef ds:uri="http://purl.org/dc/terms/"/>
    <ds:schemaRef ds:uri="a8f60570-4bd3-4f2b-950b-a996de8ab151"/>
    <ds:schemaRef ds:uri="14ebeab6-4853-498f-af1f-01c91b538b34"/>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Title</vt:lpstr>
      <vt:lpstr>Info</vt:lpstr>
      <vt:lpstr>Definitions</vt:lpstr>
      <vt:lpstr>DetailedTables</vt:lpstr>
      <vt:lpstr>Sites_info</vt:lpstr>
      <vt:lpstr>Costs</vt:lpstr>
      <vt:lpstr>Emissions</vt:lpstr>
      <vt:lpstr>Outputs</vt:lpstr>
      <vt:lpstr>Energy</vt:lpstr>
      <vt:lpstr>Infrastructure</vt:lpstr>
      <vt:lpstr>PJ2GW</vt:lpstr>
      <vt:lpstr>PJ2MW</vt:lpstr>
      <vt:lpstr>PJ2TWh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2025-12-02T10:45:30Z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0x01010007C4F6648EF2B845996BAA9797D0D031</vt:lpwstr>
  </property>
  <property fmtid="{D5CDD505-2E9C-101B-9397-08002B2CF9AE}" pid="3" name="Business Unit">
    <vt:lpwstr>1;#BEIS:Trade, Europe and Analysis:Analysis:Modelling|b4c514d1-f964-4639-a13d-cdd835d85258</vt:lpwstr>
  </property>
  <property fmtid="{D5CDD505-2E9C-101B-9397-08002B2CF9AE}" pid="4" name="_dlc_DocIdItemGuid">
    <vt:lpwstr>a9ec75fb-ee66-4e23-aa68-1f8886b63da6</vt:lpwstr>
  </property>
  <property fmtid="{D5CDD505-2E9C-101B-9397-08002B2CF9AE}" pid="5" name="MSIP_Label_ba62f585-b40f-4ab9-bafe-39150f03d124_Enabled">
    <vt:lpwstr>true</vt:lpwstr>
  </property>
  <property fmtid="{D5CDD505-2E9C-101B-9397-08002B2CF9AE}" pid="6" name="MSIP_Label_ba62f585-b40f-4ab9-bafe-39150f03d124_SetDate">
    <vt:lpwstr>2020-10-06T11:57:21Z</vt:lpwstr>
  </property>
  <property fmtid="{D5CDD505-2E9C-101B-9397-08002B2CF9AE}" pid="7" name="MSIP_Label_ba62f585-b40f-4ab9-bafe-39150f03d124_Method">
    <vt:lpwstr>Standard</vt:lpwstr>
  </property>
  <property fmtid="{D5CDD505-2E9C-101B-9397-08002B2CF9AE}" pid="8" name="MSIP_Label_ba62f585-b40f-4ab9-bafe-39150f03d124_Name">
    <vt:lpwstr>OFFICIAL</vt:lpwstr>
  </property>
  <property fmtid="{D5CDD505-2E9C-101B-9397-08002B2CF9AE}" pid="9" name="MSIP_Label_ba62f585-b40f-4ab9-bafe-39150f03d124_SiteId">
    <vt:lpwstr>cbac7005-02c1-43eb-b497-e6492d1b2dd8</vt:lpwstr>
  </property>
  <property fmtid="{D5CDD505-2E9C-101B-9397-08002B2CF9AE}" pid="10" name="MSIP_Label_ba62f585-b40f-4ab9-bafe-39150f03d124_ActionId">
    <vt:lpwstr>994deae5-0ed8-44b3-b916-000082c7f3a9</vt:lpwstr>
  </property>
  <property fmtid="{D5CDD505-2E9C-101B-9397-08002B2CF9AE}" pid="11" name="MSIP_Label_ba62f585-b40f-4ab9-bafe-39150f03d124_ContentBits">
    <vt:lpwstr>0</vt:lpwstr>
  </property>
</Properties>
</file>